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activeTab="1"/>
  </bookViews>
  <sheets>
    <sheet name="1&amp;2号构型" sheetId="1" r:id="rId1"/>
    <sheet name="X号构型" sheetId="15" r:id="rId2"/>
    <sheet name="托架信息" sheetId="13" r:id="rId3"/>
    <sheet name="设备架接口信息" sheetId="4" state="hidden" r:id="rId4"/>
    <sheet name="电搭接情况统计" sheetId="5" state="hidden" r:id="rId5"/>
    <sheet name="注意事项&amp;统计" sheetId="7" r:id="rId6"/>
    <sheet name="已删除设备" sheetId="9" r:id="rId7"/>
    <sheet name="校验" sheetId="11" r:id="rId8"/>
  </sheets>
  <definedNames>
    <definedName name="_xlnm._FilterDatabase" localSheetId="0" hidden="1">'1&amp;2号构型'!$A$1:$T$443</definedName>
    <definedName name="_xlnm._FilterDatabase" localSheetId="1" hidden="1">X号构型!$A$1:$T$559</definedName>
    <definedName name="_xlnm._FilterDatabase" localSheetId="7" hidden="1">校验!$F$1:$K$635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<sst xmlns="http://schemas.openxmlformats.org/spreadsheetml/2006/main" count="12826" uniqueCount="2615">
  <si>
    <t>系统章节</t>
  </si>
  <si>
    <r>
      <rPr>
        <b/>
        <sz val="11"/>
        <rFont val="宋体"/>
        <charset val="134"/>
      </rPr>
      <t>设备名称</t>
    </r>
  </si>
  <si>
    <r>
      <rPr>
        <b/>
        <sz val="11"/>
        <rFont val="宋体"/>
        <charset val="134"/>
      </rPr>
      <t>设备编号</t>
    </r>
  </si>
  <si>
    <r>
      <rPr>
        <b/>
        <sz val="11"/>
        <rFont val="Times New Roman"/>
        <charset val="134"/>
      </rPr>
      <t>LIN</t>
    </r>
    <r>
      <rPr>
        <b/>
        <sz val="11"/>
        <rFont val="宋体"/>
        <charset val="134"/>
      </rPr>
      <t>号</t>
    </r>
  </si>
  <si>
    <r>
      <rPr>
        <b/>
        <sz val="11"/>
        <color rgb="FF000000"/>
        <rFont val="宋体"/>
        <charset val="134"/>
      </rPr>
      <t>长</t>
    </r>
    <r>
      <rPr>
        <b/>
        <sz val="11"/>
        <color rgb="FF000000"/>
        <rFont val="Times New Roman"/>
        <charset val="134"/>
      </rPr>
      <t>*</t>
    </r>
    <r>
      <rPr>
        <b/>
        <sz val="11"/>
        <color rgb="FF000000"/>
        <rFont val="宋体"/>
        <charset val="134"/>
      </rPr>
      <t>高</t>
    </r>
    <r>
      <rPr>
        <b/>
        <sz val="11"/>
        <color rgb="FF000000"/>
        <rFont val="Times New Roman"/>
        <charset val="134"/>
      </rPr>
      <t>*</t>
    </r>
    <r>
      <rPr>
        <b/>
        <sz val="11"/>
        <color rgb="FF000000"/>
        <rFont val="宋体"/>
        <charset val="134"/>
      </rPr>
      <t>宽
mm</t>
    </r>
  </si>
  <si>
    <t>设备布置区域</t>
  </si>
  <si>
    <r>
      <rPr>
        <b/>
        <sz val="11"/>
        <rFont val="宋体"/>
        <charset val="134"/>
      </rPr>
      <t>构型分类</t>
    </r>
  </si>
  <si>
    <t>总体布置调整需求</t>
  </si>
  <si>
    <r>
      <rPr>
        <b/>
        <sz val="11"/>
        <color rgb="FF000000"/>
        <rFont val="宋体"/>
        <charset val="134"/>
      </rPr>
      <t>安装方式</t>
    </r>
    <r>
      <rPr>
        <b/>
        <sz val="11"/>
        <color rgb="FFFF0000"/>
        <rFont val="宋体"/>
        <charset val="134"/>
      </rPr>
      <t xml:space="preserve">
下拉选择，【选择托架需填写sheet3托架信息表！！】</t>
    </r>
  </si>
  <si>
    <r>
      <rPr>
        <b/>
        <sz val="11"/>
        <rFont val="宋体"/>
        <charset val="134"/>
      </rPr>
      <t>电搭接方式</t>
    </r>
  </si>
  <si>
    <r>
      <rPr>
        <b/>
        <sz val="11"/>
        <rFont val="宋体"/>
        <charset val="134"/>
      </rPr>
      <t>电搭接类型</t>
    </r>
  </si>
  <si>
    <r>
      <rPr>
        <b/>
        <sz val="11"/>
        <color rgb="FF000000"/>
        <rFont val="宋体"/>
        <charset val="134"/>
      </rPr>
      <t>重量</t>
    </r>
    <r>
      <rPr>
        <b/>
        <sz val="11"/>
        <color rgb="FF000000"/>
        <rFont val="Times New Roman"/>
        <charset val="134"/>
      </rPr>
      <t xml:space="preserve">(kg)
</t>
    </r>
    <r>
      <rPr>
        <b/>
        <sz val="11"/>
        <color rgb="FFFF0000"/>
        <rFont val="Times New Roman"/>
        <charset val="134"/>
      </rPr>
      <t>托架重量分开填到sheet2</t>
    </r>
  </si>
  <si>
    <r>
      <rPr>
        <b/>
        <sz val="11"/>
        <rFont val="宋体"/>
        <charset val="134"/>
      </rPr>
      <t>是否有</t>
    </r>
    <r>
      <rPr>
        <b/>
        <sz val="11"/>
        <rFont val="Times New Roman"/>
        <charset val="134"/>
      </rPr>
      <t>EICD</t>
    </r>
  </si>
  <si>
    <t>是否是电设备</t>
  </si>
  <si>
    <t>是否为一级用电设备</t>
  </si>
  <si>
    <t>供电余度</t>
  </si>
  <si>
    <t>供电电压</t>
  </si>
  <si>
    <t>用电功率</t>
  </si>
  <si>
    <r>
      <rPr>
        <b/>
        <sz val="11"/>
        <color theme="1"/>
        <rFont val="宋体"/>
        <charset val="134"/>
      </rPr>
      <t>备注</t>
    </r>
  </si>
  <si>
    <t>设备清单批注</t>
  </si>
  <si>
    <r>
      <rPr>
        <sz val="11"/>
        <rFont val="Times New Roman"/>
        <charset val="134"/>
      </rPr>
      <t xml:space="preserve">EATA23 </t>
    </r>
    <r>
      <rPr>
        <sz val="11"/>
        <rFont val="宋体"/>
        <charset val="134"/>
      </rPr>
      <t>通信系统</t>
    </r>
  </si>
  <si>
    <r>
      <rPr>
        <sz val="11"/>
        <rFont val="Times New Roman"/>
        <charset val="134"/>
      </rPr>
      <t>ELT</t>
    </r>
    <r>
      <rPr>
        <sz val="11"/>
        <rFont val="宋体"/>
        <charset val="134"/>
      </rPr>
      <t>发射器</t>
    </r>
  </si>
  <si>
    <t>2321E01001G900</t>
  </si>
  <si>
    <t>2301U3101</t>
  </si>
  <si>
    <r>
      <rPr>
        <sz val="11"/>
        <rFont val="宋体"/>
        <charset val="134"/>
      </rPr>
      <t>客舱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顶部</t>
    </r>
  </si>
  <si>
    <r>
      <rPr>
        <sz val="11"/>
        <rFont val="宋体"/>
        <charset val="134"/>
      </rPr>
      <t>有</t>
    </r>
  </si>
  <si>
    <t>是</t>
  </si>
  <si>
    <t/>
  </si>
  <si>
    <r>
      <rPr>
        <sz val="11"/>
        <rFont val="Times New Roman"/>
        <charset val="134"/>
      </rPr>
      <t>ELT</t>
    </r>
    <r>
      <rPr>
        <sz val="11"/>
        <rFont val="宋体"/>
        <charset val="134"/>
      </rPr>
      <t>天线</t>
    </r>
  </si>
  <si>
    <t>2321E01003G900</t>
  </si>
  <si>
    <t>2301A3901</t>
  </si>
  <si>
    <r>
      <rPr>
        <sz val="11"/>
        <rFont val="宋体"/>
        <charset val="134"/>
      </rPr>
      <t>客舱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外部</t>
    </r>
  </si>
  <si>
    <t>否</t>
  </si>
  <si>
    <r>
      <rPr>
        <sz val="11"/>
        <rFont val="宋体"/>
        <charset val="134"/>
      </rPr>
      <t>音频管理单元</t>
    </r>
    <r>
      <rPr>
        <sz val="11"/>
        <rFont val="Times New Roman"/>
        <charset val="134"/>
      </rPr>
      <t>1</t>
    </r>
  </si>
  <si>
    <t>2350E01001G900</t>
  </si>
  <si>
    <t>2302U2501</t>
  </si>
  <si>
    <r>
      <rPr>
        <sz val="11"/>
        <rFont val="宋体"/>
        <charset val="134"/>
      </rPr>
      <t>驾驶舱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左设备架</t>
    </r>
  </si>
  <si>
    <t>重量含托架</t>
  </si>
  <si>
    <r>
      <rPr>
        <sz val="11"/>
        <rFont val="宋体"/>
        <charset val="134"/>
      </rPr>
      <t>音频管理单元</t>
    </r>
    <r>
      <rPr>
        <sz val="11"/>
        <rFont val="Times New Roman"/>
        <charset val="134"/>
      </rPr>
      <t>2</t>
    </r>
  </si>
  <si>
    <t>2302U2603</t>
  </si>
  <si>
    <r>
      <rPr>
        <sz val="11"/>
        <rFont val="宋体"/>
        <charset val="134"/>
      </rPr>
      <t>驾驶舱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右设备架</t>
    </r>
  </si>
  <si>
    <r>
      <rPr>
        <sz val="11"/>
        <rFont val="宋体"/>
        <charset val="134"/>
      </rPr>
      <t>音频插孔面板</t>
    </r>
    <r>
      <rPr>
        <sz val="11"/>
        <rFont val="Times New Roman"/>
        <charset val="134"/>
      </rPr>
      <t>1</t>
    </r>
  </si>
  <si>
    <t>2350E02001G900</t>
  </si>
  <si>
    <t>2302D2401</t>
  </si>
  <si>
    <r>
      <rPr>
        <sz val="11"/>
        <rFont val="宋体"/>
        <charset val="134"/>
      </rPr>
      <t>驾驶舱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控制面板</t>
    </r>
  </si>
  <si>
    <r>
      <rPr>
        <sz val="11"/>
        <rFont val="宋体"/>
        <charset val="134"/>
      </rPr>
      <t>音频插孔面板</t>
    </r>
    <r>
      <rPr>
        <sz val="11"/>
        <rFont val="Times New Roman"/>
        <charset val="134"/>
      </rPr>
      <t>2</t>
    </r>
  </si>
  <si>
    <t>2302D2403</t>
  </si>
  <si>
    <r>
      <rPr>
        <sz val="11"/>
        <rFont val="宋体"/>
        <charset val="134"/>
      </rPr>
      <t>悬臂式耳机</t>
    </r>
    <r>
      <rPr>
        <sz val="11"/>
        <rFont val="Times New Roman"/>
        <charset val="134"/>
      </rPr>
      <t>1</t>
    </r>
  </si>
  <si>
    <t>2350E02003G900</t>
  </si>
  <si>
    <t>2302R2101</t>
  </si>
  <si>
    <r>
      <rPr>
        <sz val="11"/>
        <rFont val="宋体"/>
        <charset val="134"/>
      </rPr>
      <t>驾驶舱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顶部</t>
    </r>
  </si>
  <si>
    <r>
      <rPr>
        <sz val="11"/>
        <rFont val="宋体"/>
        <charset val="134"/>
      </rPr>
      <t>无</t>
    </r>
  </si>
  <si>
    <r>
      <rPr>
        <sz val="11"/>
        <rFont val="宋体"/>
        <charset val="134"/>
      </rPr>
      <t>悬臂式耳机</t>
    </r>
    <r>
      <rPr>
        <sz val="11"/>
        <rFont val="Times New Roman"/>
        <charset val="134"/>
      </rPr>
      <t>2</t>
    </r>
  </si>
  <si>
    <t>2302R2103</t>
  </si>
  <si>
    <r>
      <rPr>
        <sz val="11"/>
        <rFont val="宋体"/>
        <charset val="134"/>
      </rPr>
      <t>手持话筒</t>
    </r>
    <r>
      <rPr>
        <sz val="11"/>
        <rFont val="Times New Roman"/>
        <charset val="134"/>
      </rPr>
      <t>1</t>
    </r>
  </si>
  <si>
    <t>2350E02005G900</t>
  </si>
  <si>
    <t>2302D2101</t>
  </si>
  <si>
    <r>
      <rPr>
        <sz val="11"/>
        <rFont val="宋体"/>
        <charset val="134"/>
      </rPr>
      <t>手持话筒</t>
    </r>
    <r>
      <rPr>
        <sz val="11"/>
        <rFont val="Times New Roman"/>
        <charset val="134"/>
      </rPr>
      <t>2</t>
    </r>
  </si>
  <si>
    <t>2302D2103</t>
  </si>
  <si>
    <r>
      <rPr>
        <sz val="11"/>
        <rFont val="宋体"/>
        <charset val="134"/>
      </rPr>
      <t>扬声器</t>
    </r>
    <r>
      <rPr>
        <sz val="11"/>
        <rFont val="Times New Roman"/>
        <charset val="134"/>
      </rPr>
      <t>1</t>
    </r>
  </si>
  <si>
    <t>2350E02007G900</t>
  </si>
  <si>
    <t>2302E2101</t>
  </si>
  <si>
    <r>
      <rPr>
        <sz val="11"/>
        <rFont val="宋体"/>
        <charset val="134"/>
      </rPr>
      <t>扬声器</t>
    </r>
    <r>
      <rPr>
        <sz val="11"/>
        <rFont val="Times New Roman"/>
        <charset val="134"/>
      </rPr>
      <t>2</t>
    </r>
  </si>
  <si>
    <t>2302E2103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</si>
  <si>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1</t>
    </r>
  </si>
  <si>
    <t>2362E01001G900</t>
  </si>
  <si>
    <t>2315G6201</t>
  </si>
  <si>
    <r>
      <rPr>
        <sz val="11"/>
        <rFont val="宋体"/>
        <charset val="134"/>
      </rPr>
      <t>机翼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机翼外段</t>
    </r>
  </si>
  <si>
    <r>
      <rPr>
        <sz val="11"/>
        <rFont val="宋体"/>
        <charset val="134"/>
      </rPr>
      <t>建议更改连接形式</t>
    </r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</si>
  <si>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2</t>
    </r>
  </si>
  <si>
    <t>2315G6203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</si>
  <si>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3</t>
    </r>
  </si>
  <si>
    <t>2315G6205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</si>
  <si>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4</t>
    </r>
  </si>
  <si>
    <t>2315G6207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</si>
  <si>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5</t>
    </r>
  </si>
  <si>
    <t>2315G6209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</si>
  <si>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6</t>
    </r>
  </si>
  <si>
    <t>2315G6211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</si>
  <si>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7</t>
    </r>
  </si>
  <si>
    <t>2315G8301</t>
  </si>
  <si>
    <r>
      <rPr>
        <sz val="11"/>
        <rFont val="宋体"/>
        <charset val="134"/>
      </rPr>
      <t>尾段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水平尾翼</t>
    </r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</si>
  <si>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8</t>
    </r>
  </si>
  <si>
    <t>2315G8303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</si>
  <si>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9</t>
    </r>
  </si>
  <si>
    <t>2315G8305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</si>
  <si>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10</t>
    </r>
  </si>
  <si>
    <t>2315G8307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</si>
  <si>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11</t>
    </r>
  </si>
  <si>
    <t>2315G8309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</si>
  <si>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12</t>
    </r>
  </si>
  <si>
    <t>2315G8311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</si>
  <si>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13</t>
    </r>
  </si>
  <si>
    <t>2315G8201</t>
  </si>
  <si>
    <r>
      <rPr>
        <sz val="11"/>
        <rFont val="宋体"/>
        <charset val="134"/>
      </rPr>
      <t>尾段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垂直尾翼</t>
    </r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</si>
  <si>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14</t>
    </r>
  </si>
  <si>
    <t>2315G8203</t>
  </si>
  <si>
    <r>
      <rPr>
        <sz val="11"/>
        <rFont val="宋体"/>
        <charset val="134"/>
      </rPr>
      <t>后缘型静电放电器</t>
    </r>
    <r>
      <rPr>
        <sz val="11"/>
        <rFont val="Times New Roman"/>
        <charset val="134"/>
      </rPr>
      <t>15</t>
    </r>
  </si>
  <si>
    <t>2315G8205</t>
  </si>
  <si>
    <r>
      <rPr>
        <sz val="11"/>
        <rFont val="Times New Roman"/>
        <charset val="134"/>
      </rPr>
      <t>5G ATG</t>
    </r>
    <r>
      <rPr>
        <sz val="11"/>
        <rFont val="宋体"/>
        <charset val="134"/>
      </rPr>
      <t>机载</t>
    </r>
    <r>
      <rPr>
        <sz val="11"/>
        <rFont val="Times New Roman"/>
        <charset val="134"/>
      </rPr>
      <t>CPE</t>
    </r>
  </si>
  <si>
    <t>2393E01001G900</t>
  </si>
  <si>
    <t>2301U3601</t>
  </si>
  <si>
    <t>客舱-后设备舱左设备架</t>
  </si>
  <si>
    <r>
      <rPr>
        <sz val="11"/>
        <rFont val="宋体"/>
        <charset val="134"/>
      </rPr>
      <t>功率放大器</t>
    </r>
  </si>
  <si>
    <t>2393E01001U900</t>
  </si>
  <si>
    <t>2301U3201</t>
  </si>
  <si>
    <r>
      <rPr>
        <sz val="11"/>
        <rFont val="宋体"/>
        <charset val="134"/>
      </rPr>
      <t>需改为标准</t>
    </r>
    <r>
      <rPr>
        <sz val="11"/>
        <rFont val="Times New Roman"/>
        <charset val="134"/>
      </rPr>
      <t>ARINC600</t>
    </r>
    <r>
      <rPr>
        <sz val="11"/>
        <rFont val="宋体"/>
        <charset val="134"/>
      </rPr>
      <t>机箱</t>
    </r>
  </si>
  <si>
    <r>
      <rPr>
        <sz val="11"/>
        <rFont val="Times New Roman"/>
        <charset val="134"/>
      </rPr>
      <t>5G ATG</t>
    </r>
    <r>
      <rPr>
        <sz val="11"/>
        <rFont val="宋体"/>
        <charset val="134"/>
      </rPr>
      <t>全向天线</t>
    </r>
  </si>
  <si>
    <t>2393E01003U900</t>
  </si>
  <si>
    <t>2301A4901</t>
  </si>
  <si>
    <r>
      <rPr>
        <sz val="11"/>
        <rFont val="宋体"/>
        <charset val="134"/>
      </rPr>
      <t>下机身前段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外部</t>
    </r>
  </si>
  <si>
    <r>
      <rPr>
        <sz val="11"/>
        <rFont val="宋体"/>
        <charset val="134"/>
      </rPr>
      <t>电源转换模块</t>
    </r>
  </si>
  <si>
    <t>2393E01005U900</t>
  </si>
  <si>
    <t>2301T3201</t>
  </si>
  <si>
    <r>
      <rPr>
        <sz val="11"/>
        <rFont val="宋体"/>
        <charset val="134"/>
      </rPr>
      <t>客舱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后设备舱盘箱</t>
    </r>
  </si>
  <si>
    <r>
      <rPr>
        <sz val="11"/>
        <rFont val="Times New Roman"/>
        <charset val="134"/>
      </rPr>
      <t xml:space="preserve">EATA24 </t>
    </r>
    <r>
      <rPr>
        <sz val="11"/>
        <rFont val="宋体"/>
        <charset val="134"/>
      </rPr>
      <t>电源系统</t>
    </r>
  </si>
  <si>
    <r>
      <rPr>
        <sz val="11"/>
        <rFont val="Times New Roman"/>
        <charset val="134"/>
      </rPr>
      <t>E 270V</t>
    </r>
    <r>
      <rPr>
        <sz val="11"/>
        <rFont val="宋体"/>
        <charset val="134"/>
      </rPr>
      <t>电池（含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）</t>
    </r>
  </si>
  <si>
    <t>2431E01001G900</t>
  </si>
  <si>
    <t>2401G4101</t>
  </si>
  <si>
    <r>
      <rPr>
        <sz val="11"/>
        <rFont val="宋体"/>
        <charset val="134"/>
      </rPr>
      <t>下机身前段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前设备舱</t>
    </r>
  </si>
  <si>
    <t>【20260309】提供新重量</t>
  </si>
  <si>
    <r>
      <rPr>
        <sz val="11"/>
        <rFont val="Times New Roman"/>
        <charset val="134"/>
      </rPr>
      <t>LR 270V</t>
    </r>
    <r>
      <rPr>
        <sz val="11"/>
        <rFont val="宋体"/>
        <charset val="134"/>
      </rPr>
      <t>电池（含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）</t>
    </r>
  </si>
  <si>
    <t>2431E01003G900</t>
  </si>
  <si>
    <t>2401G5201</t>
  </si>
  <si>
    <r>
      <rPr>
        <sz val="11"/>
        <rFont val="宋体"/>
        <charset val="134"/>
      </rPr>
      <t>下机身后段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中设备舱</t>
    </r>
  </si>
  <si>
    <r>
      <rPr>
        <sz val="11"/>
        <color rgb="FF000000"/>
        <rFont val="宋体"/>
        <charset val="134"/>
      </rPr>
      <t>应急</t>
    </r>
    <r>
      <rPr>
        <sz val="11"/>
        <color rgb="FF000000"/>
        <rFont val="Times New Roman"/>
        <charset val="134"/>
      </rPr>
      <t>28V</t>
    </r>
    <r>
      <rPr>
        <sz val="11"/>
        <color rgb="FF000000"/>
        <rFont val="宋体"/>
        <charset val="134"/>
      </rPr>
      <t>电池（含</t>
    </r>
    <r>
      <rPr>
        <sz val="11"/>
        <color rgb="FF000000"/>
        <rFont val="Times New Roman"/>
        <charset val="134"/>
      </rPr>
      <t>BMS</t>
    </r>
    <r>
      <rPr>
        <sz val="11"/>
        <color rgb="FF000000"/>
        <rFont val="宋体"/>
        <charset val="134"/>
      </rPr>
      <t>）</t>
    </r>
  </si>
  <si>
    <t>2432E01001G900</t>
  </si>
  <si>
    <t>2401G4103</t>
  </si>
  <si>
    <t>机身外部充电接口</t>
  </si>
  <si>
    <t>新增替换原有面板和插座</t>
  </si>
  <si>
    <r>
      <rPr>
        <sz val="11"/>
        <rFont val="宋体"/>
        <charset val="134"/>
      </rPr>
      <t>左配电盘箱</t>
    </r>
  </si>
  <si>
    <t>2461E01001G900</t>
  </si>
  <si>
    <t>2401U3401</t>
  </si>
  <si>
    <t>390*460*200</t>
  </si>
  <si>
    <r>
      <rPr>
        <sz val="11"/>
        <rFont val="宋体"/>
        <charset val="134"/>
      </rPr>
      <t>改成单面出线、缩小体积重量</t>
    </r>
  </si>
  <si>
    <t>两侧出线，六个安装孔，方案未冻结</t>
  </si>
  <si>
    <r>
      <rPr>
        <sz val="11"/>
        <color theme="1"/>
        <rFont val="宋体"/>
        <charset val="134"/>
      </rPr>
      <t>安装方式调整</t>
    </r>
  </si>
  <si>
    <r>
      <rPr>
        <sz val="11"/>
        <rFont val="宋体"/>
        <charset val="134"/>
      </rPr>
      <t>右配电盘箱</t>
    </r>
  </si>
  <si>
    <t>2461E01003G900</t>
  </si>
  <si>
    <t>2401U3403</t>
  </si>
  <si>
    <r>
      <rPr>
        <sz val="11"/>
        <rFont val="宋体"/>
        <charset val="134"/>
      </rPr>
      <t>应急配电盘箱</t>
    </r>
  </si>
  <si>
    <t>2461E01005G900</t>
  </si>
  <si>
    <t>2401U2601</t>
  </si>
  <si>
    <t>320*650*170</t>
  </si>
  <si>
    <r>
      <rPr>
        <sz val="11"/>
        <rFont val="宋体"/>
        <charset val="134"/>
      </rPr>
      <t>远程配电装置</t>
    </r>
    <r>
      <rPr>
        <sz val="11"/>
        <rFont val="Times New Roman"/>
        <charset val="134"/>
      </rPr>
      <t xml:space="preserve"> RPDU1</t>
    </r>
  </si>
  <si>
    <t>2462E01001G900</t>
  </si>
  <si>
    <t>2404U4101</t>
  </si>
  <si>
    <r>
      <rPr>
        <sz val="11"/>
        <rFont val="宋体"/>
        <charset val="134"/>
      </rPr>
      <t>缩小设备尺寸，降低设备宽度</t>
    </r>
  </si>
  <si>
    <t>位置调整
【20260309】提供新重量</t>
  </si>
  <si>
    <r>
      <rPr>
        <sz val="11"/>
        <rFont val="宋体"/>
        <charset val="134"/>
      </rPr>
      <t>远程配电装置</t>
    </r>
    <r>
      <rPr>
        <sz val="11"/>
        <rFont val="Times New Roman"/>
        <charset val="134"/>
      </rPr>
      <t xml:space="preserve"> RPDU2</t>
    </r>
  </si>
  <si>
    <t>2462E01003G900</t>
  </si>
  <si>
    <t>2404U4103</t>
  </si>
  <si>
    <r>
      <rPr>
        <sz val="11"/>
        <color rgb="FFFF0000"/>
        <rFont val="汉仪书宋二KW"/>
        <charset val="134"/>
      </rPr>
      <t>驾驶舱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汉仪书宋二KW"/>
        <charset val="134"/>
      </rPr>
      <t>左设备架</t>
    </r>
  </si>
  <si>
    <r>
      <rPr>
        <sz val="11"/>
        <rFont val="宋体"/>
        <charset val="134"/>
      </rPr>
      <t>远程配电装置</t>
    </r>
    <r>
      <rPr>
        <sz val="11"/>
        <rFont val="Times New Roman"/>
        <charset val="134"/>
      </rPr>
      <t xml:space="preserve"> RPDU3</t>
    </r>
  </si>
  <si>
    <t>2462E01005G900</t>
  </si>
  <si>
    <t>2404U3405</t>
  </si>
  <si>
    <r>
      <rPr>
        <sz val="11"/>
        <color rgb="FFFF0000"/>
        <rFont val="汉仪书宋二KW"/>
        <charset val="134"/>
      </rPr>
      <t>客舱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汉仪书宋二KW"/>
        <charset val="134"/>
      </rPr>
      <t>后设备舱左设备架</t>
    </r>
  </si>
  <si>
    <r>
      <rPr>
        <sz val="11"/>
        <rFont val="宋体"/>
        <charset val="134"/>
      </rPr>
      <t>远程配电装置</t>
    </r>
    <r>
      <rPr>
        <sz val="11"/>
        <rFont val="Times New Roman"/>
        <charset val="134"/>
      </rPr>
      <t xml:space="preserve"> RPDU4</t>
    </r>
  </si>
  <si>
    <t>2462E01007G900</t>
  </si>
  <si>
    <t>2404U3407</t>
  </si>
  <si>
    <r>
      <rPr>
        <sz val="11"/>
        <color rgb="FFFF0000"/>
        <rFont val="汉仪书宋二KW"/>
        <charset val="134"/>
      </rPr>
      <t>客舱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汉仪书宋二KW"/>
        <charset val="134"/>
      </rPr>
      <t>后设备舱右设备架</t>
    </r>
  </si>
  <si>
    <t>方案未冻结</t>
  </si>
  <si>
    <t>L270/28V DCDC</t>
  </si>
  <si>
    <t>2463E01003G900</t>
  </si>
  <si>
    <t>2402T3401</t>
  </si>
  <si>
    <t>R270/28V DCDC</t>
  </si>
  <si>
    <t>2402T3403</t>
  </si>
  <si>
    <t>E270/28V DCDC</t>
  </si>
  <si>
    <t>2463E01005G900</t>
  </si>
  <si>
    <t>2401T2601</t>
  </si>
  <si>
    <r>
      <rPr>
        <sz val="11"/>
        <rFont val="Times New Roman"/>
        <charset val="134"/>
      </rPr>
      <t xml:space="preserve">EATA25 </t>
    </r>
    <r>
      <rPr>
        <sz val="11"/>
        <rFont val="宋体"/>
        <charset val="134"/>
      </rPr>
      <t>设备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装饰</t>
    </r>
  </si>
  <si>
    <r>
      <rPr>
        <sz val="11"/>
        <rFont val="宋体"/>
        <charset val="134"/>
      </rPr>
      <t>中央操纵台控制板</t>
    </r>
  </si>
  <si>
    <t>2519E01001G900</t>
  </si>
  <si>
    <t>2501U2401</t>
  </si>
  <si>
    <r>
      <rPr>
        <sz val="11"/>
        <rFont val="宋体"/>
        <charset val="134"/>
      </rPr>
      <t>应急控制板</t>
    </r>
  </si>
  <si>
    <t>2519E02001G900</t>
  </si>
  <si>
    <t>2501U2403</t>
  </si>
  <si>
    <r>
      <rPr>
        <sz val="11"/>
        <rFont val="宋体"/>
        <charset val="134"/>
      </rPr>
      <t>电源控制板</t>
    </r>
  </si>
  <si>
    <t>2519E03001G900</t>
  </si>
  <si>
    <t>2501U2405</t>
  </si>
  <si>
    <r>
      <rPr>
        <sz val="11"/>
        <rFont val="宋体"/>
        <charset val="134"/>
      </rPr>
      <t>推力手柄</t>
    </r>
  </si>
  <si>
    <t>2519E04001G900</t>
  </si>
  <si>
    <t>2501U2407</t>
  </si>
  <si>
    <r>
      <rPr>
        <sz val="11"/>
        <rFont val="宋体"/>
        <charset val="134"/>
      </rPr>
      <t>驾驶员座椅左</t>
    </r>
  </si>
  <si>
    <t>2514E01001G900</t>
  </si>
  <si>
    <t>2501U2201</t>
  </si>
  <si>
    <r>
      <rPr>
        <sz val="11"/>
        <rFont val="宋体"/>
        <charset val="134"/>
      </rPr>
      <t>驾驶舱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地板上</t>
    </r>
  </si>
  <si>
    <r>
      <rPr>
        <sz val="11"/>
        <rFont val="宋体"/>
        <charset val="134"/>
      </rPr>
      <t>驾驶员座椅右</t>
    </r>
  </si>
  <si>
    <t>2514E02001G900</t>
  </si>
  <si>
    <t>2501U2203</t>
  </si>
  <si>
    <r>
      <rPr>
        <sz val="11"/>
        <rFont val="宋体"/>
        <charset val="134"/>
      </rPr>
      <t>驾驶舱天花板支架</t>
    </r>
  </si>
  <si>
    <t>2511E01000G200</t>
  </si>
  <si>
    <t>2501U2101</t>
  </si>
  <si>
    <r>
      <rPr>
        <sz val="11"/>
        <rFont val="宋体"/>
        <charset val="134"/>
      </rPr>
      <t>驾驶舱天花板</t>
    </r>
  </si>
  <si>
    <t>2511E02000G200</t>
  </si>
  <si>
    <t>2501U2103</t>
  </si>
  <si>
    <r>
      <rPr>
        <sz val="11"/>
        <rFont val="宋体"/>
        <charset val="134"/>
      </rPr>
      <t>驾驶舱窗框装饰罩</t>
    </r>
  </si>
  <si>
    <t>2511E03000G200</t>
  </si>
  <si>
    <t>2501U2105</t>
  </si>
  <si>
    <r>
      <rPr>
        <sz val="11"/>
        <rFont val="宋体"/>
        <charset val="134"/>
      </rPr>
      <t>驾驶舱窗框装饰罩支架</t>
    </r>
  </si>
  <si>
    <t>2511E04000G200</t>
  </si>
  <si>
    <t>2501U2107</t>
  </si>
  <si>
    <r>
      <rPr>
        <sz val="11"/>
        <rFont val="宋体"/>
        <charset val="134"/>
      </rPr>
      <t>驾驶舱后装饰板</t>
    </r>
  </si>
  <si>
    <t>2511E05000G200</t>
  </si>
  <si>
    <t>2501U2109</t>
  </si>
  <si>
    <r>
      <rPr>
        <sz val="11"/>
        <rFont val="宋体"/>
        <charset val="134"/>
      </rPr>
      <t>遮光罩装饰</t>
    </r>
  </si>
  <si>
    <t>2511E06000G200</t>
  </si>
  <si>
    <t>2501U2111</t>
  </si>
  <si>
    <r>
      <rPr>
        <sz val="11"/>
        <rFont val="宋体"/>
        <charset val="134"/>
      </rPr>
      <t>中央操纵台装饰</t>
    </r>
  </si>
  <si>
    <t>2511E07000G200</t>
  </si>
  <si>
    <t>2501U2217</t>
  </si>
  <si>
    <r>
      <rPr>
        <sz val="11"/>
        <rFont val="宋体"/>
        <charset val="134"/>
      </rPr>
      <t>左侧操纵台</t>
    </r>
  </si>
  <si>
    <t>2511E08000G200</t>
  </si>
  <si>
    <t>2501U2219</t>
  </si>
  <si>
    <r>
      <rPr>
        <sz val="11"/>
        <rFont val="宋体"/>
        <charset val="134"/>
      </rPr>
      <t>右侧操纵台</t>
    </r>
  </si>
  <si>
    <t>2511E09000G200</t>
  </si>
  <si>
    <t>2501U2221</t>
  </si>
  <si>
    <r>
      <rPr>
        <sz val="11"/>
        <rFont val="宋体"/>
        <charset val="134"/>
      </rPr>
      <t>左侧操纵台支架</t>
    </r>
  </si>
  <si>
    <t>2511E10000G200</t>
  </si>
  <si>
    <t>2501U2223</t>
  </si>
  <si>
    <r>
      <rPr>
        <sz val="11"/>
        <rFont val="宋体"/>
        <charset val="134"/>
      </rPr>
      <t>右侧操纵台支架</t>
    </r>
  </si>
  <si>
    <t>2511E11000G200</t>
  </si>
  <si>
    <t>2501U2225</t>
  </si>
  <si>
    <r>
      <rPr>
        <sz val="11"/>
        <rFont val="宋体"/>
        <charset val="134"/>
      </rPr>
      <t>遮阳板</t>
    </r>
  </si>
  <si>
    <t>2511E12001G900</t>
  </si>
  <si>
    <t>2501U2409</t>
  </si>
  <si>
    <r>
      <rPr>
        <sz val="11"/>
        <rFont val="宋体"/>
        <charset val="134"/>
      </rPr>
      <t>目视定位仪</t>
    </r>
  </si>
  <si>
    <t>2511E13001G900</t>
  </si>
  <si>
    <t>2501U2113</t>
  </si>
  <si>
    <r>
      <rPr>
        <sz val="11"/>
        <rFont val="宋体"/>
        <charset val="134"/>
      </rPr>
      <t>驾驶员辅助手柄</t>
    </r>
  </si>
  <si>
    <t>2511E14001G900</t>
  </si>
  <si>
    <t>2501U2227</t>
  </si>
  <si>
    <r>
      <rPr>
        <sz val="11"/>
        <rFont val="宋体"/>
        <charset val="134"/>
      </rPr>
      <t>驾驶舱门</t>
    </r>
  </si>
  <si>
    <t>2511E15000G200</t>
  </si>
  <si>
    <t>2501U2229</t>
  </si>
  <si>
    <r>
      <rPr>
        <sz val="11"/>
        <rFont val="宋体"/>
        <charset val="134"/>
      </rPr>
      <t>驾驶舱地板覆盖物</t>
    </r>
  </si>
  <si>
    <t>2511E16001G900</t>
  </si>
  <si>
    <t>2501U2231</t>
  </si>
  <si>
    <r>
      <rPr>
        <sz val="11"/>
        <rFont val="宋体"/>
        <charset val="134"/>
      </rPr>
      <t>驾驶舱标记标牌</t>
    </r>
  </si>
  <si>
    <t>2511E18001G900</t>
  </si>
  <si>
    <t>2501U2235</t>
  </si>
  <si>
    <r>
      <rPr>
        <sz val="11"/>
        <rFont val="Times New Roman"/>
        <charset val="134"/>
      </rPr>
      <t xml:space="preserve">EATA26 </t>
    </r>
    <r>
      <rPr>
        <sz val="11"/>
        <rFont val="宋体"/>
        <charset val="134"/>
      </rPr>
      <t>防火</t>
    </r>
  </si>
  <si>
    <r>
      <rPr>
        <sz val="11"/>
        <rFont val="宋体"/>
        <charset val="134"/>
      </rPr>
      <t>防火控制器</t>
    </r>
  </si>
  <si>
    <r>
      <rPr>
        <sz val="11"/>
        <rFont val="宋体"/>
        <charset val="134"/>
      </rPr>
      <t>电池舱火警探测器</t>
    </r>
  </si>
  <si>
    <r>
      <rPr>
        <sz val="11"/>
        <rFont val="宋体"/>
        <charset val="134"/>
      </rPr>
      <t>主起舱火警探测器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</si>
  <si>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主起舱火警探测器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</si>
  <si>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主起舱火警探测器</t>
    </r>
    <r>
      <rPr>
        <sz val="11"/>
        <rFont val="Times New Roman"/>
        <charset val="134"/>
      </rPr>
      <t>3</t>
    </r>
  </si>
  <si>
    <r>
      <rPr>
        <sz val="11"/>
        <rFont val="宋体"/>
        <charset val="134"/>
      </rPr>
      <t>主起舱火警探测器</t>
    </r>
    <r>
      <rPr>
        <sz val="11"/>
        <rFont val="Times New Roman"/>
        <charset val="134"/>
      </rPr>
      <t>4</t>
    </r>
  </si>
  <si>
    <r>
      <rPr>
        <sz val="11"/>
        <rFont val="Times New Roman"/>
        <charset val="134"/>
      </rPr>
      <t>EE</t>
    </r>
    <r>
      <rPr>
        <sz val="11"/>
        <rFont val="宋体"/>
        <charset val="134"/>
      </rPr>
      <t>舱烟雾探测器</t>
    </r>
    <r>
      <rPr>
        <sz val="11"/>
        <rFont val="Times New Roman"/>
        <charset val="134"/>
      </rPr>
      <t>1</t>
    </r>
  </si>
  <si>
    <r>
      <rPr>
        <sz val="11"/>
        <rFont val="Times New Roman"/>
        <charset val="134"/>
      </rPr>
      <t>EE</t>
    </r>
    <r>
      <rPr>
        <sz val="11"/>
        <rFont val="宋体"/>
        <charset val="134"/>
      </rPr>
      <t>舱烟雾探测器</t>
    </r>
    <r>
      <rPr>
        <sz val="11"/>
        <rFont val="Times New Roman"/>
        <charset val="134"/>
      </rPr>
      <t>2</t>
    </r>
  </si>
  <si>
    <t>EE舱烟雾探测器3</t>
  </si>
  <si>
    <r>
      <rPr>
        <sz val="11"/>
        <rFont val="宋体"/>
        <charset val="134"/>
      </rPr>
      <t>手提式灭火瓶</t>
    </r>
  </si>
  <si>
    <r>
      <rPr>
        <sz val="11"/>
        <rFont val="Times New Roman"/>
        <charset val="134"/>
      </rPr>
      <t xml:space="preserve">EATA27 </t>
    </r>
    <r>
      <rPr>
        <sz val="11"/>
        <rFont val="宋体"/>
        <charset val="134"/>
      </rPr>
      <t>飞行控制系统</t>
    </r>
  </si>
  <si>
    <r>
      <rPr>
        <sz val="11"/>
        <rFont val="宋体"/>
        <charset val="134"/>
      </rPr>
      <t>左内侧副翼作动器</t>
    </r>
  </si>
  <si>
    <t>2710E01001G900</t>
  </si>
  <si>
    <t>2704M6201</t>
  </si>
  <si>
    <r>
      <rPr>
        <sz val="11"/>
        <rFont val="宋体"/>
        <charset val="134"/>
      </rPr>
      <t>左外侧副翼作动器</t>
    </r>
  </si>
  <si>
    <t>2704M6203</t>
  </si>
  <si>
    <r>
      <rPr>
        <sz val="11"/>
        <rFont val="宋体"/>
        <charset val="134"/>
      </rPr>
      <t>右内侧副翼作动器</t>
    </r>
  </si>
  <si>
    <t>2704M6205</t>
  </si>
  <si>
    <r>
      <rPr>
        <sz val="11"/>
        <rFont val="宋体"/>
        <charset val="134"/>
      </rPr>
      <t>右外侧副翼作动器</t>
    </r>
  </si>
  <si>
    <t>2704M6207</t>
  </si>
  <si>
    <r>
      <rPr>
        <sz val="11"/>
        <rFont val="宋体"/>
        <charset val="134"/>
      </rPr>
      <t>左侧杆</t>
    </r>
  </si>
  <si>
    <t>2711E02001G900</t>
  </si>
  <si>
    <t>2702U2401</t>
  </si>
  <si>
    <r>
      <rPr>
        <sz val="11"/>
        <rFont val="宋体"/>
        <charset val="134"/>
      </rPr>
      <t>右侧杆</t>
    </r>
  </si>
  <si>
    <t>2711E02002G900</t>
  </si>
  <si>
    <t>2702U2402</t>
  </si>
  <si>
    <r>
      <rPr>
        <sz val="11"/>
        <rFont val="宋体"/>
        <charset val="134"/>
      </rPr>
      <t>方向舵上侧作动器</t>
    </r>
  </si>
  <si>
    <t>2720E01001G900</t>
  </si>
  <si>
    <t>2702M8201</t>
  </si>
  <si>
    <r>
      <rPr>
        <sz val="11"/>
        <rFont val="宋体"/>
        <charset val="134"/>
      </rPr>
      <t>方向舵下侧作动器</t>
    </r>
  </si>
  <si>
    <t>2702M8203</t>
  </si>
  <si>
    <r>
      <rPr>
        <sz val="11"/>
        <rFont val="宋体"/>
        <charset val="134"/>
      </rPr>
      <t>脚蹬单元</t>
    </r>
  </si>
  <si>
    <t>2721E01001G900</t>
  </si>
  <si>
    <t>2702U2201</t>
  </si>
  <si>
    <r>
      <rPr>
        <sz val="11"/>
        <rFont val="宋体"/>
        <charset val="134"/>
      </rPr>
      <t>左升降舵内侧作动器</t>
    </r>
  </si>
  <si>
    <t>2730E01001G900</t>
  </si>
  <si>
    <t>2704M8301</t>
  </si>
  <si>
    <r>
      <rPr>
        <sz val="11"/>
        <rFont val="宋体"/>
        <charset val="134"/>
      </rPr>
      <t>左升降舵外侧作动器</t>
    </r>
  </si>
  <si>
    <t>2704M8303</t>
  </si>
  <si>
    <r>
      <rPr>
        <sz val="11"/>
        <rFont val="宋体"/>
        <charset val="134"/>
      </rPr>
      <t>右升降舵内侧作动器</t>
    </r>
  </si>
  <si>
    <t>2704M8305</t>
  </si>
  <si>
    <r>
      <rPr>
        <sz val="11"/>
        <rFont val="宋体"/>
        <charset val="134"/>
      </rPr>
      <t>右升降舵外侧作动器</t>
    </r>
  </si>
  <si>
    <t>2704M8307</t>
  </si>
  <si>
    <r>
      <rPr>
        <sz val="11"/>
        <rFont val="宋体"/>
        <charset val="134"/>
      </rPr>
      <t>左内襟翼作动器</t>
    </r>
  </si>
  <si>
    <t>2750E01001G900</t>
  </si>
  <si>
    <t>2702M6209</t>
  </si>
  <si>
    <r>
      <rPr>
        <sz val="11"/>
        <rFont val="宋体"/>
        <charset val="134"/>
      </rPr>
      <t>建议减小体积，优化设备连接器</t>
    </r>
  </si>
  <si>
    <r>
      <rPr>
        <sz val="11"/>
        <color theme="1"/>
        <rFont val="宋体"/>
        <charset val="134"/>
      </rPr>
      <t>连接器位置调整</t>
    </r>
  </si>
  <si>
    <r>
      <rPr>
        <sz val="11"/>
        <rFont val="宋体"/>
        <charset val="134"/>
      </rPr>
      <t>右内襟翼作动器</t>
    </r>
  </si>
  <si>
    <t>2702M6213</t>
  </si>
  <si>
    <r>
      <rPr>
        <sz val="11"/>
        <rFont val="宋体"/>
        <charset val="134"/>
      </rPr>
      <t>左外襟翼作动器</t>
    </r>
  </si>
  <si>
    <t>2750E01003G900</t>
  </si>
  <si>
    <t>2702M6211</t>
  </si>
  <si>
    <r>
      <rPr>
        <sz val="11"/>
        <rFont val="宋体"/>
        <charset val="134"/>
      </rPr>
      <t>右外襟翼作动器</t>
    </r>
  </si>
  <si>
    <t>2702M6215</t>
  </si>
  <si>
    <r>
      <rPr>
        <sz val="11"/>
        <rFont val="宋体"/>
        <charset val="134"/>
      </rPr>
      <t>主飞控计算机</t>
    </r>
    <r>
      <rPr>
        <sz val="11"/>
        <rFont val="Times New Roman"/>
        <charset val="134"/>
      </rPr>
      <t>1</t>
    </r>
  </si>
  <si>
    <t>2791E01001G900</t>
  </si>
  <si>
    <t>2703U3601</t>
  </si>
  <si>
    <r>
      <rPr>
        <sz val="11"/>
        <rFont val="宋体"/>
        <charset val="134"/>
      </rPr>
      <t>客舱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后设备舱右设备架</t>
    </r>
  </si>
  <si>
    <r>
      <rPr>
        <sz val="11"/>
        <rFont val="宋体"/>
        <charset val="134"/>
      </rPr>
      <t>主飞控计算机</t>
    </r>
    <r>
      <rPr>
        <sz val="11"/>
        <rFont val="Times New Roman"/>
        <charset val="134"/>
      </rPr>
      <t>2</t>
    </r>
  </si>
  <si>
    <t>2703U3501</t>
  </si>
  <si>
    <r>
      <rPr>
        <sz val="11"/>
        <rFont val="宋体"/>
        <charset val="134"/>
      </rPr>
      <t>客舱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后设备舱左设备架</t>
    </r>
  </si>
  <si>
    <r>
      <rPr>
        <sz val="11"/>
        <rFont val="宋体"/>
        <charset val="134"/>
      </rPr>
      <t>主飞控计算机</t>
    </r>
    <r>
      <rPr>
        <sz val="11"/>
        <rFont val="Times New Roman"/>
        <charset val="134"/>
      </rPr>
      <t>3</t>
    </r>
  </si>
  <si>
    <t>2703U2603</t>
  </si>
  <si>
    <r>
      <rPr>
        <sz val="11"/>
        <rFont val="宋体"/>
        <charset val="134"/>
      </rPr>
      <t>备份飞控计算机</t>
    </r>
  </si>
  <si>
    <t>2791E01003G900</t>
  </si>
  <si>
    <t>2701U2505</t>
  </si>
  <si>
    <r>
      <rPr>
        <sz val="11"/>
        <rFont val="宋体"/>
        <charset val="134"/>
      </rPr>
      <t>飞控数据记录器</t>
    </r>
    <r>
      <rPr>
        <sz val="11"/>
        <rFont val="Times New Roman"/>
        <charset val="134"/>
      </rPr>
      <t>1</t>
    </r>
  </si>
  <si>
    <t>2791E02001U900</t>
  </si>
  <si>
    <t>2702U3201</t>
  </si>
  <si>
    <t>成品线清单变更</t>
  </si>
  <si>
    <r>
      <rPr>
        <sz val="11"/>
        <rFont val="宋体"/>
        <charset val="134"/>
      </rPr>
      <t>飞控数据记录器</t>
    </r>
    <r>
      <rPr>
        <sz val="11"/>
        <rFont val="Times New Roman"/>
        <charset val="134"/>
      </rPr>
      <t>2</t>
    </r>
  </si>
  <si>
    <t>2702U3203</t>
  </si>
  <si>
    <r>
      <rPr>
        <sz val="11"/>
        <rFont val="宋体"/>
        <charset val="134"/>
      </rPr>
      <t>客舱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地板上</t>
    </r>
  </si>
  <si>
    <r>
      <rPr>
        <sz val="11"/>
        <color theme="1"/>
        <rFont val="宋体"/>
        <charset val="134"/>
      </rPr>
      <t>成品线清单变更</t>
    </r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</si>
  <si>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1</t>
    </r>
  </si>
  <si>
    <t>2792E01001G900</t>
  </si>
  <si>
    <t>2704U3501</t>
  </si>
  <si>
    <r>
      <rPr>
        <sz val="11"/>
        <color rgb="FFFF0000"/>
        <rFont val="宋体"/>
        <charset val="134"/>
      </rPr>
      <t>客舱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后设备舱右设备架</t>
    </r>
  </si>
  <si>
    <r>
      <rPr>
        <sz val="11"/>
        <rFont val="宋体"/>
        <charset val="134"/>
      </rPr>
      <t>需改为带托架的标准</t>
    </r>
    <r>
      <rPr>
        <sz val="11"/>
        <rFont val="Times New Roman"/>
        <charset val="134"/>
      </rPr>
      <t>ARINC600</t>
    </r>
    <r>
      <rPr>
        <sz val="11"/>
        <rFont val="宋体"/>
        <charset val="134"/>
      </rPr>
      <t>机箱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国军标</t>
    </r>
    <r>
      <rPr>
        <sz val="11"/>
        <rFont val="Times New Roman"/>
        <charset val="134"/>
      </rPr>
      <t>441</t>
    </r>
    <r>
      <rPr>
        <sz val="11"/>
        <rFont val="宋体"/>
        <charset val="134"/>
      </rPr>
      <t>标准尺寸机箱</t>
    </r>
  </si>
  <si>
    <r>
      <rPr>
        <sz val="11"/>
        <color theme="1"/>
        <rFont val="宋体"/>
        <charset val="134"/>
      </rPr>
      <t>位置、尺寸调整</t>
    </r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</si>
  <si>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2</t>
    </r>
  </si>
  <si>
    <t>2704U3603</t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</si>
  <si>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3</t>
    </r>
  </si>
  <si>
    <t>2704U3505</t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</si>
  <si>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4</t>
    </r>
  </si>
  <si>
    <t>2704U3507</t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</si>
  <si>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5</t>
    </r>
  </si>
  <si>
    <t>2792E01003G900</t>
  </si>
  <si>
    <t>2702U3609</t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</si>
  <si>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6</t>
    </r>
  </si>
  <si>
    <t>2702U3611</t>
  </si>
  <si>
    <r>
      <rPr>
        <sz val="11"/>
        <color rgb="FFFF0000"/>
        <rFont val="宋体"/>
        <charset val="134"/>
      </rPr>
      <t>客舱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后设备舱左设备架</t>
    </r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</si>
  <si>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7</t>
    </r>
  </si>
  <si>
    <t>2792E01005G900</t>
  </si>
  <si>
    <t>2702U3501</t>
  </si>
  <si>
    <r>
      <rPr>
        <sz val="11"/>
        <color rgb="FFFF0000"/>
        <rFont val="汉仪书宋二KW"/>
        <charset val="134"/>
      </rPr>
      <t>机翼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汉仪书宋二KW"/>
        <charset val="134"/>
      </rPr>
      <t>中央翼盒</t>
    </r>
  </si>
  <si>
    <r>
      <rPr>
        <sz val="11"/>
        <rFont val="宋体"/>
        <charset val="134"/>
      </rPr>
      <t>马达控制电子</t>
    </r>
    <r>
      <rPr>
        <sz val="11"/>
        <rFont val="Times New Roman"/>
        <charset val="134"/>
      </rPr>
      <t>8</t>
    </r>
  </si>
  <si>
    <t>2702U3603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</si>
  <si>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6</t>
    </r>
  </si>
  <si>
    <t>2793E01001G900</t>
  </si>
  <si>
    <t>2702U6211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</si>
  <si>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1</t>
    </r>
  </si>
  <si>
    <t>2702U6201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</si>
  <si>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3</t>
    </r>
  </si>
  <si>
    <t>2793E01003G900</t>
  </si>
  <si>
    <t>2702U6205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</si>
  <si>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4</t>
    </r>
  </si>
  <si>
    <t>2702U6207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</si>
  <si>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5</t>
    </r>
  </si>
  <si>
    <t>2793E01005G900</t>
  </si>
  <si>
    <t>2702U6209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</si>
  <si>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2</t>
    </r>
  </si>
  <si>
    <t>2702U6203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</si>
  <si>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7</t>
    </r>
  </si>
  <si>
    <t>2793E01007G900</t>
  </si>
  <si>
    <t>2702U6213</t>
  </si>
  <si>
    <r>
      <rPr>
        <sz val="11"/>
        <rFont val="宋体"/>
        <charset val="134"/>
      </rPr>
      <t>位置传感器</t>
    </r>
    <r>
      <rPr>
        <sz val="11"/>
        <rFont val="Times New Roman"/>
        <charset val="134"/>
      </rPr>
      <t>8</t>
    </r>
  </si>
  <si>
    <t>2702U6215</t>
  </si>
  <si>
    <r>
      <rPr>
        <sz val="11"/>
        <rFont val="宋体"/>
        <charset val="134"/>
      </rPr>
      <t>直接模式速率传感器（</t>
    </r>
    <r>
      <rPr>
        <sz val="11"/>
        <rFont val="Times New Roman"/>
        <charset val="134"/>
      </rPr>
      <t>DMRS</t>
    </r>
    <r>
      <rPr>
        <sz val="11"/>
        <rFont val="宋体"/>
        <charset val="134"/>
      </rPr>
      <t>）</t>
    </r>
  </si>
  <si>
    <t>2793E01009G900</t>
  </si>
  <si>
    <t>2701D6101</t>
  </si>
  <si>
    <r>
      <rPr>
        <sz val="11"/>
        <rFont val="宋体"/>
        <charset val="134"/>
      </rPr>
      <t>机翼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中央翼盒</t>
    </r>
  </si>
  <si>
    <r>
      <rPr>
        <sz val="11"/>
        <rFont val="Times New Roman"/>
        <charset val="134"/>
      </rPr>
      <t xml:space="preserve">EATA30 </t>
    </r>
    <r>
      <rPr>
        <sz val="11"/>
        <rFont val="宋体"/>
        <charset val="134"/>
      </rPr>
      <t>防除冰和除雨</t>
    </r>
  </si>
  <si>
    <r>
      <rPr>
        <sz val="11"/>
        <rFont val="宋体"/>
        <charset val="134"/>
      </rPr>
      <t>风挡加热控制器</t>
    </r>
    <r>
      <rPr>
        <sz val="11"/>
        <rFont val="Times New Roman"/>
        <charset val="134"/>
      </rPr>
      <t>1</t>
    </r>
  </si>
  <si>
    <t>3040E01001G900</t>
  </si>
  <si>
    <t>3002U2501</t>
  </si>
  <si>
    <t>318*194*90</t>
  </si>
  <si>
    <r>
      <rPr>
        <sz val="11"/>
        <rFont val="宋体"/>
        <charset val="134"/>
      </rPr>
      <t>改成标准</t>
    </r>
    <r>
      <rPr>
        <sz val="11"/>
        <rFont val="Times New Roman"/>
        <charset val="134"/>
      </rPr>
      <t>ARINC600</t>
    </r>
    <r>
      <rPr>
        <sz val="11"/>
        <rFont val="宋体"/>
        <charset val="134"/>
      </rPr>
      <t>，建议缩小体积</t>
    </r>
  </si>
  <si>
    <t>标准托架安装</t>
  </si>
  <si>
    <t>线搭接</t>
  </si>
  <si>
    <r>
      <rPr>
        <sz val="11"/>
        <rFont val="宋体"/>
        <charset val="134"/>
      </rPr>
      <t>风挡加热控制器</t>
    </r>
    <r>
      <rPr>
        <sz val="11"/>
        <rFont val="Times New Roman"/>
        <charset val="134"/>
      </rPr>
      <t>2</t>
    </r>
  </si>
  <si>
    <t>3040E01002G900</t>
  </si>
  <si>
    <t>3002U2601</t>
  </si>
  <si>
    <r>
      <rPr>
        <sz val="11"/>
        <rFont val="宋体"/>
        <charset val="134"/>
      </rPr>
      <t>风挡雨刷臂</t>
    </r>
    <r>
      <rPr>
        <sz val="11"/>
        <rFont val="Times New Roman"/>
        <charset val="134"/>
      </rPr>
      <t>1</t>
    </r>
  </si>
  <si>
    <t>3040E02001G900</t>
  </si>
  <si>
    <t>3002X1903</t>
  </si>
  <si>
    <r>
      <rPr>
        <sz val="11"/>
        <rFont val="宋体"/>
        <charset val="134"/>
      </rPr>
      <t>机头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外部</t>
    </r>
  </si>
  <si>
    <t>紧固件-螺栓螺母安装</t>
  </si>
  <si>
    <t>无</t>
  </si>
  <si>
    <r>
      <rPr>
        <sz val="11"/>
        <rFont val="宋体"/>
        <charset val="134"/>
      </rPr>
      <t>风挡雨刷臂</t>
    </r>
    <r>
      <rPr>
        <sz val="11"/>
        <rFont val="Times New Roman"/>
        <charset val="134"/>
      </rPr>
      <t>2</t>
    </r>
  </si>
  <si>
    <t>3040E02002G900</t>
  </si>
  <si>
    <t>3002X1905</t>
  </si>
  <si>
    <r>
      <rPr>
        <sz val="11"/>
        <rFont val="宋体"/>
        <charset val="134"/>
      </rPr>
      <t>风挡雨刷马达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（含控制器）</t>
    </r>
  </si>
  <si>
    <t>3040E02003G900</t>
  </si>
  <si>
    <t>3002M1301</t>
  </si>
  <si>
    <r>
      <rPr>
        <sz val="11"/>
        <rFont val="宋体"/>
        <charset val="134"/>
      </rPr>
      <t>机头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前附件舱</t>
    </r>
  </si>
  <si>
    <t>紧固件-托板螺母安装</t>
  </si>
  <si>
    <r>
      <rPr>
        <sz val="11"/>
        <rFont val="宋体"/>
        <charset val="134"/>
      </rPr>
      <t>风挡雨刷马达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（含控制器）</t>
    </r>
  </si>
  <si>
    <t>3040E02004G900</t>
  </si>
  <si>
    <t>3002M1303</t>
  </si>
  <si>
    <r>
      <rPr>
        <sz val="11"/>
        <rFont val="宋体"/>
        <charset val="134"/>
      </rPr>
      <t>风挡雨刷片</t>
    </r>
    <r>
      <rPr>
        <sz val="11"/>
        <rFont val="Times New Roman"/>
        <charset val="134"/>
      </rPr>
      <t>1</t>
    </r>
  </si>
  <si>
    <t>3040E02005G900</t>
  </si>
  <si>
    <t>3002X1907</t>
  </si>
  <si>
    <r>
      <rPr>
        <sz val="11"/>
        <rFont val="宋体"/>
        <charset val="134"/>
      </rPr>
      <t>风挡雨刷片</t>
    </r>
    <r>
      <rPr>
        <sz val="11"/>
        <rFont val="Times New Roman"/>
        <charset val="134"/>
      </rPr>
      <t>2</t>
    </r>
  </si>
  <si>
    <t>3040E02006G900</t>
  </si>
  <si>
    <t>3002X1909</t>
  </si>
  <si>
    <r>
      <rPr>
        <sz val="11"/>
        <rFont val="宋体"/>
        <charset val="134"/>
      </rPr>
      <t>雨量传感器</t>
    </r>
  </si>
  <si>
    <t>3040E02007G900</t>
  </si>
  <si>
    <t>3001X1901</t>
  </si>
  <si>
    <t>粘接安装</t>
  </si>
  <si>
    <r>
      <rPr>
        <sz val="11"/>
        <rFont val="宋体"/>
        <charset val="134"/>
      </rPr>
      <t>结冰探测器</t>
    </r>
    <r>
      <rPr>
        <sz val="11"/>
        <rFont val="Times New Roman"/>
        <charset val="134"/>
      </rPr>
      <t>1</t>
    </r>
  </si>
  <si>
    <t>3080E01001G900</t>
  </si>
  <si>
    <t>3002U4101</t>
  </si>
  <si>
    <t>有</t>
  </si>
  <si>
    <r>
      <rPr>
        <sz val="11"/>
        <rFont val="宋体"/>
        <charset val="134"/>
      </rPr>
      <t>结冰探测器</t>
    </r>
    <r>
      <rPr>
        <sz val="11"/>
        <rFont val="Times New Roman"/>
        <charset val="134"/>
      </rPr>
      <t>2</t>
    </r>
  </si>
  <si>
    <t>3080E01003G900</t>
  </si>
  <si>
    <t>3002U4103</t>
  </si>
  <si>
    <r>
      <rPr>
        <sz val="11"/>
        <rFont val="宋体"/>
        <charset val="134"/>
      </rPr>
      <t>结冰探测棒</t>
    </r>
  </si>
  <si>
    <t>3080E01005G900</t>
  </si>
  <si>
    <t>3001U1901</t>
  </si>
  <si>
    <r>
      <rPr>
        <sz val="11"/>
        <rFont val="宋体"/>
        <charset val="134"/>
      </rPr>
      <t>左侧风挡玻璃及其加热模块组件</t>
    </r>
  </si>
  <si>
    <t>5610E02001G200</t>
  </si>
  <si>
    <t>5602H2201</t>
  </si>
  <si>
    <t>需马老师重新编号</t>
  </si>
  <si>
    <r>
      <rPr>
        <sz val="11"/>
        <rFont val="宋体"/>
        <charset val="134"/>
      </rPr>
      <t>右侧风挡玻璃及其加热模块组件</t>
    </r>
  </si>
  <si>
    <t>5610E02002G200</t>
  </si>
  <si>
    <t>5602H2202</t>
  </si>
  <si>
    <r>
      <rPr>
        <sz val="11"/>
        <rFont val="Times New Roman"/>
        <charset val="134"/>
      </rPr>
      <t xml:space="preserve">EATA31 </t>
    </r>
    <r>
      <rPr>
        <sz val="11"/>
        <rFont val="宋体"/>
        <charset val="134"/>
      </rPr>
      <t>指示记录系统</t>
    </r>
  </si>
  <si>
    <r>
      <rPr>
        <sz val="11"/>
        <rFont val="宋体"/>
        <charset val="134"/>
      </rPr>
      <t>区域麦克风（</t>
    </r>
    <r>
      <rPr>
        <sz val="11"/>
        <rFont val="Times New Roman"/>
        <charset val="134"/>
      </rPr>
      <t>AMP</t>
    </r>
    <r>
      <rPr>
        <sz val="11"/>
        <rFont val="宋体"/>
        <charset val="134"/>
      </rPr>
      <t>）</t>
    </r>
  </si>
  <si>
    <t>3130E01001G900</t>
  </si>
  <si>
    <t>3101D2403</t>
  </si>
  <si>
    <r>
      <rPr>
        <sz val="11"/>
        <rFont val="宋体"/>
        <charset val="134"/>
      </rPr>
      <t>三轴加速度计（</t>
    </r>
    <r>
      <rPr>
        <sz val="11"/>
        <rFont val="Times New Roman"/>
        <charset val="134"/>
      </rPr>
      <t>TAA</t>
    </r>
    <r>
      <rPr>
        <sz val="11"/>
        <rFont val="宋体"/>
        <charset val="134"/>
      </rPr>
      <t>）</t>
    </r>
  </si>
  <si>
    <t>3130E02001G900</t>
  </si>
  <si>
    <t>3101U6101</t>
  </si>
  <si>
    <r>
      <rPr>
        <sz val="11"/>
        <rFont val="宋体"/>
        <charset val="134"/>
      </rPr>
      <t>机载曲面显示屏</t>
    </r>
  </si>
  <si>
    <t>3160E01001G900</t>
  </si>
  <si>
    <t>3101P2401</t>
  </si>
  <si>
    <r>
      <rPr>
        <sz val="11"/>
        <rFont val="宋体"/>
        <charset val="134"/>
      </rPr>
      <t>机载多功能显示器</t>
    </r>
  </si>
  <si>
    <t>3160E01003G900</t>
  </si>
  <si>
    <t>3101P2403</t>
  </si>
  <si>
    <r>
      <rPr>
        <sz val="11"/>
        <rFont val="宋体"/>
        <charset val="134"/>
      </rPr>
      <t>显控计算机</t>
    </r>
    <r>
      <rPr>
        <sz val="11"/>
        <rFont val="Times New Roman"/>
        <charset val="134"/>
      </rPr>
      <t>1</t>
    </r>
  </si>
  <si>
    <t>3160E02001G900</t>
  </si>
  <si>
    <t>3102U2201</t>
  </si>
  <si>
    <r>
      <rPr>
        <sz val="11"/>
        <rFont val="宋体"/>
        <charset val="134"/>
      </rPr>
      <t>显控计算机</t>
    </r>
    <r>
      <rPr>
        <sz val="11"/>
        <rFont val="Times New Roman"/>
        <charset val="134"/>
      </rPr>
      <t>2</t>
    </r>
  </si>
  <si>
    <t>3102U2203</t>
  </si>
  <si>
    <r>
      <rPr>
        <sz val="11"/>
        <rFont val="Times New Roman"/>
        <charset val="134"/>
      </rPr>
      <t xml:space="preserve">EATA32 </t>
    </r>
    <r>
      <rPr>
        <sz val="11"/>
        <rFont val="宋体"/>
        <charset val="134"/>
      </rPr>
      <t>起落架系统</t>
    </r>
  </si>
  <si>
    <r>
      <rPr>
        <sz val="11"/>
        <rFont val="宋体"/>
        <charset val="134"/>
      </rPr>
      <t>左主起落架支柱组件</t>
    </r>
  </si>
  <si>
    <t>3210E11101G900</t>
  </si>
  <si>
    <t>3201X5101</t>
  </si>
  <si>
    <r>
      <rPr>
        <sz val="11"/>
        <rFont val="宋体"/>
        <charset val="134"/>
      </rPr>
      <t>下机身后段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主起落架舱</t>
    </r>
  </si>
  <si>
    <r>
      <rPr>
        <sz val="11"/>
        <rFont val="宋体"/>
        <charset val="134"/>
      </rPr>
      <t>左主起轮载传感器</t>
    </r>
    <r>
      <rPr>
        <sz val="11"/>
        <rFont val="Times New Roman"/>
        <charset val="134"/>
      </rPr>
      <t>1</t>
    </r>
  </si>
  <si>
    <t>3202D5101</t>
  </si>
  <si>
    <r>
      <rPr>
        <sz val="11"/>
        <rFont val="宋体"/>
        <charset val="134"/>
      </rPr>
      <t>左主起轮载传感器</t>
    </r>
    <r>
      <rPr>
        <sz val="11"/>
        <rFont val="Times New Roman"/>
        <charset val="134"/>
      </rPr>
      <t>2</t>
    </r>
  </si>
  <si>
    <t>3202D5103</t>
  </si>
  <si>
    <r>
      <rPr>
        <sz val="11"/>
        <rFont val="宋体"/>
        <charset val="134"/>
      </rPr>
      <t>右主起轮载传感器</t>
    </r>
    <r>
      <rPr>
        <sz val="11"/>
        <rFont val="Times New Roman"/>
        <charset val="134"/>
      </rPr>
      <t>1</t>
    </r>
  </si>
  <si>
    <t>3202D5113</t>
  </si>
  <si>
    <r>
      <rPr>
        <sz val="11"/>
        <rFont val="宋体"/>
        <charset val="134"/>
      </rPr>
      <t>右主起轮载传感器</t>
    </r>
    <r>
      <rPr>
        <sz val="11"/>
        <rFont val="Times New Roman"/>
        <charset val="134"/>
      </rPr>
      <t>2</t>
    </r>
  </si>
  <si>
    <t>3202D5115</t>
  </si>
  <si>
    <r>
      <rPr>
        <sz val="11"/>
        <rFont val="宋体"/>
        <charset val="134"/>
      </rPr>
      <t>右主起落架支柱组件</t>
    </r>
  </si>
  <si>
    <t>3210E11102G900</t>
  </si>
  <si>
    <t>3201X5102</t>
  </si>
  <si>
    <r>
      <rPr>
        <sz val="11"/>
        <rFont val="宋体"/>
        <charset val="134"/>
      </rPr>
      <t>左主起落架摇臂组件</t>
    </r>
  </si>
  <si>
    <t>3210E11200G900</t>
  </si>
  <si>
    <t>3202X5101</t>
  </si>
  <si>
    <r>
      <rPr>
        <sz val="11"/>
        <rFont val="宋体"/>
        <charset val="134"/>
      </rPr>
      <t>右主起落架摇臂组件</t>
    </r>
  </si>
  <si>
    <t>3202X5103</t>
  </si>
  <si>
    <r>
      <rPr>
        <sz val="11"/>
        <rFont val="宋体"/>
        <charset val="134"/>
      </rPr>
      <t>左主起落架缓冲器组件</t>
    </r>
  </si>
  <si>
    <t>3210E11300G900</t>
  </si>
  <si>
    <t>3202X5105</t>
  </si>
  <si>
    <r>
      <rPr>
        <sz val="11"/>
        <rFont val="宋体"/>
        <charset val="134"/>
      </rPr>
      <t>右主起落架缓冲器组件</t>
    </r>
  </si>
  <si>
    <t>3202X5107</t>
  </si>
  <si>
    <r>
      <rPr>
        <sz val="11"/>
        <rFont val="宋体"/>
        <charset val="134"/>
      </rPr>
      <t>左主起落架舱门机构组件</t>
    </r>
  </si>
  <si>
    <t>3210E12001G400</t>
  </si>
  <si>
    <t>3201X5103</t>
  </si>
  <si>
    <r>
      <rPr>
        <sz val="11"/>
        <rFont val="宋体"/>
        <charset val="134"/>
      </rPr>
      <t>右主起落架舱门机构组件</t>
    </r>
  </si>
  <si>
    <t>3210E12002G400</t>
  </si>
  <si>
    <t>3201X5104</t>
  </si>
  <si>
    <r>
      <rPr>
        <sz val="11"/>
        <rFont val="宋体"/>
        <charset val="134"/>
      </rPr>
      <t>左主起落架侧撑杆组件</t>
    </r>
  </si>
  <si>
    <t>3210E13100G900;3210E13200G900</t>
  </si>
  <si>
    <t>3202X5109</t>
  </si>
  <si>
    <r>
      <rPr>
        <sz val="11"/>
        <rFont val="宋体"/>
        <charset val="134"/>
      </rPr>
      <t>右主起落架侧撑杆组件</t>
    </r>
  </si>
  <si>
    <t>3202X5111</t>
  </si>
  <si>
    <r>
      <rPr>
        <sz val="11"/>
        <rFont val="宋体"/>
        <charset val="134"/>
      </rPr>
      <t>左主起落架锁连杆组件</t>
    </r>
  </si>
  <si>
    <t>3210E14001G900</t>
  </si>
  <si>
    <t>3202X5113</t>
  </si>
  <si>
    <r>
      <rPr>
        <sz val="11"/>
        <rFont val="宋体"/>
        <charset val="134"/>
      </rPr>
      <t>左主起放下传感器</t>
    </r>
    <r>
      <rPr>
        <sz val="11"/>
        <rFont val="Times New Roman"/>
        <charset val="134"/>
      </rPr>
      <t>1</t>
    </r>
  </si>
  <si>
    <t>3202D5109</t>
  </si>
  <si>
    <r>
      <rPr>
        <sz val="11"/>
        <rFont val="宋体"/>
        <charset val="134"/>
      </rPr>
      <t>左主起放下传感器</t>
    </r>
    <r>
      <rPr>
        <sz val="11"/>
        <rFont val="Times New Roman"/>
        <charset val="134"/>
      </rPr>
      <t>2</t>
    </r>
  </si>
  <si>
    <t>3202D5111</t>
  </si>
  <si>
    <r>
      <rPr>
        <sz val="11"/>
        <rFont val="宋体"/>
        <charset val="134"/>
      </rPr>
      <t>右主起落架锁连杆组件</t>
    </r>
  </si>
  <si>
    <t>3210E14002G900</t>
  </si>
  <si>
    <t>3202X5115</t>
  </si>
  <si>
    <r>
      <rPr>
        <sz val="11"/>
        <rFont val="宋体"/>
        <charset val="134"/>
      </rPr>
      <t>右主起放下传感器</t>
    </r>
    <r>
      <rPr>
        <sz val="11"/>
        <rFont val="Times New Roman"/>
        <charset val="134"/>
      </rPr>
      <t>1</t>
    </r>
  </si>
  <si>
    <t>3202D5121</t>
  </si>
  <si>
    <r>
      <rPr>
        <sz val="11"/>
        <rFont val="宋体"/>
        <charset val="134"/>
      </rPr>
      <t>右主起放下传感器</t>
    </r>
    <r>
      <rPr>
        <sz val="11"/>
        <rFont val="Times New Roman"/>
        <charset val="134"/>
      </rPr>
      <t>2</t>
    </r>
  </si>
  <si>
    <t>3202D5123</t>
  </si>
  <si>
    <r>
      <rPr>
        <sz val="11"/>
        <rFont val="宋体"/>
        <charset val="134"/>
      </rPr>
      <t>左主起落架锁前弹簧组件</t>
    </r>
  </si>
  <si>
    <t>3210E15000G900</t>
  </si>
  <si>
    <t>3204X5101</t>
  </si>
  <si>
    <r>
      <rPr>
        <sz val="11"/>
        <rFont val="宋体"/>
        <charset val="134"/>
      </rPr>
      <t>左主起落架锁后弹簧组件</t>
    </r>
  </si>
  <si>
    <t>3204X5103</t>
  </si>
  <si>
    <r>
      <rPr>
        <sz val="11"/>
        <rFont val="宋体"/>
        <charset val="134"/>
      </rPr>
      <t>右主起落架锁前弹簧组件</t>
    </r>
  </si>
  <si>
    <t>3204X5105</t>
  </si>
  <si>
    <r>
      <rPr>
        <sz val="11"/>
        <rFont val="宋体"/>
        <charset val="134"/>
      </rPr>
      <t>右主起落架锁后弹簧组件</t>
    </r>
  </si>
  <si>
    <t>3204X5107</t>
  </si>
  <si>
    <r>
      <rPr>
        <sz val="11"/>
        <rFont val="宋体"/>
        <charset val="134"/>
      </rPr>
      <t>左主起落架收放作动筒</t>
    </r>
  </si>
  <si>
    <t>3210E16000G900</t>
  </si>
  <si>
    <t>3202X5117</t>
  </si>
  <si>
    <r>
      <rPr>
        <sz val="11"/>
        <rFont val="宋体"/>
        <charset val="134"/>
      </rPr>
      <t>右主起落架收放作动筒</t>
    </r>
  </si>
  <si>
    <t>3202X5119</t>
  </si>
  <si>
    <r>
      <rPr>
        <sz val="11"/>
        <rFont val="宋体"/>
        <charset val="134"/>
      </rPr>
      <t>左主起落架下位锁开锁作动筒</t>
    </r>
  </si>
  <si>
    <t>3210E17000G900</t>
  </si>
  <si>
    <t>3202X5125</t>
  </si>
  <si>
    <r>
      <rPr>
        <sz val="11"/>
        <rFont val="宋体"/>
        <charset val="134"/>
      </rPr>
      <t>右主起落架下位锁开锁作动筒</t>
    </r>
  </si>
  <si>
    <t>3202X5127</t>
  </si>
  <si>
    <r>
      <rPr>
        <sz val="11"/>
        <rFont val="宋体"/>
        <charset val="134"/>
      </rPr>
      <t>左主起落架上位锁</t>
    </r>
  </si>
  <si>
    <t>3210E18001G900</t>
  </si>
  <si>
    <t>3202X5121</t>
  </si>
  <si>
    <r>
      <rPr>
        <sz val="11"/>
        <rFont val="宋体"/>
        <charset val="134"/>
      </rPr>
      <t>右主起落架上位锁</t>
    </r>
  </si>
  <si>
    <t>3210E18002G900</t>
  </si>
  <si>
    <t>3202X5123</t>
  </si>
  <si>
    <r>
      <rPr>
        <sz val="11"/>
        <rFont val="宋体"/>
        <charset val="134"/>
      </rPr>
      <t>前起缓冲支柱组件</t>
    </r>
  </si>
  <si>
    <t>3221E00000G400</t>
  </si>
  <si>
    <t>3201X1201</t>
  </si>
  <si>
    <r>
      <rPr>
        <sz val="11"/>
        <rFont val="宋体"/>
        <charset val="134"/>
      </rPr>
      <t>机头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前起落架舱</t>
    </r>
  </si>
  <si>
    <r>
      <rPr>
        <sz val="11"/>
        <rFont val="宋体"/>
        <charset val="134"/>
      </rPr>
      <t>前起轮载传感器</t>
    </r>
    <r>
      <rPr>
        <sz val="11"/>
        <rFont val="Times New Roman"/>
        <charset val="134"/>
      </rPr>
      <t>1</t>
    </r>
  </si>
  <si>
    <t>3202D1201</t>
  </si>
  <si>
    <r>
      <rPr>
        <sz val="11"/>
        <rFont val="宋体"/>
        <charset val="134"/>
      </rPr>
      <t>前起轮载传感器</t>
    </r>
    <r>
      <rPr>
        <sz val="11"/>
        <rFont val="Times New Roman"/>
        <charset val="134"/>
      </rPr>
      <t>2</t>
    </r>
  </si>
  <si>
    <t>3202D1203</t>
  </si>
  <si>
    <r>
      <rPr>
        <sz val="11"/>
        <rFont val="宋体"/>
        <charset val="134"/>
      </rPr>
      <t>前起阻力杆组件</t>
    </r>
  </si>
  <si>
    <t>3222E00000G400</t>
  </si>
  <si>
    <t>3201X1203</t>
  </si>
  <si>
    <r>
      <rPr>
        <sz val="11"/>
        <rFont val="宋体"/>
        <charset val="134"/>
      </rPr>
      <t>前起锁连杆组件</t>
    </r>
  </si>
  <si>
    <t>3223E00000G400</t>
  </si>
  <si>
    <t>3201X1205</t>
  </si>
  <si>
    <r>
      <rPr>
        <sz val="11"/>
        <rFont val="宋体"/>
        <charset val="134"/>
      </rPr>
      <t>前起锁连杆锁定传感器</t>
    </r>
    <r>
      <rPr>
        <sz val="11"/>
        <rFont val="Times New Roman"/>
        <charset val="134"/>
      </rPr>
      <t>1</t>
    </r>
  </si>
  <si>
    <t>3202D1205</t>
  </si>
  <si>
    <r>
      <rPr>
        <sz val="11"/>
        <rFont val="宋体"/>
        <charset val="134"/>
      </rPr>
      <t>前起锁连杆锁定传感器</t>
    </r>
    <r>
      <rPr>
        <sz val="11"/>
        <rFont val="Times New Roman"/>
        <charset val="134"/>
      </rPr>
      <t>2</t>
    </r>
  </si>
  <si>
    <t>3202D1207</t>
  </si>
  <si>
    <r>
      <rPr>
        <sz val="11"/>
        <rFont val="宋体"/>
        <charset val="134"/>
      </rPr>
      <t>前起舱门机构组件</t>
    </r>
  </si>
  <si>
    <t>3224E00000G400</t>
  </si>
  <si>
    <t>3201X1207</t>
  </si>
  <si>
    <r>
      <rPr>
        <sz val="11"/>
        <rFont val="宋体"/>
        <charset val="134"/>
      </rPr>
      <t>前起收放作动筒</t>
    </r>
  </si>
  <si>
    <t>3226E10000G900</t>
  </si>
  <si>
    <t>3201X1213</t>
  </si>
  <si>
    <r>
      <rPr>
        <sz val="11"/>
        <rFont val="宋体"/>
        <charset val="134"/>
      </rPr>
      <t>前起开锁作动筒</t>
    </r>
  </si>
  <si>
    <t>3226E20000G900</t>
  </si>
  <si>
    <t>3201X1215</t>
  </si>
  <si>
    <r>
      <rPr>
        <sz val="11"/>
        <rFont val="宋体"/>
        <charset val="134"/>
      </rPr>
      <t>前起备份放开锁作动装置</t>
    </r>
  </si>
  <si>
    <t>3226E30000G900</t>
  </si>
  <si>
    <t>3201X1217</t>
  </si>
  <si>
    <r>
      <rPr>
        <sz val="11"/>
        <rFont val="宋体"/>
        <charset val="134"/>
      </rPr>
      <t>左主起</t>
    </r>
    <r>
      <rPr>
        <sz val="11"/>
        <rFont val="Times New Roman"/>
        <charset val="134"/>
      </rPr>
      <t>EHM</t>
    </r>
    <r>
      <rPr>
        <sz val="11"/>
        <rFont val="宋体"/>
        <charset val="134"/>
      </rPr>
      <t>控制器</t>
    </r>
  </si>
  <si>
    <t>3231E11100G900</t>
  </si>
  <si>
    <t>3201U6105</t>
  </si>
  <si>
    <r>
      <rPr>
        <sz val="11"/>
        <rFont val="宋体"/>
        <charset val="134"/>
      </rPr>
      <t>右主起</t>
    </r>
    <r>
      <rPr>
        <sz val="11"/>
        <rFont val="Times New Roman"/>
        <charset val="134"/>
      </rPr>
      <t>EHM</t>
    </r>
    <r>
      <rPr>
        <sz val="11"/>
        <rFont val="宋体"/>
        <charset val="134"/>
      </rPr>
      <t>控制器</t>
    </r>
  </si>
  <si>
    <t>3201U6107</t>
  </si>
  <si>
    <r>
      <rPr>
        <sz val="11"/>
        <rFont val="宋体"/>
        <charset val="134"/>
      </rPr>
      <t>前起</t>
    </r>
    <r>
      <rPr>
        <sz val="11"/>
        <rFont val="Times New Roman"/>
        <charset val="134"/>
      </rPr>
      <t>EHM</t>
    </r>
    <r>
      <rPr>
        <sz val="11"/>
        <rFont val="宋体"/>
        <charset val="134"/>
      </rPr>
      <t>控制器</t>
    </r>
  </si>
  <si>
    <t>3231E11300G900</t>
  </si>
  <si>
    <t>3201U4121</t>
  </si>
  <si>
    <r>
      <rPr>
        <sz val="11"/>
        <rFont val="宋体"/>
        <charset val="134"/>
      </rPr>
      <t>左主起</t>
    </r>
    <r>
      <rPr>
        <sz val="11"/>
        <rFont val="Times New Roman"/>
        <charset val="134"/>
      </rPr>
      <t>EHM</t>
    </r>
  </si>
  <si>
    <t>3231E12100G900</t>
  </si>
  <si>
    <t>3201M5101</t>
  </si>
  <si>
    <r>
      <rPr>
        <sz val="11"/>
        <rFont val="宋体"/>
        <charset val="134"/>
      </rPr>
      <t>右主起</t>
    </r>
    <r>
      <rPr>
        <sz val="11"/>
        <rFont val="Times New Roman"/>
        <charset val="134"/>
      </rPr>
      <t>EHM</t>
    </r>
  </si>
  <si>
    <t>3201M5103</t>
  </si>
  <si>
    <r>
      <rPr>
        <sz val="11"/>
        <rFont val="宋体"/>
        <charset val="134"/>
      </rPr>
      <t>前起</t>
    </r>
    <r>
      <rPr>
        <sz val="11"/>
        <rFont val="Times New Roman"/>
        <charset val="134"/>
      </rPr>
      <t>EHM</t>
    </r>
  </si>
  <si>
    <t>3231E12300G900</t>
  </si>
  <si>
    <t>3201M4119</t>
  </si>
  <si>
    <r>
      <rPr>
        <sz val="11"/>
        <rFont val="宋体"/>
        <charset val="134"/>
      </rPr>
      <t>备份放继电器</t>
    </r>
    <r>
      <rPr>
        <sz val="11"/>
        <rFont val="Times New Roman"/>
        <charset val="134"/>
      </rPr>
      <t>1</t>
    </r>
  </si>
  <si>
    <t>3232E31100G900</t>
  </si>
  <si>
    <t>3201K2501</t>
  </si>
  <si>
    <r>
      <rPr>
        <sz val="11"/>
        <rFont val="宋体"/>
        <charset val="134"/>
      </rPr>
      <t>建议调整为压接连接器</t>
    </r>
  </si>
  <si>
    <r>
      <rPr>
        <sz val="11"/>
        <rFont val="宋体"/>
        <charset val="134"/>
      </rPr>
      <t>备份放继电器</t>
    </r>
    <r>
      <rPr>
        <sz val="11"/>
        <rFont val="Times New Roman"/>
        <charset val="134"/>
      </rPr>
      <t>2</t>
    </r>
  </si>
  <si>
    <t>3232E31300G900</t>
  </si>
  <si>
    <t>3202K2501</t>
  </si>
  <si>
    <r>
      <rPr>
        <sz val="11"/>
        <rFont val="宋体"/>
        <charset val="134"/>
      </rPr>
      <t>备份放继电器</t>
    </r>
    <r>
      <rPr>
        <sz val="11"/>
        <rFont val="Times New Roman"/>
        <charset val="134"/>
      </rPr>
      <t>3</t>
    </r>
  </si>
  <si>
    <t>3202K2503</t>
  </si>
  <si>
    <r>
      <rPr>
        <sz val="11"/>
        <rFont val="宋体"/>
        <charset val="134"/>
      </rPr>
      <t>左座脚蹬传感器</t>
    </r>
    <r>
      <rPr>
        <sz val="11"/>
        <rFont val="Times New Roman"/>
        <charset val="134"/>
      </rPr>
      <t>1</t>
    </r>
  </si>
  <si>
    <t>3241E03000G900</t>
  </si>
  <si>
    <t>3204D2201</t>
  </si>
  <si>
    <r>
      <rPr>
        <sz val="11"/>
        <rFont val="宋体"/>
        <charset val="134"/>
      </rPr>
      <t>左座脚蹬传感器</t>
    </r>
    <r>
      <rPr>
        <sz val="11"/>
        <rFont val="Times New Roman"/>
        <charset val="134"/>
      </rPr>
      <t>2</t>
    </r>
  </si>
  <si>
    <t>3204D2203</t>
  </si>
  <si>
    <r>
      <rPr>
        <sz val="11"/>
        <rFont val="宋体"/>
        <charset val="134"/>
      </rPr>
      <t>右座脚蹬传感器</t>
    </r>
    <r>
      <rPr>
        <sz val="11"/>
        <rFont val="Times New Roman"/>
        <charset val="134"/>
      </rPr>
      <t>1</t>
    </r>
  </si>
  <si>
    <t>3204D2205</t>
  </si>
  <si>
    <r>
      <rPr>
        <sz val="11"/>
        <rFont val="宋体"/>
        <charset val="134"/>
      </rPr>
      <t>右座脚蹬传感器</t>
    </r>
    <r>
      <rPr>
        <sz val="11"/>
        <rFont val="Times New Roman"/>
        <charset val="134"/>
      </rPr>
      <t>2</t>
    </r>
  </si>
  <si>
    <t>3204D2207</t>
  </si>
  <si>
    <r>
      <rPr>
        <sz val="11"/>
        <rFont val="宋体"/>
        <charset val="134"/>
      </rPr>
      <t>刹车控制监视单元</t>
    </r>
  </si>
  <si>
    <t>3241E04000G900</t>
  </si>
  <si>
    <t>3201U2505</t>
  </si>
  <si>
    <r>
      <rPr>
        <sz val="11"/>
        <rFont val="宋体"/>
        <charset val="134"/>
      </rPr>
      <t>备份刹车控制单元</t>
    </r>
  </si>
  <si>
    <t>3241E05000G900</t>
  </si>
  <si>
    <t>3201U3605</t>
  </si>
  <si>
    <r>
      <rPr>
        <sz val="11"/>
        <rFont val="宋体"/>
        <charset val="134"/>
      </rPr>
      <t>外侧</t>
    </r>
    <r>
      <rPr>
        <sz val="11"/>
        <rFont val="Times New Roman"/>
        <charset val="134"/>
      </rPr>
      <t>EMA</t>
    </r>
    <r>
      <rPr>
        <sz val="11"/>
        <rFont val="宋体"/>
        <charset val="134"/>
      </rPr>
      <t>控制器</t>
    </r>
    <r>
      <rPr>
        <sz val="11"/>
        <rFont val="Times New Roman"/>
        <charset val="134"/>
      </rPr>
      <t>1</t>
    </r>
  </si>
  <si>
    <t>3241E06000G900</t>
  </si>
  <si>
    <t>3204U6101</t>
  </si>
  <si>
    <r>
      <rPr>
        <sz val="11"/>
        <rFont val="宋体"/>
        <charset val="134"/>
      </rPr>
      <t>外侧</t>
    </r>
    <r>
      <rPr>
        <sz val="11"/>
        <rFont val="Times New Roman"/>
        <charset val="134"/>
      </rPr>
      <t>EMA</t>
    </r>
    <r>
      <rPr>
        <sz val="11"/>
        <rFont val="宋体"/>
        <charset val="134"/>
      </rPr>
      <t>控制器</t>
    </r>
    <r>
      <rPr>
        <sz val="11"/>
        <rFont val="Times New Roman"/>
        <charset val="134"/>
      </rPr>
      <t>2</t>
    </r>
  </si>
  <si>
    <t>3204U6103</t>
  </si>
  <si>
    <r>
      <rPr>
        <sz val="11"/>
        <rFont val="宋体"/>
        <charset val="134"/>
      </rPr>
      <t>内侧</t>
    </r>
    <r>
      <rPr>
        <sz val="11"/>
        <rFont val="Times New Roman"/>
        <charset val="134"/>
      </rPr>
      <t>EMA</t>
    </r>
    <r>
      <rPr>
        <sz val="11"/>
        <rFont val="宋体"/>
        <charset val="134"/>
      </rPr>
      <t>控制器</t>
    </r>
    <r>
      <rPr>
        <sz val="11"/>
        <rFont val="Times New Roman"/>
        <charset val="134"/>
      </rPr>
      <t>1</t>
    </r>
  </si>
  <si>
    <t>3204U6105</t>
  </si>
  <si>
    <r>
      <rPr>
        <sz val="11"/>
        <rFont val="宋体"/>
        <charset val="134"/>
      </rPr>
      <t>内侧</t>
    </r>
    <r>
      <rPr>
        <sz val="11"/>
        <rFont val="Times New Roman"/>
        <charset val="134"/>
      </rPr>
      <t>EMA</t>
    </r>
    <r>
      <rPr>
        <sz val="11"/>
        <rFont val="宋体"/>
        <charset val="134"/>
      </rPr>
      <t>控制器</t>
    </r>
    <r>
      <rPr>
        <sz val="11"/>
        <rFont val="Times New Roman"/>
        <charset val="134"/>
      </rPr>
      <t>2</t>
    </r>
  </si>
  <si>
    <t>3204U6107</t>
  </si>
  <si>
    <r>
      <rPr>
        <sz val="11"/>
        <rFont val="宋体"/>
        <charset val="134"/>
      </rPr>
      <t>左外刹车温度传感器</t>
    </r>
  </si>
  <si>
    <t>3244E01000G900</t>
  </si>
  <si>
    <t>3204D5109</t>
  </si>
  <si>
    <r>
      <rPr>
        <sz val="11"/>
        <rFont val="宋体"/>
        <charset val="134"/>
      </rPr>
      <t>左内刹车温度传感器</t>
    </r>
  </si>
  <si>
    <t>3204D5111</t>
  </si>
  <si>
    <r>
      <rPr>
        <sz val="11"/>
        <rFont val="宋体"/>
        <charset val="134"/>
      </rPr>
      <t>右内刹车温度传感器</t>
    </r>
  </si>
  <si>
    <t>3204D5113</t>
  </si>
  <si>
    <r>
      <rPr>
        <sz val="11"/>
        <rFont val="宋体"/>
        <charset val="134"/>
      </rPr>
      <t>右外刹车温度传感器</t>
    </r>
  </si>
  <si>
    <t>3204D5115</t>
  </si>
  <si>
    <r>
      <rPr>
        <sz val="11"/>
        <rFont val="宋体"/>
        <charset val="134"/>
      </rPr>
      <t>左外机轮刹车装置</t>
    </r>
  </si>
  <si>
    <t>3245E01000G900</t>
  </si>
  <si>
    <t>3204M5101</t>
  </si>
  <si>
    <r>
      <rPr>
        <sz val="11"/>
        <rFont val="宋体"/>
        <charset val="134"/>
      </rPr>
      <t>左内机轮刹车装置</t>
    </r>
  </si>
  <si>
    <t>3204M5103</t>
  </si>
  <si>
    <r>
      <rPr>
        <sz val="11"/>
        <rFont val="宋体"/>
        <charset val="134"/>
      </rPr>
      <t>右内机轮刹车装置</t>
    </r>
  </si>
  <si>
    <t>3204M5105</t>
  </si>
  <si>
    <r>
      <rPr>
        <sz val="11"/>
        <rFont val="宋体"/>
        <charset val="134"/>
      </rPr>
      <t>右外机轮刹车装置</t>
    </r>
  </si>
  <si>
    <t>3204M5107</t>
  </si>
  <si>
    <r>
      <rPr>
        <sz val="11"/>
        <rFont val="宋体"/>
        <charset val="134"/>
      </rPr>
      <t>左外轮胎</t>
    </r>
  </si>
  <si>
    <t>3245E02000G900</t>
  </si>
  <si>
    <t>3204X5109</t>
  </si>
  <si>
    <r>
      <rPr>
        <sz val="11"/>
        <rFont val="宋体"/>
        <charset val="134"/>
      </rPr>
      <t>左内轮胎</t>
    </r>
  </si>
  <si>
    <t>3204X5111</t>
  </si>
  <si>
    <r>
      <rPr>
        <sz val="11"/>
        <rFont val="宋体"/>
        <charset val="134"/>
      </rPr>
      <t>右内轮胎</t>
    </r>
  </si>
  <si>
    <t>3204X5113</t>
  </si>
  <si>
    <r>
      <rPr>
        <sz val="11"/>
        <rFont val="宋体"/>
        <charset val="134"/>
      </rPr>
      <t>右外轮胎</t>
    </r>
  </si>
  <si>
    <t>3204X5115</t>
  </si>
  <si>
    <r>
      <rPr>
        <sz val="11"/>
        <rFont val="宋体"/>
        <charset val="134"/>
      </rPr>
      <t>前左机轮</t>
    </r>
  </si>
  <si>
    <t>3246E01000G900</t>
  </si>
  <si>
    <t>3202X1201</t>
  </si>
  <si>
    <r>
      <rPr>
        <sz val="11"/>
        <rFont val="宋体"/>
        <charset val="134"/>
      </rPr>
      <t>前右机轮</t>
    </r>
  </si>
  <si>
    <t>3202X1203</t>
  </si>
  <si>
    <r>
      <rPr>
        <sz val="11"/>
        <rFont val="宋体"/>
        <charset val="134"/>
      </rPr>
      <t>前左轮胎</t>
    </r>
  </si>
  <si>
    <t>3246E02000G900</t>
  </si>
  <si>
    <t>3202X1205</t>
  </si>
  <si>
    <r>
      <rPr>
        <sz val="11"/>
        <rFont val="宋体"/>
        <charset val="134"/>
      </rPr>
      <t>前右轮胎</t>
    </r>
  </si>
  <si>
    <t>3202X1207</t>
  </si>
  <si>
    <r>
      <rPr>
        <sz val="11"/>
        <rFont val="宋体"/>
        <charset val="134"/>
      </rPr>
      <t>左外胎压传感器</t>
    </r>
  </si>
  <si>
    <t>3247E01000G900</t>
  </si>
  <si>
    <t>3206D5101</t>
  </si>
  <si>
    <r>
      <rPr>
        <sz val="11"/>
        <rFont val="宋体"/>
        <charset val="134"/>
      </rPr>
      <t>左内胎压传感器</t>
    </r>
  </si>
  <si>
    <t>3206D5103</t>
  </si>
  <si>
    <r>
      <rPr>
        <sz val="11"/>
        <rFont val="宋体"/>
        <charset val="134"/>
      </rPr>
      <t>右外胎压传感器</t>
    </r>
  </si>
  <si>
    <t>3206D5105</t>
  </si>
  <si>
    <r>
      <rPr>
        <sz val="11"/>
        <rFont val="宋体"/>
        <charset val="134"/>
      </rPr>
      <t>右内胎压传感器</t>
    </r>
  </si>
  <si>
    <t>3206D5107</t>
  </si>
  <si>
    <r>
      <rPr>
        <sz val="11"/>
        <rFont val="宋体"/>
        <charset val="134"/>
      </rPr>
      <t>左外轮轴内适配器</t>
    </r>
  </si>
  <si>
    <t>3247E01200G900</t>
  </si>
  <si>
    <t>3204D5117</t>
  </si>
  <si>
    <r>
      <rPr>
        <sz val="11"/>
        <rFont val="宋体"/>
        <charset val="134"/>
      </rPr>
      <t>左内轮轴内适配器</t>
    </r>
  </si>
  <si>
    <t>3204D5119</t>
  </si>
  <si>
    <r>
      <rPr>
        <sz val="11"/>
        <rFont val="宋体"/>
        <charset val="134"/>
      </rPr>
      <t>右内轮轴内适配器</t>
    </r>
  </si>
  <si>
    <t>3204D5121</t>
  </si>
  <si>
    <r>
      <rPr>
        <sz val="11"/>
        <rFont val="宋体"/>
        <charset val="134"/>
      </rPr>
      <t>右外轮轴内适配器</t>
    </r>
  </si>
  <si>
    <t>3204D5123</t>
  </si>
  <si>
    <r>
      <rPr>
        <sz val="11"/>
        <rFont val="宋体"/>
        <charset val="134"/>
      </rPr>
      <t>左外主轮轮毂盖</t>
    </r>
  </si>
  <si>
    <t>3247E01400G900</t>
  </si>
  <si>
    <t>3204X5117</t>
  </si>
  <si>
    <r>
      <rPr>
        <sz val="11"/>
        <rFont val="宋体"/>
        <charset val="134"/>
      </rPr>
      <t>左内主轮轮毂盖</t>
    </r>
  </si>
  <si>
    <t>3204X5119</t>
  </si>
  <si>
    <r>
      <rPr>
        <sz val="11"/>
        <rFont val="宋体"/>
        <charset val="134"/>
      </rPr>
      <t>右内主轮轮毂盖</t>
    </r>
  </si>
  <si>
    <t>3204X5121</t>
  </si>
  <si>
    <r>
      <rPr>
        <sz val="11"/>
        <rFont val="宋体"/>
        <charset val="134"/>
      </rPr>
      <t>右外主轮轮毂盖</t>
    </r>
  </si>
  <si>
    <t>3204X5123</t>
  </si>
  <si>
    <r>
      <rPr>
        <sz val="11"/>
        <rFont val="宋体"/>
        <charset val="134"/>
      </rPr>
      <t>左座转弯手轮</t>
    </r>
  </si>
  <si>
    <t>3250E11001G900</t>
  </si>
  <si>
    <t>3201S2401</t>
  </si>
  <si>
    <r>
      <rPr>
        <sz val="11"/>
        <rFont val="宋体"/>
        <charset val="134"/>
      </rPr>
      <t>右座转弯手轮</t>
    </r>
  </si>
  <si>
    <t>3250E11002G900</t>
  </si>
  <si>
    <t>3201S2403</t>
  </si>
  <si>
    <r>
      <rPr>
        <sz val="11"/>
        <rFont val="宋体"/>
        <charset val="134"/>
      </rPr>
      <t>转弯控制单元</t>
    </r>
  </si>
  <si>
    <t>3250E12000G900</t>
  </si>
  <si>
    <t>3201U4101</t>
  </si>
  <si>
    <r>
      <rPr>
        <sz val="11"/>
        <rFont val="宋体"/>
        <charset val="134"/>
      </rPr>
      <t>转弯舵机</t>
    </r>
  </si>
  <si>
    <t>3250E13000G900</t>
  </si>
  <si>
    <t>3201M1223</t>
  </si>
  <si>
    <r>
      <rPr>
        <sz val="11"/>
        <rFont val="宋体"/>
        <charset val="134"/>
      </rPr>
      <t>牵引指示盒</t>
    </r>
  </si>
  <si>
    <t>3250E14000G900</t>
  </si>
  <si>
    <t>3201L1225</t>
  </si>
  <si>
    <r>
      <rPr>
        <sz val="11"/>
        <rFont val="宋体"/>
        <charset val="134"/>
      </rPr>
      <t>前起位置指示传感器</t>
    </r>
    <r>
      <rPr>
        <sz val="11"/>
        <rFont val="Times New Roman"/>
        <charset val="134"/>
      </rPr>
      <t>1</t>
    </r>
  </si>
  <si>
    <t>3261E10000G900</t>
  </si>
  <si>
    <t>3202D1209</t>
  </si>
  <si>
    <r>
      <rPr>
        <sz val="11"/>
        <rFont val="宋体"/>
        <charset val="134"/>
      </rPr>
      <t>前起位置指示传感器</t>
    </r>
    <r>
      <rPr>
        <sz val="11"/>
        <rFont val="Times New Roman"/>
        <charset val="134"/>
      </rPr>
      <t>2</t>
    </r>
  </si>
  <si>
    <t>3202D1211</t>
  </si>
  <si>
    <r>
      <rPr>
        <sz val="11"/>
        <rFont val="宋体"/>
        <charset val="134"/>
      </rPr>
      <t>收放控制单元</t>
    </r>
    <r>
      <rPr>
        <sz val="11"/>
        <rFont val="Times New Roman"/>
        <charset val="134"/>
      </rPr>
      <t>1</t>
    </r>
  </si>
  <si>
    <t>3261E11100G900</t>
  </si>
  <si>
    <t>3201U2501</t>
  </si>
  <si>
    <r>
      <rPr>
        <sz val="11"/>
        <rFont val="宋体"/>
        <charset val="134"/>
      </rPr>
      <t>收放控制单元</t>
    </r>
    <r>
      <rPr>
        <sz val="11"/>
        <rFont val="Times New Roman"/>
        <charset val="134"/>
      </rPr>
      <t>2</t>
    </r>
  </si>
  <si>
    <t>3201U3503</t>
  </si>
  <si>
    <r>
      <rPr>
        <sz val="11"/>
        <rFont val="宋体"/>
        <charset val="134"/>
      </rPr>
      <t>起落架收放管路</t>
    </r>
  </si>
  <si>
    <t>TBD</t>
  </si>
  <si>
    <t>3200X6101</t>
  </si>
  <si>
    <r>
      <rPr>
        <sz val="11"/>
        <rFont val="Times New Roman"/>
        <charset val="134"/>
      </rPr>
      <t xml:space="preserve">EATA33 </t>
    </r>
    <r>
      <rPr>
        <sz val="11"/>
        <rFont val="宋体"/>
        <charset val="134"/>
      </rPr>
      <t>照明系统</t>
    </r>
  </si>
  <si>
    <r>
      <rPr>
        <sz val="11"/>
        <rFont val="宋体"/>
        <charset val="134"/>
      </rPr>
      <t>驾驶舱顶灯</t>
    </r>
  </si>
  <si>
    <t>3314E01001G900</t>
  </si>
  <si>
    <t>3303L2101</t>
  </si>
  <si>
    <r>
      <rPr>
        <sz val="11"/>
        <rFont val="宋体"/>
        <charset val="134"/>
      </rPr>
      <t>地板灯</t>
    </r>
    <r>
      <rPr>
        <sz val="11"/>
        <rFont val="Times New Roman"/>
        <charset val="134"/>
      </rPr>
      <t>1</t>
    </r>
  </si>
  <si>
    <t>3317E01003G900</t>
  </si>
  <si>
    <t>3302L2201</t>
  </si>
  <si>
    <r>
      <rPr>
        <sz val="11"/>
        <rFont val="宋体"/>
        <charset val="134"/>
      </rPr>
      <t>地板灯</t>
    </r>
    <r>
      <rPr>
        <sz val="11"/>
        <rFont val="Times New Roman"/>
        <charset val="134"/>
      </rPr>
      <t>2</t>
    </r>
  </si>
  <si>
    <t>3302L2202</t>
  </si>
  <si>
    <r>
      <rPr>
        <sz val="11"/>
        <rFont val="宋体"/>
        <charset val="134"/>
      </rPr>
      <t>脚蹬灯</t>
    </r>
    <r>
      <rPr>
        <sz val="11"/>
        <rFont val="Times New Roman"/>
        <charset val="134"/>
      </rPr>
      <t>1</t>
    </r>
  </si>
  <si>
    <t>3317E01005G900</t>
  </si>
  <si>
    <t>3302L2203</t>
  </si>
  <si>
    <r>
      <rPr>
        <sz val="11"/>
        <rFont val="宋体"/>
        <charset val="134"/>
      </rPr>
      <t>脚蹬灯</t>
    </r>
    <r>
      <rPr>
        <sz val="11"/>
        <rFont val="Times New Roman"/>
        <charset val="134"/>
      </rPr>
      <t>2</t>
    </r>
  </si>
  <si>
    <t>3302L2204</t>
  </si>
  <si>
    <r>
      <rPr>
        <sz val="11"/>
        <rFont val="宋体"/>
        <charset val="134"/>
      </rPr>
      <t>左右操纵台泛光灯</t>
    </r>
    <r>
      <rPr>
        <sz val="11"/>
        <rFont val="Times New Roman"/>
        <charset val="134"/>
      </rPr>
      <t>1</t>
    </r>
  </si>
  <si>
    <t>3314E01007G900</t>
  </si>
  <si>
    <t>3305L2201</t>
  </si>
  <si>
    <r>
      <rPr>
        <sz val="11"/>
        <rFont val="宋体"/>
        <charset val="134"/>
      </rPr>
      <t>左右操纵台泛光灯</t>
    </r>
    <r>
      <rPr>
        <sz val="11"/>
        <rFont val="Times New Roman"/>
        <charset val="134"/>
      </rPr>
      <t>2</t>
    </r>
  </si>
  <si>
    <t>3305L2203</t>
  </si>
  <si>
    <r>
      <rPr>
        <sz val="11"/>
        <rFont val="宋体"/>
        <charset val="134"/>
      </rPr>
      <t>驾驶舱灯具调光控制盒</t>
    </r>
  </si>
  <si>
    <t>3314E02001G900</t>
  </si>
  <si>
    <t>3301U2501</t>
  </si>
  <si>
    <t>120*60*220</t>
  </si>
  <si>
    <r>
      <rPr>
        <sz val="11"/>
        <rFont val="宋体"/>
        <charset val="134"/>
      </rPr>
      <t>设备架</t>
    </r>
  </si>
  <si>
    <r>
      <rPr>
        <sz val="11"/>
        <rFont val="宋体"/>
        <charset val="134"/>
      </rPr>
      <t>驾驶员阅读灯</t>
    </r>
    <r>
      <rPr>
        <sz val="11"/>
        <rFont val="Times New Roman"/>
        <charset val="134"/>
      </rPr>
      <t>1</t>
    </r>
  </si>
  <si>
    <t>3317E01009G900</t>
  </si>
  <si>
    <t>3302L2101</t>
  </si>
  <si>
    <r>
      <rPr>
        <sz val="11"/>
        <rFont val="宋体"/>
        <charset val="134"/>
      </rPr>
      <t>驾驶员阅读灯</t>
    </r>
    <r>
      <rPr>
        <sz val="11"/>
        <rFont val="Times New Roman"/>
        <charset val="134"/>
      </rPr>
      <t>2</t>
    </r>
  </si>
  <si>
    <t>3302L2103</t>
  </si>
  <si>
    <r>
      <rPr>
        <sz val="11"/>
        <rFont val="宋体"/>
        <charset val="134"/>
      </rPr>
      <t>白光航行灯（垂尾）</t>
    </r>
  </si>
  <si>
    <t>3341E03000G900</t>
  </si>
  <si>
    <t>3301L8901</t>
  </si>
  <si>
    <t>47*57*75.3</t>
  </si>
  <si>
    <r>
      <rPr>
        <sz val="11"/>
        <rFont val="宋体"/>
        <charset val="134"/>
      </rPr>
      <t>尾段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外部</t>
    </r>
  </si>
  <si>
    <r>
      <rPr>
        <sz val="11"/>
        <rFont val="宋体"/>
        <charset val="134"/>
      </rPr>
      <t>红光航行灯（左翼尖）</t>
    </r>
  </si>
  <si>
    <t>3341E01001G900</t>
  </si>
  <si>
    <t>3301L6901</t>
  </si>
  <si>
    <t>100*46.2*34.1</t>
  </si>
  <si>
    <r>
      <rPr>
        <sz val="11"/>
        <rFont val="宋体"/>
        <charset val="134"/>
      </rPr>
      <t>机翼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机翼外部</t>
    </r>
  </si>
  <si>
    <t>安装角度调整</t>
  </si>
  <si>
    <r>
      <rPr>
        <sz val="11"/>
        <rFont val="宋体"/>
        <charset val="134"/>
      </rPr>
      <t>绿光航行灯（右翼尖）</t>
    </r>
  </si>
  <si>
    <t>3341E02001G900</t>
  </si>
  <si>
    <t>3301L6903</t>
  </si>
  <si>
    <r>
      <rPr>
        <sz val="11"/>
        <rFont val="宋体"/>
        <charset val="134"/>
      </rPr>
      <t>左翼尖灯罩</t>
    </r>
  </si>
  <si>
    <t>3341E03001G900</t>
  </si>
  <si>
    <t>3301X6905</t>
  </si>
  <si>
    <t>379*494*183</t>
  </si>
  <si>
    <r>
      <rPr>
        <sz val="11"/>
        <rFont val="宋体"/>
        <charset val="134"/>
      </rPr>
      <t>右翼尖灯罩</t>
    </r>
  </si>
  <si>
    <t>3341E03002G900</t>
  </si>
  <si>
    <t>3301X6907</t>
  </si>
  <si>
    <r>
      <rPr>
        <sz val="11"/>
        <rFont val="宋体"/>
        <charset val="134"/>
      </rPr>
      <t>上红光防撞灯</t>
    </r>
  </si>
  <si>
    <t>3346E01001G900</t>
  </si>
  <si>
    <t>3302L3901</t>
  </si>
  <si>
    <t>64*64*39.8</t>
  </si>
  <si>
    <t>后移红光防撞灯位置，并增加红光防撞灯固定底座</t>
  </si>
  <si>
    <r>
      <rPr>
        <sz val="11"/>
        <rFont val="宋体"/>
        <charset val="134"/>
      </rPr>
      <t>下红光防撞灯</t>
    </r>
  </si>
  <si>
    <t>3302L5901</t>
  </si>
  <si>
    <r>
      <rPr>
        <sz val="11"/>
        <rFont val="宋体"/>
        <charset val="134"/>
      </rPr>
      <t>下机身后段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外部</t>
    </r>
  </si>
  <si>
    <t>增加红光防撞灯固定底座</t>
  </si>
  <si>
    <r>
      <rPr>
        <sz val="11"/>
        <rFont val="宋体"/>
        <charset val="134"/>
      </rPr>
      <t>左白光防撞灯</t>
    </r>
  </si>
  <si>
    <t>3345E01001G900</t>
  </si>
  <si>
    <t>3304L6901</t>
  </si>
  <si>
    <r>
      <rPr>
        <sz val="11"/>
        <rFont val="宋体"/>
        <charset val="134"/>
      </rPr>
      <t>右白光防撞灯</t>
    </r>
  </si>
  <si>
    <t>3304L6902</t>
  </si>
  <si>
    <r>
      <rPr>
        <sz val="11"/>
        <rFont val="宋体"/>
        <charset val="134"/>
      </rPr>
      <t>后白光防撞灯</t>
    </r>
    <r>
      <rPr>
        <sz val="11"/>
        <rFont val="Times New Roman"/>
        <charset val="134"/>
      </rPr>
      <t>1</t>
    </r>
  </si>
  <si>
    <t>3304L8901</t>
  </si>
  <si>
    <t>增加白光防撞灯固定底座</t>
  </si>
  <si>
    <r>
      <rPr>
        <sz val="11"/>
        <rFont val="宋体"/>
        <charset val="134"/>
      </rPr>
      <t>后白光防撞灯</t>
    </r>
    <r>
      <rPr>
        <sz val="11"/>
        <rFont val="Times New Roman"/>
        <charset val="134"/>
      </rPr>
      <t>2</t>
    </r>
  </si>
  <si>
    <t>3304L8902</t>
  </si>
  <si>
    <r>
      <rPr>
        <sz val="11"/>
        <color theme="1"/>
        <rFont val="宋体"/>
        <charset val="134"/>
      </rPr>
      <t>左翼根着陆灯</t>
    </r>
    <r>
      <rPr>
        <sz val="11"/>
        <color theme="1"/>
        <rFont val="Times New Roman"/>
        <charset val="134"/>
      </rPr>
      <t>1</t>
    </r>
  </si>
  <si>
    <t>3342E02001G900</t>
  </si>
  <si>
    <t>3304L6903</t>
  </si>
  <si>
    <t>111.5*111.5*65.3</t>
  </si>
  <si>
    <t>S类</t>
  </si>
  <si>
    <r>
      <rPr>
        <sz val="11"/>
        <color theme="1"/>
        <rFont val="宋体"/>
        <charset val="134"/>
      </rPr>
      <t>右翼根着陆灯</t>
    </r>
    <r>
      <rPr>
        <sz val="11"/>
        <color theme="1"/>
        <rFont val="Times New Roman"/>
        <charset val="134"/>
      </rPr>
      <t>1</t>
    </r>
  </si>
  <si>
    <t>3304L6904</t>
  </si>
  <si>
    <r>
      <rPr>
        <sz val="11"/>
        <color theme="1"/>
        <rFont val="宋体"/>
        <charset val="134"/>
      </rPr>
      <t>左翼根着陆灯</t>
    </r>
    <r>
      <rPr>
        <sz val="11"/>
        <color theme="1"/>
        <rFont val="Times New Roman"/>
        <charset val="134"/>
      </rPr>
      <t>2</t>
    </r>
  </si>
  <si>
    <t>3304L6905</t>
  </si>
  <si>
    <r>
      <rPr>
        <sz val="11"/>
        <color theme="1"/>
        <rFont val="宋体"/>
        <charset val="134"/>
      </rPr>
      <t>右翼根着陆灯</t>
    </r>
    <r>
      <rPr>
        <sz val="11"/>
        <color theme="1"/>
        <rFont val="Times New Roman"/>
        <charset val="134"/>
      </rPr>
      <t>2</t>
    </r>
  </si>
  <si>
    <t>3304L6906</t>
  </si>
  <si>
    <r>
      <rPr>
        <sz val="11"/>
        <rFont val="宋体"/>
        <charset val="134"/>
      </rPr>
      <t>左翼根灯罩</t>
    </r>
  </si>
  <si>
    <t>3342E03001G900</t>
  </si>
  <si>
    <t>3301X6901</t>
  </si>
  <si>
    <t>316*362*189</t>
  </si>
  <si>
    <r>
      <rPr>
        <sz val="11"/>
        <rFont val="宋体"/>
        <charset val="134"/>
      </rPr>
      <t>右翼根灯罩</t>
    </r>
  </si>
  <si>
    <t>3342E03002G900</t>
  </si>
  <si>
    <t>3301X6903</t>
  </si>
  <si>
    <r>
      <rPr>
        <sz val="11"/>
        <color theme="1"/>
        <rFont val="宋体"/>
        <charset val="134"/>
      </rPr>
      <t>左滑行灯</t>
    </r>
  </si>
  <si>
    <t>3342E01001G900</t>
  </si>
  <si>
    <t>3302L1201</t>
  </si>
  <si>
    <t>面搭接</t>
  </si>
  <si>
    <r>
      <rPr>
        <sz val="11"/>
        <color theme="1"/>
        <rFont val="宋体"/>
        <charset val="134"/>
      </rPr>
      <t>右滑行灯</t>
    </r>
  </si>
  <si>
    <t>3302L1202</t>
  </si>
  <si>
    <r>
      <rPr>
        <sz val="11"/>
        <color theme="1"/>
        <rFont val="宋体"/>
        <charset val="134"/>
      </rPr>
      <t>左标志灯</t>
    </r>
  </si>
  <si>
    <t>3300L8901</t>
  </si>
  <si>
    <t>175.6*175.6*128</t>
  </si>
  <si>
    <t>尾段-外部</t>
  </si>
  <si>
    <r>
      <rPr>
        <sz val="11"/>
        <color theme="1"/>
        <rFont val="宋体"/>
        <charset val="134"/>
      </rPr>
      <t>右标志灯</t>
    </r>
  </si>
  <si>
    <t>3300L8902</t>
  </si>
  <si>
    <r>
      <rPr>
        <sz val="11"/>
        <color theme="1"/>
        <rFont val="宋体"/>
        <charset val="134"/>
      </rPr>
      <t>左探冰灯</t>
    </r>
  </si>
  <si>
    <t>3300L8903</t>
  </si>
  <si>
    <t>192*110*75</t>
  </si>
  <si>
    <r>
      <rPr>
        <sz val="11"/>
        <color theme="1"/>
        <rFont val="宋体"/>
        <charset val="134"/>
      </rPr>
      <t>左侧前机身</t>
    </r>
  </si>
  <si>
    <r>
      <rPr>
        <sz val="11"/>
        <color theme="1"/>
        <rFont val="宋体"/>
        <charset val="134"/>
      </rPr>
      <t>右探冰灯</t>
    </r>
  </si>
  <si>
    <t>3300L8904</t>
  </si>
  <si>
    <r>
      <rPr>
        <sz val="11"/>
        <color theme="1"/>
        <rFont val="宋体"/>
        <charset val="134"/>
      </rPr>
      <t>右侧前机身</t>
    </r>
  </si>
  <si>
    <r>
      <rPr>
        <sz val="11"/>
        <rFont val="Times New Roman"/>
        <charset val="134"/>
      </rPr>
      <t xml:space="preserve">EATA34 </t>
    </r>
    <r>
      <rPr>
        <sz val="11"/>
        <rFont val="宋体"/>
        <charset val="134"/>
      </rPr>
      <t>导航系统</t>
    </r>
  </si>
  <si>
    <r>
      <rPr>
        <sz val="11"/>
        <rFont val="宋体"/>
        <charset val="134"/>
      </rPr>
      <t>总压传感器</t>
    </r>
    <r>
      <rPr>
        <sz val="11"/>
        <rFont val="Times New Roman"/>
        <charset val="134"/>
      </rPr>
      <t>1</t>
    </r>
  </si>
  <si>
    <t>3411E01001G900</t>
  </si>
  <si>
    <t>3403U2901</t>
  </si>
  <si>
    <r>
      <rPr>
        <sz val="11"/>
        <rFont val="宋体"/>
        <charset val="134"/>
      </rPr>
      <t>驾驶舱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外部</t>
    </r>
  </si>
  <si>
    <r>
      <rPr>
        <sz val="11"/>
        <rFont val="宋体"/>
        <charset val="134"/>
      </rPr>
      <t>总压传感器</t>
    </r>
    <r>
      <rPr>
        <sz val="11"/>
        <rFont val="Times New Roman"/>
        <charset val="134"/>
      </rPr>
      <t>2</t>
    </r>
  </si>
  <si>
    <t>3403U2903</t>
  </si>
  <si>
    <r>
      <rPr>
        <sz val="11"/>
        <rFont val="宋体"/>
        <charset val="134"/>
      </rPr>
      <t>总压传感器</t>
    </r>
    <r>
      <rPr>
        <sz val="11"/>
        <rFont val="Times New Roman"/>
        <charset val="134"/>
      </rPr>
      <t>3</t>
    </r>
  </si>
  <si>
    <t>3403U2905</t>
  </si>
  <si>
    <r>
      <rPr>
        <sz val="11"/>
        <rFont val="宋体"/>
        <charset val="134"/>
      </rPr>
      <t>总温传感器</t>
    </r>
    <r>
      <rPr>
        <sz val="11"/>
        <rFont val="Times New Roman"/>
        <charset val="134"/>
      </rPr>
      <t>1</t>
    </r>
  </si>
  <si>
    <t>3411E01005G900</t>
  </si>
  <si>
    <t>3402U2901</t>
  </si>
  <si>
    <r>
      <rPr>
        <sz val="11"/>
        <rFont val="宋体"/>
        <charset val="134"/>
      </rPr>
      <t>总温传感器</t>
    </r>
    <r>
      <rPr>
        <sz val="11"/>
        <rFont val="Times New Roman"/>
        <charset val="134"/>
      </rPr>
      <t>2</t>
    </r>
  </si>
  <si>
    <t>3402U2903</t>
  </si>
  <si>
    <r>
      <rPr>
        <sz val="11"/>
        <rFont val="宋体"/>
        <charset val="134"/>
      </rPr>
      <t>攻角传感器</t>
    </r>
    <r>
      <rPr>
        <sz val="11"/>
        <rFont val="Times New Roman"/>
        <charset val="134"/>
      </rPr>
      <t>1</t>
    </r>
  </si>
  <si>
    <t>3411E01007G900</t>
  </si>
  <si>
    <t>3403U2907</t>
  </si>
  <si>
    <r>
      <rPr>
        <sz val="11"/>
        <rFont val="宋体"/>
        <charset val="134"/>
      </rPr>
      <t>攻角传感器</t>
    </r>
    <r>
      <rPr>
        <sz val="11"/>
        <rFont val="Times New Roman"/>
        <charset val="134"/>
      </rPr>
      <t>2</t>
    </r>
  </si>
  <si>
    <t>3403U2909</t>
  </si>
  <si>
    <r>
      <rPr>
        <sz val="11"/>
        <rFont val="宋体"/>
        <charset val="134"/>
      </rPr>
      <t>攻角传感器</t>
    </r>
    <r>
      <rPr>
        <sz val="11"/>
        <rFont val="Times New Roman"/>
        <charset val="134"/>
      </rPr>
      <t>3</t>
    </r>
  </si>
  <si>
    <t>3403U2911</t>
  </si>
  <si>
    <r>
      <rPr>
        <sz val="11"/>
        <rFont val="宋体"/>
        <charset val="134"/>
      </rPr>
      <t>侧滑角传感器</t>
    </r>
  </si>
  <si>
    <t>3411E01009G900</t>
  </si>
  <si>
    <t>3401U1901</t>
  </si>
  <si>
    <r>
      <rPr>
        <sz val="11"/>
        <rFont val="宋体"/>
        <charset val="134"/>
      </rPr>
      <t>静压传感器</t>
    </r>
    <r>
      <rPr>
        <sz val="11"/>
        <rFont val="Times New Roman"/>
        <charset val="134"/>
      </rPr>
      <t>1</t>
    </r>
  </si>
  <si>
    <t>3411E01011G900</t>
  </si>
  <si>
    <t>3401U1903</t>
  </si>
  <si>
    <r>
      <rPr>
        <sz val="11"/>
        <rFont val="宋体"/>
        <charset val="134"/>
      </rPr>
      <t>静压传感器</t>
    </r>
    <r>
      <rPr>
        <sz val="11"/>
        <rFont val="Times New Roman"/>
        <charset val="134"/>
      </rPr>
      <t>2</t>
    </r>
  </si>
  <si>
    <t>3411E01013G900</t>
  </si>
  <si>
    <t>3401U1905</t>
  </si>
  <si>
    <r>
      <rPr>
        <sz val="11"/>
        <rFont val="宋体"/>
        <charset val="134"/>
      </rPr>
      <t>静压传感器</t>
    </r>
    <r>
      <rPr>
        <sz val="11"/>
        <rFont val="Times New Roman"/>
        <charset val="134"/>
      </rPr>
      <t>3</t>
    </r>
  </si>
  <si>
    <t>3411E01015G900</t>
  </si>
  <si>
    <t>3401U1907</t>
  </si>
  <si>
    <r>
      <rPr>
        <sz val="11"/>
        <rFont val="宋体"/>
        <charset val="134"/>
      </rPr>
      <t>静压传感器</t>
    </r>
    <r>
      <rPr>
        <sz val="11"/>
        <rFont val="Times New Roman"/>
        <charset val="134"/>
      </rPr>
      <t>4</t>
    </r>
  </si>
  <si>
    <t>3411E01017G900</t>
  </si>
  <si>
    <t>3401U1909</t>
  </si>
  <si>
    <r>
      <rPr>
        <sz val="11"/>
        <rFont val="宋体"/>
        <charset val="134"/>
      </rPr>
      <t>静压传感器</t>
    </r>
    <r>
      <rPr>
        <sz val="11"/>
        <rFont val="Times New Roman"/>
        <charset val="134"/>
      </rPr>
      <t>5</t>
    </r>
  </si>
  <si>
    <t>3411E01019G900</t>
  </si>
  <si>
    <t>3401U1911</t>
  </si>
  <si>
    <r>
      <rPr>
        <sz val="11"/>
        <rFont val="宋体"/>
        <charset val="134"/>
      </rPr>
      <t>静压传感器</t>
    </r>
    <r>
      <rPr>
        <sz val="11"/>
        <rFont val="Times New Roman"/>
        <charset val="134"/>
      </rPr>
      <t>6</t>
    </r>
  </si>
  <si>
    <t>3411E01021G900</t>
  </si>
  <si>
    <t>3401U1913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</si>
  <si>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1</t>
    </r>
  </si>
  <si>
    <t>3411E02001G900</t>
  </si>
  <si>
    <t>3409U1301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</si>
  <si>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2</t>
    </r>
  </si>
  <si>
    <t>3409U1303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</si>
  <si>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3</t>
    </r>
  </si>
  <si>
    <t>3409U1305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</si>
  <si>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4</t>
    </r>
  </si>
  <si>
    <t>3409U1307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</si>
  <si>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5</t>
    </r>
  </si>
  <si>
    <t>3409U1309</t>
  </si>
  <si>
    <r>
      <rPr>
        <sz val="11"/>
        <color theme="1"/>
        <rFont val="宋体"/>
        <charset val="134"/>
      </rPr>
      <t>位置调整</t>
    </r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</si>
  <si>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6</t>
    </r>
  </si>
  <si>
    <t>3409U1311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</si>
  <si>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7</t>
    </r>
  </si>
  <si>
    <t>3409U2201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</si>
  <si>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8</t>
    </r>
  </si>
  <si>
    <t>3409U2203</t>
  </si>
  <si>
    <r>
      <rPr>
        <sz val="11"/>
        <rFont val="宋体"/>
        <charset val="134"/>
      </rPr>
      <t>大气数据模块</t>
    </r>
    <r>
      <rPr>
        <sz val="11"/>
        <rFont val="Times New Roman"/>
        <charset val="134"/>
      </rPr>
      <t>9</t>
    </r>
  </si>
  <si>
    <t>3409U2205</t>
  </si>
  <si>
    <r>
      <rPr>
        <sz val="11"/>
        <rFont val="宋体"/>
        <charset val="134"/>
      </rPr>
      <t>大气数据计算机</t>
    </r>
    <r>
      <rPr>
        <sz val="11"/>
        <rFont val="Times New Roman"/>
        <charset val="134"/>
      </rPr>
      <t>1</t>
    </r>
  </si>
  <si>
    <t>3411E03001G900</t>
  </si>
  <si>
    <t>3403U2501</t>
  </si>
  <si>
    <r>
      <rPr>
        <sz val="11"/>
        <rFont val="宋体"/>
        <charset val="134"/>
      </rPr>
      <t>大气数据计算机</t>
    </r>
    <r>
      <rPr>
        <sz val="11"/>
        <rFont val="Times New Roman"/>
        <charset val="134"/>
      </rPr>
      <t>2</t>
    </r>
  </si>
  <si>
    <t>3403U2503</t>
  </si>
  <si>
    <r>
      <rPr>
        <sz val="11"/>
        <rFont val="宋体"/>
        <charset val="134"/>
      </rPr>
      <t>大气数据计算机</t>
    </r>
    <r>
      <rPr>
        <sz val="11"/>
        <rFont val="Times New Roman"/>
        <charset val="134"/>
      </rPr>
      <t>3</t>
    </r>
  </si>
  <si>
    <t>3403U2601</t>
  </si>
  <si>
    <r>
      <rPr>
        <sz val="11"/>
        <rFont val="宋体"/>
        <charset val="134"/>
      </rPr>
      <t>综合备份仪表</t>
    </r>
  </si>
  <si>
    <t>3421E01001G900</t>
  </si>
  <si>
    <t>3401U2203</t>
  </si>
  <si>
    <r>
      <rPr>
        <sz val="11"/>
        <rFont val="宋体"/>
        <charset val="134"/>
      </rPr>
      <t>磁罗盘</t>
    </r>
  </si>
  <si>
    <t>3422E01001G900</t>
  </si>
  <si>
    <t>3401U2205</t>
  </si>
  <si>
    <r>
      <rPr>
        <sz val="11"/>
        <rFont val="宋体"/>
        <charset val="134"/>
      </rPr>
      <t>仪表着陆</t>
    </r>
    <r>
      <rPr>
        <sz val="11"/>
        <rFont val="Times New Roman"/>
        <charset val="134"/>
      </rPr>
      <t>(LOC/GS)</t>
    </r>
    <r>
      <rPr>
        <sz val="11"/>
        <rFont val="宋体"/>
        <charset val="134"/>
      </rPr>
      <t>天线</t>
    </r>
    <r>
      <rPr>
        <sz val="11"/>
        <rFont val="Times New Roman"/>
        <charset val="134"/>
      </rPr>
      <t>1</t>
    </r>
  </si>
  <si>
    <t>3431E01001G900</t>
  </si>
  <si>
    <t>3402A8201</t>
  </si>
  <si>
    <t>暂时保留，讨论要不要删除</t>
  </si>
  <si>
    <r>
      <rPr>
        <sz val="11"/>
        <rFont val="宋体"/>
        <charset val="134"/>
      </rPr>
      <t>仪表着陆</t>
    </r>
    <r>
      <rPr>
        <sz val="11"/>
        <rFont val="Times New Roman"/>
        <charset val="134"/>
      </rPr>
      <t>(LOC/GS)</t>
    </r>
    <r>
      <rPr>
        <sz val="11"/>
        <rFont val="宋体"/>
        <charset val="134"/>
      </rPr>
      <t>天线</t>
    </r>
    <r>
      <rPr>
        <sz val="11"/>
        <rFont val="Times New Roman"/>
        <charset val="134"/>
      </rPr>
      <t>2</t>
    </r>
  </si>
  <si>
    <t>3402A8203</t>
  </si>
  <si>
    <r>
      <rPr>
        <sz val="11"/>
        <rFont val="Times New Roman"/>
        <charset val="134"/>
      </rPr>
      <t>LOC/GS</t>
    </r>
    <r>
      <rPr>
        <sz val="11"/>
        <rFont val="宋体"/>
        <charset val="134"/>
      </rPr>
      <t>天线合路器</t>
    </r>
  </si>
  <si>
    <t>3431E01003G900</t>
  </si>
  <si>
    <t>3401U8201</t>
  </si>
  <si>
    <r>
      <rPr>
        <sz val="11"/>
        <rFont val="Times New Roman"/>
        <charset val="134"/>
      </rPr>
      <t>LOC/GS</t>
    </r>
    <r>
      <rPr>
        <sz val="11"/>
        <rFont val="宋体"/>
        <charset val="134"/>
      </rPr>
      <t>功分器</t>
    </r>
    <r>
      <rPr>
        <sz val="11"/>
        <rFont val="Times New Roman"/>
        <charset val="134"/>
      </rPr>
      <t>1</t>
    </r>
  </si>
  <si>
    <t>3431E02001G900</t>
  </si>
  <si>
    <t>3402U3601</t>
  </si>
  <si>
    <r>
      <rPr>
        <sz val="11"/>
        <rFont val="Times New Roman"/>
        <charset val="134"/>
      </rPr>
      <t>LOC/GS</t>
    </r>
    <r>
      <rPr>
        <sz val="11"/>
        <rFont val="宋体"/>
        <charset val="134"/>
      </rPr>
      <t>功分器</t>
    </r>
    <r>
      <rPr>
        <sz val="11"/>
        <rFont val="Times New Roman"/>
        <charset val="134"/>
      </rPr>
      <t>2</t>
    </r>
  </si>
  <si>
    <t>3402U3503</t>
  </si>
  <si>
    <r>
      <rPr>
        <sz val="11"/>
        <rFont val="宋体"/>
        <charset val="134"/>
      </rPr>
      <t>无线电高度表天线</t>
    </r>
    <r>
      <rPr>
        <sz val="11"/>
        <rFont val="Times New Roman"/>
        <charset val="134"/>
      </rPr>
      <t>1</t>
    </r>
  </si>
  <si>
    <t>3442E01001G900</t>
  </si>
  <si>
    <t>3404A4901</t>
  </si>
  <si>
    <r>
      <rPr>
        <sz val="11"/>
        <rFont val="宋体"/>
        <charset val="134"/>
      </rPr>
      <t>无线电高度表天线</t>
    </r>
    <r>
      <rPr>
        <sz val="11"/>
        <rFont val="Times New Roman"/>
        <charset val="134"/>
      </rPr>
      <t>2</t>
    </r>
  </si>
  <si>
    <t>3404A4903</t>
  </si>
  <si>
    <r>
      <rPr>
        <sz val="11"/>
        <rFont val="宋体"/>
        <charset val="134"/>
      </rPr>
      <t>无线电高度表天线</t>
    </r>
    <r>
      <rPr>
        <sz val="11"/>
        <rFont val="Times New Roman"/>
        <charset val="134"/>
      </rPr>
      <t>3</t>
    </r>
  </si>
  <si>
    <t>3404A4905</t>
  </si>
  <si>
    <r>
      <rPr>
        <sz val="11"/>
        <rFont val="宋体"/>
        <charset val="134"/>
      </rPr>
      <t>无线电高度表天线</t>
    </r>
    <r>
      <rPr>
        <sz val="11"/>
        <rFont val="Times New Roman"/>
        <charset val="134"/>
      </rPr>
      <t>4</t>
    </r>
  </si>
  <si>
    <t>3404A4907</t>
  </si>
  <si>
    <r>
      <rPr>
        <sz val="11"/>
        <rFont val="宋体"/>
        <charset val="134"/>
      </rPr>
      <t>无线电高度表（</t>
    </r>
    <r>
      <rPr>
        <sz val="11"/>
        <rFont val="Times New Roman"/>
        <charset val="134"/>
      </rPr>
      <t>RA</t>
    </r>
    <r>
      <rPr>
        <sz val="11"/>
        <rFont val="宋体"/>
        <charset val="134"/>
      </rPr>
      <t>）收发机</t>
    </r>
    <r>
      <rPr>
        <sz val="11"/>
        <rFont val="Times New Roman"/>
        <charset val="134"/>
      </rPr>
      <t>1</t>
    </r>
  </si>
  <si>
    <t>3442E01003G900</t>
  </si>
  <si>
    <t>3402U4101</t>
  </si>
  <si>
    <r>
      <rPr>
        <sz val="11"/>
        <rFont val="宋体"/>
        <charset val="134"/>
      </rPr>
      <t>无线电高度表（</t>
    </r>
    <r>
      <rPr>
        <sz val="11"/>
        <rFont val="Times New Roman"/>
        <charset val="134"/>
      </rPr>
      <t>RA</t>
    </r>
    <r>
      <rPr>
        <sz val="11"/>
        <rFont val="宋体"/>
        <charset val="134"/>
      </rPr>
      <t>）收发机</t>
    </r>
    <r>
      <rPr>
        <sz val="11"/>
        <rFont val="Times New Roman"/>
        <charset val="134"/>
      </rPr>
      <t>2</t>
    </r>
  </si>
  <si>
    <t>3402U4103</t>
  </si>
  <si>
    <r>
      <rPr>
        <sz val="11"/>
        <rFont val="宋体"/>
        <charset val="134"/>
      </rPr>
      <t>惯性基准系统</t>
    </r>
    <r>
      <rPr>
        <sz val="11"/>
        <rFont val="Times New Roman"/>
        <charset val="134"/>
      </rPr>
      <t>1</t>
    </r>
  </si>
  <si>
    <t>3443E01001G900</t>
  </si>
  <si>
    <t>3401U2505</t>
  </si>
  <si>
    <r>
      <rPr>
        <sz val="11"/>
        <rFont val="宋体"/>
        <charset val="134"/>
      </rPr>
      <t>减小设备宽度</t>
    </r>
  </si>
  <si>
    <t>非标准托架安装</t>
  </si>
  <si>
    <r>
      <rPr>
        <sz val="11"/>
        <rFont val="宋体"/>
        <charset val="134"/>
      </rPr>
      <t>惯性基准系统</t>
    </r>
    <r>
      <rPr>
        <sz val="11"/>
        <rFont val="Times New Roman"/>
        <charset val="134"/>
      </rPr>
      <t>2</t>
    </r>
  </si>
  <si>
    <t>3443E01003G900</t>
  </si>
  <si>
    <t>3401U2507</t>
  </si>
  <si>
    <r>
      <rPr>
        <sz val="11"/>
        <rFont val="宋体"/>
        <charset val="134"/>
      </rPr>
      <t>惯性基准系统</t>
    </r>
    <r>
      <rPr>
        <sz val="11"/>
        <rFont val="Times New Roman"/>
        <charset val="134"/>
      </rPr>
      <t>3</t>
    </r>
  </si>
  <si>
    <t>3443E01005G900</t>
  </si>
  <si>
    <t>3401U6101</t>
  </si>
  <si>
    <r>
      <rPr>
        <sz val="11"/>
        <rFont val="宋体"/>
        <charset val="134"/>
      </rPr>
      <t>甚高频通信及无线电导航集成设备</t>
    </r>
    <r>
      <rPr>
        <sz val="11"/>
        <rFont val="Times New Roman"/>
        <charset val="134"/>
      </rPr>
      <t>1</t>
    </r>
  </si>
  <si>
    <t>3451E01001G900</t>
  </si>
  <si>
    <t>3401U3601</t>
  </si>
  <si>
    <r>
      <rPr>
        <sz val="11"/>
        <rFont val="宋体"/>
        <charset val="134"/>
      </rPr>
      <t>建议改成推拉式托架形式</t>
    </r>
  </si>
  <si>
    <r>
      <rPr>
        <sz val="11"/>
        <rFont val="宋体"/>
        <charset val="134"/>
      </rPr>
      <t>甚高频通信及无线电导航集成设备</t>
    </r>
    <r>
      <rPr>
        <sz val="11"/>
        <rFont val="Times New Roman"/>
        <charset val="134"/>
      </rPr>
      <t>2</t>
    </r>
  </si>
  <si>
    <t>3451E01003G900</t>
  </si>
  <si>
    <t>3401U3501</t>
  </si>
  <si>
    <r>
      <rPr>
        <sz val="11"/>
        <rFont val="Times New Roman"/>
        <charset val="134"/>
      </rPr>
      <t>VHF</t>
    </r>
    <r>
      <rPr>
        <sz val="11"/>
        <rFont val="宋体"/>
        <charset val="134"/>
      </rPr>
      <t>天线</t>
    </r>
    <r>
      <rPr>
        <sz val="11"/>
        <rFont val="Times New Roman"/>
        <charset val="134"/>
      </rPr>
      <t>1</t>
    </r>
  </si>
  <si>
    <t>3451E02001G900</t>
  </si>
  <si>
    <t>3403A3901</t>
  </si>
  <si>
    <r>
      <rPr>
        <sz val="11"/>
        <rFont val="宋体"/>
        <charset val="134"/>
      </rPr>
      <t>选用高度更低的天线</t>
    </r>
  </si>
  <si>
    <r>
      <rPr>
        <sz val="11"/>
        <rFont val="Times New Roman"/>
        <charset val="134"/>
      </rPr>
      <t>VHF</t>
    </r>
    <r>
      <rPr>
        <sz val="11"/>
        <rFont val="宋体"/>
        <charset val="134"/>
      </rPr>
      <t>天线</t>
    </r>
    <r>
      <rPr>
        <sz val="11"/>
        <rFont val="Times New Roman"/>
        <charset val="134"/>
      </rPr>
      <t>2</t>
    </r>
  </si>
  <si>
    <t>3403A4901</t>
  </si>
  <si>
    <r>
      <rPr>
        <sz val="11"/>
        <rFont val="Times New Roman"/>
        <charset val="134"/>
      </rPr>
      <t>VHF</t>
    </r>
    <r>
      <rPr>
        <sz val="11"/>
        <rFont val="宋体"/>
        <charset val="134"/>
      </rPr>
      <t>天线</t>
    </r>
    <r>
      <rPr>
        <sz val="11"/>
        <rFont val="Times New Roman"/>
        <charset val="134"/>
      </rPr>
      <t>3</t>
    </r>
  </si>
  <si>
    <t>3403A3903</t>
  </si>
  <si>
    <r>
      <rPr>
        <sz val="11"/>
        <rFont val="宋体"/>
        <charset val="134"/>
      </rPr>
      <t>交通监视处理机</t>
    </r>
  </si>
  <si>
    <t>3446E01001G900</t>
  </si>
  <si>
    <t>3401U2509</t>
  </si>
  <si>
    <t>重量不含托架，估算值</t>
  </si>
  <si>
    <r>
      <rPr>
        <sz val="11"/>
        <rFont val="宋体"/>
        <charset val="134"/>
      </rPr>
      <t>交通监视上天线</t>
    </r>
  </si>
  <si>
    <t>3446E01003G900</t>
  </si>
  <si>
    <t>3401A3901</t>
  </si>
  <si>
    <r>
      <rPr>
        <sz val="11"/>
        <rFont val="宋体"/>
        <charset val="134"/>
      </rPr>
      <t>交通监视下天线</t>
    </r>
  </si>
  <si>
    <t>3401A4901</t>
  </si>
  <si>
    <r>
      <rPr>
        <sz val="11"/>
        <rFont val="宋体"/>
        <charset val="134"/>
      </rPr>
      <t>气象雷达</t>
    </r>
  </si>
  <si>
    <t>3441E01001G900</t>
  </si>
  <si>
    <t>3401A1103</t>
  </si>
  <si>
    <r>
      <rPr>
        <sz val="11"/>
        <rFont val="宋体"/>
        <charset val="134"/>
      </rPr>
      <t>机头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雷达舱</t>
    </r>
  </si>
  <si>
    <t>TAWS</t>
  </si>
  <si>
    <r>
      <rPr>
        <sz val="11"/>
        <rFont val="Times New Roman"/>
        <charset val="134"/>
      </rPr>
      <t>GPS</t>
    </r>
    <r>
      <rPr>
        <sz val="11"/>
        <rFont val="宋体"/>
        <charset val="134"/>
      </rPr>
      <t>天线</t>
    </r>
    <r>
      <rPr>
        <sz val="11"/>
        <rFont val="Times New Roman"/>
        <charset val="134"/>
      </rPr>
      <t>1</t>
    </r>
  </si>
  <si>
    <t>3458E01001G900</t>
  </si>
  <si>
    <t>3402A3901</t>
  </si>
  <si>
    <r>
      <rPr>
        <sz val="11"/>
        <rFont val="Times New Roman"/>
        <charset val="134"/>
      </rPr>
      <t>GPS</t>
    </r>
    <r>
      <rPr>
        <sz val="11"/>
        <rFont val="宋体"/>
        <charset val="134"/>
      </rPr>
      <t>天线</t>
    </r>
    <r>
      <rPr>
        <sz val="11"/>
        <rFont val="Times New Roman"/>
        <charset val="134"/>
      </rPr>
      <t>2</t>
    </r>
  </si>
  <si>
    <t>3402A3903</t>
  </si>
  <si>
    <r>
      <rPr>
        <sz val="11"/>
        <rFont val="Times New Roman"/>
        <charset val="134"/>
      </rPr>
      <t>GNSS</t>
    </r>
    <r>
      <rPr>
        <sz val="11"/>
        <rFont val="宋体"/>
        <charset val="134"/>
      </rPr>
      <t>射频功分器</t>
    </r>
    <r>
      <rPr>
        <sz val="11"/>
        <rFont val="Times New Roman"/>
        <charset val="134"/>
      </rPr>
      <t>1</t>
    </r>
  </si>
  <si>
    <t>3458E02001G900</t>
  </si>
  <si>
    <t>3401U3605</t>
  </si>
  <si>
    <r>
      <rPr>
        <sz val="11"/>
        <rFont val="Times New Roman"/>
        <charset val="134"/>
      </rPr>
      <t>GNSS</t>
    </r>
    <r>
      <rPr>
        <sz val="11"/>
        <rFont val="宋体"/>
        <charset val="134"/>
      </rPr>
      <t>射频功分器</t>
    </r>
    <r>
      <rPr>
        <sz val="11"/>
        <rFont val="Times New Roman"/>
        <charset val="134"/>
      </rPr>
      <t>2</t>
    </r>
  </si>
  <si>
    <t>3401U3505</t>
  </si>
  <si>
    <t>讨论后看是否删除</t>
  </si>
  <si>
    <r>
      <rPr>
        <sz val="11"/>
        <rFont val="Times New Roman"/>
        <charset val="134"/>
      </rPr>
      <t>RTK</t>
    </r>
    <r>
      <rPr>
        <sz val="11"/>
        <rFont val="宋体"/>
        <charset val="134"/>
      </rPr>
      <t>机载接收机</t>
    </r>
    <r>
      <rPr>
        <sz val="11"/>
        <rFont val="Times New Roman"/>
        <charset val="134"/>
      </rPr>
      <t>1</t>
    </r>
  </si>
  <si>
    <t>3458E03001U900</t>
  </si>
  <si>
    <t>3402U3205</t>
  </si>
  <si>
    <r>
      <rPr>
        <sz val="11"/>
        <rFont val="Times New Roman"/>
        <charset val="134"/>
      </rPr>
      <t>RTK</t>
    </r>
    <r>
      <rPr>
        <sz val="11"/>
        <rFont val="宋体"/>
        <charset val="134"/>
      </rPr>
      <t>机载接收机</t>
    </r>
    <r>
      <rPr>
        <sz val="11"/>
        <rFont val="Times New Roman"/>
        <charset val="134"/>
      </rPr>
      <t>2</t>
    </r>
  </si>
  <si>
    <t>3402U3207</t>
  </si>
  <si>
    <r>
      <rPr>
        <sz val="11"/>
        <rFont val="Times New Roman"/>
        <charset val="134"/>
      </rPr>
      <t xml:space="preserve">EATA35 </t>
    </r>
    <r>
      <rPr>
        <sz val="11"/>
        <rFont val="宋体"/>
        <charset val="134"/>
      </rPr>
      <t>氧气</t>
    </r>
  </si>
  <si>
    <r>
      <rPr>
        <sz val="11"/>
        <rFont val="宋体"/>
        <charset val="134"/>
      </rPr>
      <t>便携式氧气瓶组件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</si>
  <si>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便携式氧气瓶组件</t>
    </r>
    <r>
      <rPr>
        <sz val="11"/>
        <rFont val="Times New Roman"/>
        <charset val="134"/>
      </rPr>
      <t>2</t>
    </r>
  </si>
  <si>
    <r>
      <rPr>
        <sz val="11"/>
        <rFont val="Times New Roman"/>
        <charset val="134"/>
      </rPr>
      <t xml:space="preserve">EATA42 </t>
    </r>
    <r>
      <rPr>
        <sz val="11"/>
        <rFont val="宋体"/>
        <charset val="134"/>
      </rPr>
      <t>机载处理与网络系统</t>
    </r>
  </si>
  <si>
    <r>
      <rPr>
        <sz val="11"/>
        <rFont val="宋体"/>
        <charset val="134"/>
      </rPr>
      <t>飞机数据网络交换机</t>
    </r>
    <r>
      <rPr>
        <sz val="11"/>
        <rFont val="Times New Roman"/>
        <charset val="134"/>
      </rPr>
      <t>1</t>
    </r>
  </si>
  <si>
    <t>4230E01001G900</t>
  </si>
  <si>
    <t>4202U3503</t>
  </si>
  <si>
    <t>4MCU</t>
  </si>
  <si>
    <t>重量不含托架；位置、尺寸调整</t>
  </si>
  <si>
    <r>
      <rPr>
        <sz val="11"/>
        <rFont val="宋体"/>
        <charset val="134"/>
      </rPr>
      <t>飞机数据网络交换机</t>
    </r>
    <r>
      <rPr>
        <sz val="11"/>
        <rFont val="Times New Roman"/>
        <charset val="134"/>
      </rPr>
      <t>2</t>
    </r>
  </si>
  <si>
    <t>4202U3603</t>
  </si>
  <si>
    <r>
      <rPr>
        <sz val="11"/>
        <color rgb="FFFF0000"/>
        <rFont val="汉仪书宋二KW"/>
        <charset val="134"/>
      </rPr>
      <t>驾驶舱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汉仪书宋二KW"/>
        <charset val="134"/>
      </rPr>
      <t>右设备架</t>
    </r>
  </si>
  <si>
    <r>
      <rPr>
        <sz val="11"/>
        <rFont val="Times New Roman"/>
        <charset val="134"/>
      </rPr>
      <t>TSN</t>
    </r>
    <r>
      <rPr>
        <sz val="11"/>
        <rFont val="宋体"/>
        <charset val="134"/>
      </rPr>
      <t>数据记录器</t>
    </r>
    <r>
      <rPr>
        <sz val="11"/>
        <rFont val="Times New Roman"/>
        <charset val="134"/>
      </rPr>
      <t>1</t>
    </r>
  </si>
  <si>
    <t>4230E02001U900</t>
  </si>
  <si>
    <t>4202U3201</t>
  </si>
  <si>
    <r>
      <rPr>
        <sz val="11"/>
        <rFont val="Times New Roman"/>
        <charset val="134"/>
      </rPr>
      <t>TSN</t>
    </r>
    <r>
      <rPr>
        <sz val="11"/>
        <rFont val="宋体"/>
        <charset val="134"/>
      </rPr>
      <t>数据记录器</t>
    </r>
    <r>
      <rPr>
        <sz val="11"/>
        <rFont val="Times New Roman"/>
        <charset val="134"/>
      </rPr>
      <t>2</t>
    </r>
  </si>
  <si>
    <t>4202U3205</t>
  </si>
  <si>
    <r>
      <rPr>
        <sz val="11"/>
        <rFont val="宋体"/>
        <charset val="134"/>
      </rPr>
      <t>数据接口单元</t>
    </r>
    <r>
      <rPr>
        <sz val="11"/>
        <rFont val="Times New Roman"/>
        <charset val="134"/>
      </rPr>
      <t>1</t>
    </r>
  </si>
  <si>
    <t>4240E01001G900</t>
  </si>
  <si>
    <t>4206U2601</t>
  </si>
  <si>
    <t>3MCU</t>
  </si>
  <si>
    <r>
      <rPr>
        <sz val="11"/>
        <rFont val="宋体"/>
        <charset val="134"/>
      </rPr>
      <t>数据接口单元</t>
    </r>
    <r>
      <rPr>
        <sz val="11"/>
        <rFont val="Times New Roman"/>
        <charset val="134"/>
      </rPr>
      <t>2</t>
    </r>
  </si>
  <si>
    <t>4206U2603</t>
  </si>
  <si>
    <r>
      <rPr>
        <sz val="11"/>
        <rFont val="宋体"/>
        <charset val="134"/>
      </rPr>
      <t>数据接口单元</t>
    </r>
    <r>
      <rPr>
        <sz val="11"/>
        <rFont val="Times New Roman"/>
        <charset val="134"/>
      </rPr>
      <t>3</t>
    </r>
  </si>
  <si>
    <t>4206U2501</t>
  </si>
  <si>
    <r>
      <rPr>
        <sz val="11"/>
        <rFont val="宋体"/>
        <charset val="134"/>
      </rPr>
      <t>数据接口单元</t>
    </r>
    <r>
      <rPr>
        <sz val="11"/>
        <rFont val="Times New Roman"/>
        <charset val="134"/>
      </rPr>
      <t>4</t>
    </r>
  </si>
  <si>
    <t>4206U3501</t>
  </si>
  <si>
    <r>
      <rPr>
        <sz val="11"/>
        <rFont val="宋体"/>
        <charset val="134"/>
      </rPr>
      <t>数据接口单元</t>
    </r>
    <r>
      <rPr>
        <sz val="11"/>
        <rFont val="Times New Roman"/>
        <charset val="134"/>
      </rPr>
      <t>5</t>
    </r>
  </si>
  <si>
    <t>4206U3503</t>
  </si>
  <si>
    <r>
      <rPr>
        <sz val="11"/>
        <rFont val="宋体"/>
        <charset val="134"/>
      </rPr>
      <t>数据接口单元</t>
    </r>
    <r>
      <rPr>
        <sz val="11"/>
        <rFont val="Times New Roman"/>
        <charset val="134"/>
      </rPr>
      <t>6</t>
    </r>
  </si>
  <si>
    <t>4206U3601</t>
  </si>
  <si>
    <r>
      <rPr>
        <sz val="11"/>
        <rFont val="Times New Roman"/>
        <charset val="134"/>
      </rPr>
      <t xml:space="preserve">EATA46 </t>
    </r>
    <r>
      <rPr>
        <sz val="11"/>
        <rFont val="宋体"/>
        <charset val="134"/>
      </rPr>
      <t>信息系统</t>
    </r>
  </si>
  <si>
    <r>
      <rPr>
        <sz val="11"/>
        <rFont val="宋体"/>
        <charset val="134"/>
      </rPr>
      <t>视频服务单元</t>
    </r>
    <r>
      <rPr>
        <sz val="11"/>
        <rFont val="Times New Roman"/>
        <charset val="134"/>
      </rPr>
      <t>1</t>
    </r>
  </si>
  <si>
    <t>4651E01001G900</t>
  </si>
  <si>
    <t>4601U3501</t>
  </si>
  <si>
    <r>
      <rPr>
        <sz val="11"/>
        <rFont val="宋体"/>
        <charset val="134"/>
      </rPr>
      <t>需改为标准</t>
    </r>
    <r>
      <rPr>
        <sz val="11"/>
        <rFont val="Times New Roman"/>
        <charset val="134"/>
      </rPr>
      <t>ARINC600</t>
    </r>
    <r>
      <rPr>
        <sz val="11"/>
        <rFont val="宋体"/>
        <charset val="134"/>
      </rPr>
      <t>机箱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国军标</t>
    </r>
    <r>
      <rPr>
        <sz val="11"/>
        <rFont val="Times New Roman"/>
        <charset val="134"/>
      </rPr>
      <t>441</t>
    </r>
    <r>
      <rPr>
        <sz val="11"/>
        <rFont val="宋体"/>
        <charset val="134"/>
      </rPr>
      <t>标准尺寸机箱</t>
    </r>
  </si>
  <si>
    <t>建议将视频服务器单元1和2合并</t>
  </si>
  <si>
    <r>
      <rPr>
        <sz val="11"/>
        <rFont val="宋体"/>
        <charset val="134"/>
      </rPr>
      <t>跑道监视摄像头</t>
    </r>
  </si>
  <si>
    <t>4651E02003G900</t>
  </si>
  <si>
    <t>4601D4907</t>
  </si>
  <si>
    <t>后面方案调整摄像头数量会修改</t>
  </si>
  <si>
    <r>
      <rPr>
        <sz val="11"/>
        <rFont val="宋体"/>
        <charset val="134"/>
      </rPr>
      <t>通用信息处理计算机</t>
    </r>
  </si>
  <si>
    <t>4610E01001G900</t>
  </si>
  <si>
    <t>4601U3503</t>
  </si>
  <si>
    <t>重量估算值；位置、尺寸调整</t>
  </si>
  <si>
    <r>
      <rPr>
        <sz val="11"/>
        <rFont val="宋体"/>
        <charset val="134"/>
      </rPr>
      <t>便携式电子飞行包</t>
    </r>
    <r>
      <rPr>
        <sz val="11"/>
        <rFont val="Times New Roman"/>
        <charset val="134"/>
      </rPr>
      <t>1</t>
    </r>
  </si>
  <si>
    <t>4621E01001G900</t>
  </si>
  <si>
    <t>4602U2203</t>
  </si>
  <si>
    <r>
      <rPr>
        <sz val="11"/>
        <rFont val="宋体"/>
        <charset val="134"/>
      </rPr>
      <t>便携式电子飞行包</t>
    </r>
    <r>
      <rPr>
        <sz val="11"/>
        <rFont val="Times New Roman"/>
        <charset val="134"/>
      </rPr>
      <t>2</t>
    </r>
  </si>
  <si>
    <t>4602U2205</t>
  </si>
  <si>
    <r>
      <rPr>
        <sz val="11"/>
        <rFont val="宋体"/>
        <charset val="134"/>
      </rPr>
      <t>机身上表面摄像头</t>
    </r>
  </si>
  <si>
    <t>4651E02001U900</t>
  </si>
  <si>
    <t>4601D8201</t>
  </si>
  <si>
    <r>
      <rPr>
        <sz val="11"/>
        <rFont val="宋体"/>
        <charset val="134"/>
      </rPr>
      <t>后左起落架摄像头</t>
    </r>
  </si>
  <si>
    <t>4651E02003U900</t>
  </si>
  <si>
    <t>4601D4905</t>
  </si>
  <si>
    <r>
      <rPr>
        <sz val="11"/>
        <rFont val="宋体"/>
        <charset val="134"/>
      </rPr>
      <t>正下方视野摄像头</t>
    </r>
  </si>
  <si>
    <t>4651E02005U900</t>
  </si>
  <si>
    <t>4601D5903</t>
  </si>
  <si>
    <r>
      <rPr>
        <sz val="11"/>
        <rFont val="宋体"/>
        <charset val="134"/>
      </rPr>
      <t>右电涵道摄像头</t>
    </r>
  </si>
  <si>
    <t>4651E02007U900</t>
  </si>
  <si>
    <t>4601D3901</t>
  </si>
  <si>
    <r>
      <rPr>
        <sz val="11"/>
        <rFont val="宋体"/>
        <charset val="134"/>
      </rPr>
      <t>左电涵道摄像头</t>
    </r>
  </si>
  <si>
    <t>4651E02009U900</t>
  </si>
  <si>
    <t>4601D3903</t>
  </si>
  <si>
    <r>
      <rPr>
        <sz val="11"/>
        <rFont val="宋体"/>
        <charset val="134"/>
      </rPr>
      <t>电池舱摄像头</t>
    </r>
    <r>
      <rPr>
        <sz val="11"/>
        <rFont val="Times New Roman"/>
        <charset val="134"/>
      </rPr>
      <t>1</t>
    </r>
  </si>
  <si>
    <t>4651E02011U900</t>
  </si>
  <si>
    <t>4605D4201</t>
  </si>
  <si>
    <r>
      <rPr>
        <sz val="11"/>
        <rFont val="宋体"/>
        <charset val="134"/>
      </rPr>
      <t>下机身前段</t>
    </r>
    <r>
      <rPr>
        <sz val="11"/>
        <rFont val="Times New Roman"/>
        <charset val="134"/>
      </rPr>
      <t>-1</t>
    </r>
    <r>
      <rPr>
        <sz val="11"/>
        <rFont val="宋体"/>
        <charset val="134"/>
      </rPr>
      <t>号动力电池舱</t>
    </r>
  </si>
  <si>
    <r>
      <rPr>
        <sz val="11"/>
        <rFont val="宋体"/>
        <charset val="134"/>
      </rPr>
      <t>电池舱摄像头</t>
    </r>
    <r>
      <rPr>
        <sz val="11"/>
        <rFont val="Times New Roman"/>
        <charset val="134"/>
      </rPr>
      <t>2</t>
    </r>
  </si>
  <si>
    <t>4605D4301</t>
  </si>
  <si>
    <r>
      <rPr>
        <sz val="11"/>
        <rFont val="宋体"/>
        <charset val="134"/>
      </rPr>
      <t>下机身前段</t>
    </r>
    <r>
      <rPr>
        <sz val="11"/>
        <rFont val="Times New Roman"/>
        <charset val="134"/>
      </rPr>
      <t>-2</t>
    </r>
    <r>
      <rPr>
        <sz val="11"/>
        <rFont val="宋体"/>
        <charset val="134"/>
      </rPr>
      <t>号动力电池舱</t>
    </r>
  </si>
  <si>
    <r>
      <rPr>
        <sz val="11"/>
        <rFont val="宋体"/>
        <charset val="134"/>
      </rPr>
      <t>电池舱摄像头</t>
    </r>
    <r>
      <rPr>
        <sz val="11"/>
        <rFont val="Times New Roman"/>
        <charset val="134"/>
      </rPr>
      <t>3</t>
    </r>
  </si>
  <si>
    <t>4605D4401</t>
  </si>
  <si>
    <r>
      <rPr>
        <sz val="11"/>
        <rFont val="宋体"/>
        <charset val="134"/>
      </rPr>
      <t>下机身前段</t>
    </r>
    <r>
      <rPr>
        <sz val="11"/>
        <rFont val="Times New Roman"/>
        <charset val="134"/>
      </rPr>
      <t>-3</t>
    </r>
    <r>
      <rPr>
        <sz val="11"/>
        <rFont val="宋体"/>
        <charset val="134"/>
      </rPr>
      <t>号动力电池舱</t>
    </r>
  </si>
  <si>
    <r>
      <rPr>
        <sz val="11"/>
        <rFont val="宋体"/>
        <charset val="134"/>
      </rPr>
      <t>电池舱摄像头</t>
    </r>
    <r>
      <rPr>
        <sz val="11"/>
        <rFont val="Times New Roman"/>
        <charset val="134"/>
      </rPr>
      <t>4</t>
    </r>
  </si>
  <si>
    <t>4605D5301</t>
  </si>
  <si>
    <r>
      <rPr>
        <sz val="11"/>
        <rFont val="宋体"/>
        <charset val="134"/>
      </rPr>
      <t>下机身后段</t>
    </r>
    <r>
      <rPr>
        <sz val="11"/>
        <rFont val="Times New Roman"/>
        <charset val="134"/>
      </rPr>
      <t>-4</t>
    </r>
    <r>
      <rPr>
        <sz val="11"/>
        <rFont val="宋体"/>
        <charset val="134"/>
      </rPr>
      <t>号动力电池舱</t>
    </r>
  </si>
  <si>
    <r>
      <rPr>
        <sz val="11"/>
        <rFont val="宋体"/>
        <charset val="134"/>
      </rPr>
      <t>电池舱摄像头</t>
    </r>
    <r>
      <rPr>
        <sz val="11"/>
        <rFont val="Times New Roman"/>
        <charset val="134"/>
      </rPr>
      <t>5</t>
    </r>
  </si>
  <si>
    <t>4605D5401</t>
  </si>
  <si>
    <r>
      <rPr>
        <sz val="11"/>
        <rFont val="宋体"/>
        <charset val="134"/>
      </rPr>
      <t>下机身后段</t>
    </r>
    <r>
      <rPr>
        <sz val="11"/>
        <rFont val="Times New Roman"/>
        <charset val="134"/>
      </rPr>
      <t>-5</t>
    </r>
    <r>
      <rPr>
        <sz val="11"/>
        <rFont val="宋体"/>
        <charset val="134"/>
      </rPr>
      <t>号动力电池舱</t>
    </r>
  </si>
  <si>
    <r>
      <rPr>
        <sz val="11"/>
        <rFont val="宋体"/>
        <charset val="134"/>
      </rPr>
      <t>正前方视野摄像头</t>
    </r>
  </si>
  <si>
    <t>4651E02013U900</t>
  </si>
  <si>
    <t>4601D2901</t>
  </si>
  <si>
    <r>
      <rPr>
        <sz val="11"/>
        <rFont val="宋体"/>
        <charset val="134"/>
      </rPr>
      <t>垂尾平尾摄像头</t>
    </r>
  </si>
  <si>
    <t>4651E02015U900</t>
  </si>
  <si>
    <t>4601D3905</t>
  </si>
  <si>
    <r>
      <rPr>
        <sz val="11"/>
        <rFont val="宋体"/>
        <charset val="134"/>
      </rPr>
      <t>前起落架摄像头</t>
    </r>
  </si>
  <si>
    <t>4651E02017U900</t>
  </si>
  <si>
    <t>4601D4901</t>
  </si>
  <si>
    <r>
      <rPr>
        <sz val="11"/>
        <rFont val="宋体"/>
        <charset val="134"/>
      </rPr>
      <t>后右起落架摄像头</t>
    </r>
  </si>
  <si>
    <t>4651E02019U900</t>
  </si>
  <si>
    <t>4601D4903</t>
  </si>
  <si>
    <r>
      <rPr>
        <sz val="11"/>
        <rFont val="Times New Roman"/>
        <charset val="134"/>
      </rPr>
      <t xml:space="preserve">EATA86 </t>
    </r>
    <r>
      <rPr>
        <sz val="11"/>
        <rFont val="宋体"/>
        <charset val="134"/>
      </rPr>
      <t>电推进系统</t>
    </r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</si>
  <si>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1</t>
    </r>
  </si>
  <si>
    <t>8611E01001G900</t>
  </si>
  <si>
    <t>8610M7105</t>
  </si>
  <si>
    <r>
      <rPr>
        <sz val="11"/>
        <rFont val="宋体"/>
        <charset val="134"/>
      </rPr>
      <t>短舱</t>
    </r>
    <r>
      <rPr>
        <sz val="11"/>
        <rFont val="Times New Roman"/>
        <charset val="134"/>
      </rPr>
      <t>-1</t>
    </r>
    <r>
      <rPr>
        <sz val="11"/>
        <rFont val="宋体"/>
        <charset val="134"/>
      </rPr>
      <t>号短舱（机翼内侧）</t>
    </r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</si>
  <si>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2</t>
    </r>
  </si>
  <si>
    <t>8610M7205</t>
  </si>
  <si>
    <r>
      <rPr>
        <sz val="11"/>
        <rFont val="宋体"/>
        <charset val="134"/>
      </rPr>
      <t>短舱</t>
    </r>
    <r>
      <rPr>
        <sz val="11"/>
        <rFont val="Times New Roman"/>
        <charset val="134"/>
      </rPr>
      <t>-2</t>
    </r>
    <r>
      <rPr>
        <sz val="11"/>
        <rFont val="宋体"/>
        <charset val="134"/>
      </rPr>
      <t>号短舱</t>
    </r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</si>
  <si>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3</t>
    </r>
  </si>
  <si>
    <t>8610M7305</t>
  </si>
  <si>
    <r>
      <rPr>
        <sz val="11"/>
        <rFont val="宋体"/>
        <charset val="134"/>
      </rPr>
      <t>短舱</t>
    </r>
    <r>
      <rPr>
        <sz val="11"/>
        <rFont val="Times New Roman"/>
        <charset val="134"/>
      </rPr>
      <t>-3</t>
    </r>
    <r>
      <rPr>
        <sz val="11"/>
        <rFont val="宋体"/>
        <charset val="134"/>
      </rPr>
      <t>号短舱</t>
    </r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</si>
  <si>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4</t>
    </r>
  </si>
  <si>
    <t>8610M7405</t>
  </si>
  <si>
    <r>
      <rPr>
        <sz val="11"/>
        <rFont val="宋体"/>
        <charset val="134"/>
      </rPr>
      <t>短舱</t>
    </r>
    <r>
      <rPr>
        <sz val="11"/>
        <rFont val="Times New Roman"/>
        <charset val="134"/>
      </rPr>
      <t>-4</t>
    </r>
    <r>
      <rPr>
        <sz val="11"/>
        <rFont val="宋体"/>
        <charset val="134"/>
      </rPr>
      <t>号短舱</t>
    </r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</si>
  <si>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5</t>
    </r>
  </si>
  <si>
    <t>8610M7505</t>
  </si>
  <si>
    <r>
      <rPr>
        <sz val="11"/>
        <rFont val="宋体"/>
        <charset val="134"/>
      </rPr>
      <t>短舱</t>
    </r>
    <r>
      <rPr>
        <sz val="11"/>
        <rFont val="Times New Roman"/>
        <charset val="134"/>
      </rPr>
      <t>-5</t>
    </r>
    <r>
      <rPr>
        <sz val="11"/>
        <rFont val="宋体"/>
        <charset val="134"/>
      </rPr>
      <t>号短舱（机翼外侧）</t>
    </r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</si>
  <si>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6</t>
    </r>
  </si>
  <si>
    <t>8610M7107</t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</si>
  <si>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7</t>
    </r>
  </si>
  <si>
    <t>8610M7207</t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</si>
  <si>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8</t>
    </r>
  </si>
  <si>
    <t>8610M7307</t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</si>
  <si>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9</t>
    </r>
  </si>
  <si>
    <t>8610M7407</t>
  </si>
  <si>
    <r>
      <rPr>
        <sz val="11"/>
        <rFont val="宋体"/>
        <charset val="134"/>
      </rPr>
      <t>电驱系统</t>
    </r>
    <r>
      <rPr>
        <sz val="11"/>
        <rFont val="Times New Roman"/>
        <charset val="134"/>
      </rPr>
      <t>10</t>
    </r>
  </si>
  <si>
    <t>8610M7507</t>
  </si>
  <si>
    <r>
      <rPr>
        <sz val="11"/>
        <rFont val="宋体"/>
        <charset val="134"/>
      </rPr>
      <t>构型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动力电池（含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与继电器开关）</t>
    </r>
    <r>
      <rPr>
        <sz val="11"/>
        <rFont val="Times New Roman"/>
        <charset val="134"/>
      </rPr>
      <t>1</t>
    </r>
  </si>
  <si>
    <t>8605Q4201</t>
  </si>
  <si>
    <r>
      <rPr>
        <sz val="11"/>
        <rFont val="宋体"/>
        <charset val="134"/>
      </rPr>
      <t>构型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动力电池（含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与继电器开关）</t>
    </r>
    <r>
      <rPr>
        <sz val="11"/>
        <rFont val="Times New Roman"/>
        <charset val="134"/>
      </rPr>
      <t>2</t>
    </r>
  </si>
  <si>
    <t>8605Q4301</t>
  </si>
  <si>
    <r>
      <rPr>
        <sz val="11"/>
        <rFont val="宋体"/>
        <charset val="134"/>
      </rPr>
      <t>构型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动力电池（含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与继电器开关）</t>
    </r>
    <r>
      <rPr>
        <sz val="11"/>
        <rFont val="Times New Roman"/>
        <charset val="134"/>
      </rPr>
      <t>3</t>
    </r>
  </si>
  <si>
    <t>8605Q4401</t>
  </si>
  <si>
    <r>
      <rPr>
        <sz val="11"/>
        <rFont val="宋体"/>
        <charset val="134"/>
      </rPr>
      <t>构型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动力电池（含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与继电器开关）</t>
    </r>
    <r>
      <rPr>
        <sz val="11"/>
        <rFont val="Times New Roman"/>
        <charset val="134"/>
      </rPr>
      <t>4</t>
    </r>
  </si>
  <si>
    <t>8605Q5301</t>
  </si>
  <si>
    <r>
      <rPr>
        <sz val="11"/>
        <rFont val="宋体"/>
        <charset val="134"/>
      </rPr>
      <t>构型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动力电池（含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>与继电器开关）</t>
    </r>
    <r>
      <rPr>
        <sz val="11"/>
        <rFont val="Times New Roman"/>
        <charset val="134"/>
      </rPr>
      <t>5</t>
    </r>
  </si>
  <si>
    <t>8605Q5401</t>
  </si>
  <si>
    <r>
      <rPr>
        <sz val="11"/>
        <rFont val="宋体"/>
        <charset val="134"/>
      </rPr>
      <t>构型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动力电池冷却系统</t>
    </r>
  </si>
  <si>
    <t>8600Q5601</t>
  </si>
  <si>
    <r>
      <rPr>
        <sz val="11"/>
        <rFont val="Times New Roman"/>
        <charset val="134"/>
      </rPr>
      <t>800V</t>
    </r>
    <r>
      <rPr>
        <sz val="11"/>
        <rFont val="宋体"/>
        <charset val="134"/>
      </rPr>
      <t>电池包缓冲层</t>
    </r>
    <r>
      <rPr>
        <sz val="11"/>
        <rFont val="Times New Roman"/>
        <charset val="134"/>
      </rPr>
      <t>1</t>
    </r>
  </si>
  <si>
    <t>8621E04100G200</t>
  </si>
  <si>
    <t>8601X4201</t>
  </si>
  <si>
    <r>
      <rPr>
        <sz val="11"/>
        <color theme="1"/>
        <rFont val="宋体"/>
        <charset val="134"/>
      </rPr>
      <t>修改</t>
    </r>
  </si>
  <si>
    <r>
      <rPr>
        <sz val="11"/>
        <rFont val="Times New Roman"/>
        <charset val="134"/>
      </rPr>
      <t>800V</t>
    </r>
    <r>
      <rPr>
        <sz val="11"/>
        <rFont val="宋体"/>
        <charset val="134"/>
      </rPr>
      <t>电池包缓冲层</t>
    </r>
    <r>
      <rPr>
        <sz val="11"/>
        <rFont val="Times New Roman"/>
        <charset val="134"/>
      </rPr>
      <t>2</t>
    </r>
  </si>
  <si>
    <t>8621E04200G200</t>
  </si>
  <si>
    <t>8601X4301</t>
  </si>
  <si>
    <r>
      <rPr>
        <sz val="11"/>
        <rFont val="Times New Roman"/>
        <charset val="134"/>
      </rPr>
      <t>800V</t>
    </r>
    <r>
      <rPr>
        <sz val="11"/>
        <rFont val="宋体"/>
        <charset val="134"/>
      </rPr>
      <t>电池包缓冲层</t>
    </r>
    <r>
      <rPr>
        <sz val="11"/>
        <rFont val="Times New Roman"/>
        <charset val="134"/>
      </rPr>
      <t>3</t>
    </r>
  </si>
  <si>
    <t>8621E04300G200</t>
  </si>
  <si>
    <t>8601X4401</t>
  </si>
  <si>
    <r>
      <rPr>
        <sz val="11"/>
        <rFont val="Times New Roman"/>
        <charset val="134"/>
      </rPr>
      <t>270V</t>
    </r>
    <r>
      <rPr>
        <sz val="11"/>
        <rFont val="宋体"/>
        <charset val="134"/>
      </rPr>
      <t>电池包缓冲层</t>
    </r>
  </si>
  <si>
    <t>2431E03400G200</t>
  </si>
  <si>
    <t>8601X5201</t>
  </si>
  <si>
    <r>
      <rPr>
        <sz val="11"/>
        <color rgb="FF000000"/>
        <rFont val="宋体"/>
        <charset val="134"/>
      </rPr>
      <t>【</t>
    </r>
    <r>
      <rPr>
        <sz val="11"/>
        <color rgb="FF000000"/>
        <rFont val="Times New Roman"/>
        <charset val="134"/>
      </rPr>
      <t>20260415</t>
    </r>
    <r>
      <rPr>
        <sz val="11"/>
        <color rgb="FF000000"/>
        <rFont val="宋体"/>
        <charset val="134"/>
      </rPr>
      <t>】</t>
    </r>
    <r>
      <rPr>
        <sz val="11"/>
        <color rgb="FF000000"/>
        <rFont val="Times New Roman"/>
        <charset val="134"/>
      </rPr>
      <t>DM</t>
    </r>
    <r>
      <rPr>
        <sz val="11"/>
        <color rgb="FF000000"/>
        <rFont val="宋体"/>
        <charset val="134"/>
      </rPr>
      <t>号更新</t>
    </r>
  </si>
  <si>
    <r>
      <rPr>
        <sz val="11"/>
        <rFont val="Times New Roman"/>
        <charset val="134"/>
      </rPr>
      <t>800V</t>
    </r>
    <r>
      <rPr>
        <sz val="11"/>
        <rFont val="宋体"/>
        <charset val="134"/>
      </rPr>
      <t>电池包缓冲层</t>
    </r>
    <r>
      <rPr>
        <sz val="11"/>
        <rFont val="Times New Roman"/>
        <charset val="134"/>
      </rPr>
      <t>4</t>
    </r>
  </si>
  <si>
    <t>8621E04500G200</t>
  </si>
  <si>
    <t>8601X5301</t>
  </si>
  <si>
    <r>
      <rPr>
        <sz val="11"/>
        <rFont val="Times New Roman"/>
        <charset val="134"/>
      </rPr>
      <t>800V</t>
    </r>
    <r>
      <rPr>
        <sz val="11"/>
        <rFont val="宋体"/>
        <charset val="134"/>
      </rPr>
      <t>电池包缓冲层</t>
    </r>
    <r>
      <rPr>
        <sz val="11"/>
        <rFont val="Times New Roman"/>
        <charset val="134"/>
      </rPr>
      <t>5</t>
    </r>
  </si>
  <si>
    <t>8621E04600G200</t>
  </si>
  <si>
    <t>8601X5401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</si>
  <si>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（金属）</t>
    </r>
  </si>
  <si>
    <t>8630E02001G400</t>
  </si>
  <si>
    <t>8608M7101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</si>
  <si>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（金属）</t>
    </r>
  </si>
  <si>
    <t>8608M7201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</si>
  <si>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（金属）</t>
    </r>
  </si>
  <si>
    <t>8608M7301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</si>
  <si>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（金属）</t>
    </r>
  </si>
  <si>
    <t>8608M7401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</si>
  <si>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6</t>
    </r>
    <r>
      <rPr>
        <sz val="11"/>
        <rFont val="宋体"/>
        <charset val="134"/>
      </rPr>
      <t>（金属）</t>
    </r>
  </si>
  <si>
    <t>8608M7103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</si>
  <si>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7</t>
    </r>
    <r>
      <rPr>
        <sz val="11"/>
        <rFont val="宋体"/>
        <charset val="134"/>
      </rPr>
      <t>（金属）</t>
    </r>
  </si>
  <si>
    <t>8608M7203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</si>
  <si>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8</t>
    </r>
    <r>
      <rPr>
        <sz val="11"/>
        <rFont val="宋体"/>
        <charset val="134"/>
      </rPr>
      <t>（金属）</t>
    </r>
  </si>
  <si>
    <t>8608M7303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</si>
  <si>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9</t>
    </r>
    <r>
      <rPr>
        <sz val="11"/>
        <rFont val="宋体"/>
        <charset val="134"/>
      </rPr>
      <t>（金属）</t>
    </r>
  </si>
  <si>
    <t>8608M7403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</si>
  <si>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5</t>
    </r>
    <r>
      <rPr>
        <sz val="11"/>
        <rFont val="宋体"/>
        <charset val="134"/>
      </rPr>
      <t>（金属）</t>
    </r>
  </si>
  <si>
    <t>8630E02003G400</t>
  </si>
  <si>
    <t>8601M7501</t>
  </si>
  <si>
    <r>
      <rPr>
        <sz val="11"/>
        <rFont val="宋体"/>
        <charset val="134"/>
      </rPr>
      <t>涵道风扇</t>
    </r>
    <r>
      <rPr>
        <sz val="11"/>
        <rFont val="Times New Roman"/>
        <charset val="134"/>
      </rPr>
      <t>10</t>
    </r>
    <r>
      <rPr>
        <sz val="11"/>
        <rFont val="宋体"/>
        <charset val="134"/>
      </rPr>
      <t>（金属）</t>
    </r>
  </si>
  <si>
    <t>8630E02004G400</t>
  </si>
  <si>
    <t>8601M7502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</si>
  <si>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2</t>
    </r>
  </si>
  <si>
    <t>8661E01001G200</t>
  </si>
  <si>
    <t>8603X7203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</si>
  <si>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3</t>
    </r>
  </si>
  <si>
    <t>8603X7303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</si>
  <si>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4</t>
    </r>
  </si>
  <si>
    <t>8603X7403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</si>
  <si>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7</t>
    </r>
  </si>
  <si>
    <t>8661E01002G200</t>
  </si>
  <si>
    <t>8603X7204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</si>
  <si>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8</t>
    </r>
  </si>
  <si>
    <t>8603X7304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</si>
  <si>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9</t>
    </r>
  </si>
  <si>
    <t>8603X7404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</si>
  <si>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1</t>
    </r>
  </si>
  <si>
    <t>8662E01001G200</t>
  </si>
  <si>
    <t>8601X7103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</si>
  <si>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6</t>
    </r>
  </si>
  <si>
    <t>8662E01002G200</t>
  </si>
  <si>
    <t>8601X7104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</si>
  <si>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5</t>
    </r>
  </si>
  <si>
    <t>8663E01001G200</t>
  </si>
  <si>
    <t>8601X7503</t>
  </si>
  <si>
    <r>
      <rPr>
        <sz val="11"/>
        <rFont val="宋体"/>
        <charset val="134"/>
      </rPr>
      <t>短舱单元</t>
    </r>
    <r>
      <rPr>
        <sz val="11"/>
        <rFont val="Times New Roman"/>
        <charset val="134"/>
      </rPr>
      <t>10</t>
    </r>
  </si>
  <si>
    <t>8663E01002G200</t>
  </si>
  <si>
    <t>8601X7504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</si>
  <si>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1</t>
    </r>
  </si>
  <si>
    <t>8664E01001G700</t>
  </si>
  <si>
    <t>8610X7101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</si>
  <si>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2</t>
    </r>
  </si>
  <si>
    <t>8610X7201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</si>
  <si>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3</t>
    </r>
  </si>
  <si>
    <t>8610X7301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</si>
  <si>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4</t>
    </r>
  </si>
  <si>
    <t>8610X7401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</si>
  <si>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5</t>
    </r>
  </si>
  <si>
    <t>8610X7501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</si>
  <si>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6</t>
    </r>
  </si>
  <si>
    <t>8610X7103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</si>
  <si>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7</t>
    </r>
  </si>
  <si>
    <t>8610X7203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</si>
  <si>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8</t>
    </r>
  </si>
  <si>
    <t>8610X7303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</si>
  <si>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9</t>
    </r>
  </si>
  <si>
    <t>8610X7403</t>
  </si>
  <si>
    <r>
      <rPr>
        <sz val="11"/>
        <rFont val="宋体"/>
        <charset val="134"/>
      </rPr>
      <t>尾锥</t>
    </r>
    <r>
      <rPr>
        <sz val="11"/>
        <rFont val="Times New Roman"/>
        <charset val="134"/>
      </rPr>
      <t>10</t>
    </r>
  </si>
  <si>
    <t>8610X7503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</si>
  <si>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1</t>
    </r>
  </si>
  <si>
    <t>8665E01001G400</t>
  </si>
  <si>
    <t>8605J7101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</si>
  <si>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2</t>
    </r>
  </si>
  <si>
    <t>8605J7201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</si>
  <si>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3</t>
    </r>
  </si>
  <si>
    <t>8605J7301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</si>
  <si>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4</t>
    </r>
  </si>
  <si>
    <t>8605J7401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</si>
  <si>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5</t>
    </r>
  </si>
  <si>
    <t>8605J7501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</si>
  <si>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6</t>
    </r>
  </si>
  <si>
    <t>8665E01002G400</t>
  </si>
  <si>
    <t>8605J7102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</si>
  <si>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7</t>
    </r>
  </si>
  <si>
    <t>8605J7202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</si>
  <si>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8</t>
    </r>
  </si>
  <si>
    <t>8605J7302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</si>
  <si>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9</t>
    </r>
  </si>
  <si>
    <t>8605J7402</t>
  </si>
  <si>
    <r>
      <rPr>
        <sz val="11"/>
        <rFont val="宋体"/>
        <charset val="134"/>
      </rPr>
      <t>线缆盒</t>
    </r>
    <r>
      <rPr>
        <sz val="11"/>
        <rFont val="Times New Roman"/>
        <charset val="134"/>
      </rPr>
      <t>10</t>
    </r>
  </si>
  <si>
    <t>8605J7502</t>
  </si>
  <si>
    <r>
      <rPr>
        <sz val="11"/>
        <rFont val="Times New Roman"/>
        <charset val="134"/>
      </rPr>
      <t xml:space="preserve">EATA87 </t>
    </r>
    <r>
      <rPr>
        <sz val="11"/>
        <rFont val="宋体"/>
        <charset val="134"/>
      </rPr>
      <t>试飞改装</t>
    </r>
  </si>
  <si>
    <r>
      <rPr>
        <sz val="11"/>
        <rFont val="宋体"/>
        <charset val="134"/>
      </rPr>
      <t>机载</t>
    </r>
    <r>
      <rPr>
        <sz val="11"/>
        <rFont val="Times New Roman"/>
        <charset val="134"/>
      </rPr>
      <t>GNSS</t>
    </r>
    <r>
      <rPr>
        <sz val="11"/>
        <rFont val="宋体"/>
        <charset val="134"/>
      </rPr>
      <t>天线</t>
    </r>
  </si>
  <si>
    <t>8711E00121T900</t>
  </si>
  <si>
    <t>8700A3201</t>
  </si>
  <si>
    <r>
      <rPr>
        <sz val="11"/>
        <rFont val="宋体"/>
        <charset val="134"/>
      </rPr>
      <t>机载数据交换机</t>
    </r>
  </si>
  <si>
    <t>8711E00511T900</t>
  </si>
  <si>
    <t>8701T3201</t>
  </si>
  <si>
    <r>
      <rPr>
        <sz val="11"/>
        <rFont val="宋体"/>
        <charset val="134"/>
      </rPr>
      <t>采集机箱</t>
    </r>
    <r>
      <rPr>
        <sz val="11"/>
        <rFont val="Times New Roman"/>
        <charset val="134"/>
      </rPr>
      <t>1</t>
    </r>
  </si>
  <si>
    <t>8712E01111T900</t>
  </si>
  <si>
    <t>8702U3201</t>
  </si>
  <si>
    <r>
      <rPr>
        <sz val="11"/>
        <rFont val="宋体"/>
        <charset val="134"/>
      </rPr>
      <t>采集机箱</t>
    </r>
    <r>
      <rPr>
        <sz val="11"/>
        <rFont val="Times New Roman"/>
        <charset val="134"/>
      </rPr>
      <t>2</t>
    </r>
  </si>
  <si>
    <t>8702U3203</t>
  </si>
  <si>
    <r>
      <rPr>
        <sz val="11"/>
        <rFont val="宋体"/>
        <charset val="134"/>
      </rPr>
      <t>通用记录器</t>
    </r>
  </si>
  <si>
    <t>8713E00411T900</t>
  </si>
  <si>
    <t>8701U3201</t>
  </si>
  <si>
    <r>
      <rPr>
        <sz val="11"/>
        <rFont val="宋体"/>
        <charset val="134"/>
      </rPr>
      <t>直流稳压器</t>
    </r>
  </si>
  <si>
    <t>8781E00113T900</t>
  </si>
  <si>
    <t>8701K3201</t>
  </si>
  <si>
    <r>
      <rPr>
        <sz val="11"/>
        <rFont val="宋体"/>
        <charset val="134"/>
      </rPr>
      <t>蓄电池组</t>
    </r>
  </si>
  <si>
    <t>8781E00312T900</t>
  </si>
  <si>
    <t>8701Q3201</t>
  </si>
  <si>
    <r>
      <rPr>
        <sz val="11"/>
        <rFont val="Times New Roman"/>
        <charset val="134"/>
      </rPr>
      <t xml:space="preserve">EATA90 </t>
    </r>
    <r>
      <rPr>
        <sz val="11"/>
        <rFont val="宋体"/>
        <charset val="134"/>
      </rPr>
      <t>自主飞行系统</t>
    </r>
  </si>
  <si>
    <r>
      <rPr>
        <sz val="11"/>
        <rFont val="宋体"/>
        <charset val="134"/>
      </rPr>
      <t>视觉传感器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相机</t>
    </r>
    <r>
      <rPr>
        <sz val="11"/>
        <rFont val="Times New Roman"/>
        <charset val="134"/>
      </rPr>
      <t>1</t>
    </r>
  </si>
  <si>
    <t>9013E01101G900</t>
  </si>
  <si>
    <t>9002D2101</t>
  </si>
  <si>
    <r>
      <rPr>
        <sz val="11"/>
        <rFont val="宋体"/>
        <charset val="134"/>
      </rPr>
      <t>视觉传感器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相机</t>
    </r>
    <r>
      <rPr>
        <sz val="11"/>
        <rFont val="Times New Roman"/>
        <charset val="134"/>
      </rPr>
      <t>2</t>
    </r>
  </si>
  <si>
    <t>9013E01103G900</t>
  </si>
  <si>
    <t>9002D2103</t>
  </si>
  <si>
    <r>
      <rPr>
        <sz val="11"/>
        <rFont val="宋体"/>
        <charset val="134"/>
      </rPr>
      <t>视觉传感器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相机</t>
    </r>
    <r>
      <rPr>
        <sz val="11"/>
        <rFont val="Times New Roman"/>
        <charset val="134"/>
      </rPr>
      <t>3</t>
    </r>
  </si>
  <si>
    <t>9002D2105</t>
  </si>
  <si>
    <r>
      <rPr>
        <sz val="11"/>
        <rFont val="宋体"/>
        <charset val="134"/>
      </rPr>
      <t>视觉传感器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相机</t>
    </r>
    <r>
      <rPr>
        <sz val="11"/>
        <rFont val="Times New Roman"/>
        <charset val="134"/>
      </rPr>
      <t>4</t>
    </r>
  </si>
  <si>
    <t>9002D2107</t>
  </si>
  <si>
    <r>
      <rPr>
        <sz val="11"/>
        <rFont val="宋体"/>
        <charset val="134"/>
      </rPr>
      <t>视觉辅助计算机</t>
    </r>
  </si>
  <si>
    <t>9011E01001G900</t>
  </si>
  <si>
    <t>9001U2601</t>
  </si>
  <si>
    <r>
      <rPr>
        <sz val="11"/>
        <rFont val="Times New Roman"/>
        <charset val="134"/>
      </rPr>
      <t xml:space="preserve">EATA92 </t>
    </r>
    <r>
      <rPr>
        <sz val="11"/>
        <rFont val="宋体"/>
        <charset val="134"/>
      </rPr>
      <t>地面网联系统</t>
    </r>
  </si>
  <si>
    <r>
      <rPr>
        <sz val="11"/>
        <rFont val="Times New Roman"/>
        <charset val="134"/>
      </rPr>
      <t>U</t>
    </r>
    <r>
      <rPr>
        <sz val="11"/>
        <rFont val="宋体"/>
        <charset val="134"/>
      </rPr>
      <t>波段数据链收发组合</t>
    </r>
  </si>
  <si>
    <t>9260E01001U900</t>
  </si>
  <si>
    <t>9201U4101</t>
  </si>
  <si>
    <r>
      <rPr>
        <sz val="11"/>
        <rFont val="宋体"/>
        <charset val="134"/>
      </rPr>
      <t>数据链机腹全向天线</t>
    </r>
  </si>
  <si>
    <t>9260E01003U900</t>
  </si>
  <si>
    <t>9202A4901</t>
  </si>
  <si>
    <r>
      <rPr>
        <sz val="11"/>
        <rFont val="宋体"/>
        <charset val="134"/>
      </rPr>
      <t>数据链机背全向天线</t>
    </r>
  </si>
  <si>
    <t>9202A3901</t>
  </si>
  <si>
    <r>
      <rPr>
        <sz val="11"/>
        <rFont val="Times New Roman"/>
        <charset val="134"/>
      </rPr>
      <t>C</t>
    </r>
    <r>
      <rPr>
        <sz val="11"/>
        <rFont val="宋体"/>
        <charset val="134"/>
      </rPr>
      <t>波段数据链收发组合</t>
    </r>
  </si>
  <si>
    <t>9260E01005U900</t>
  </si>
  <si>
    <t>9201U4103</t>
  </si>
  <si>
    <r>
      <rPr>
        <sz val="11"/>
        <rFont val="Times New Roman"/>
        <charset val="134"/>
      </rPr>
      <t>C</t>
    </r>
    <r>
      <rPr>
        <sz val="11"/>
        <rFont val="宋体"/>
        <charset val="134"/>
      </rPr>
      <t>波段数据链定向天线</t>
    </r>
  </si>
  <si>
    <t>9260E01007U900</t>
  </si>
  <si>
    <t>9201A4903</t>
  </si>
  <si>
    <r>
      <rPr>
        <sz val="11"/>
        <rFont val="宋体"/>
        <charset val="134"/>
      </rPr>
      <t>更改为尺寸更小的天线</t>
    </r>
  </si>
  <si>
    <r>
      <rPr>
        <sz val="11"/>
        <rFont val="宋体"/>
        <charset val="134"/>
      </rPr>
      <t>空地数据管理计算机</t>
    </r>
  </si>
  <si>
    <t>9260E01009U900</t>
  </si>
  <si>
    <t>9201U4105</t>
  </si>
  <si>
    <t>是否应该有舱门系统</t>
  </si>
  <si>
    <t>考虑加VOR和DME天线，加DME设备</t>
  </si>
  <si>
    <t>是否使用
0号机设备</t>
  </si>
  <si>
    <r>
      <rPr>
        <b/>
        <sz val="11"/>
        <color rgb="FF000000"/>
        <rFont val="宋体"/>
        <charset val="134"/>
      </rPr>
      <t>安装方式</t>
    </r>
    <r>
      <rPr>
        <b/>
        <sz val="11"/>
        <color rgb="FFFF0000"/>
        <rFont val="宋体"/>
        <charset val="134"/>
      </rPr>
      <t xml:space="preserve">
下拉选择，【选择托架需填写sheet2托架信息表！！】</t>
    </r>
  </si>
  <si>
    <r>
      <rPr>
        <sz val="11"/>
        <rFont val="Times New Roman"/>
        <charset val="134"/>
      </rPr>
      <t xml:space="preserve">EATA11 </t>
    </r>
    <r>
      <rPr>
        <sz val="11"/>
        <rFont val="宋体"/>
        <charset val="134"/>
      </rPr>
      <t>标牌与标识</t>
    </r>
  </si>
  <si>
    <t>可以先删除这行，后续系统反馈后，如有再加</t>
  </si>
  <si>
    <r>
      <rPr>
        <sz val="11"/>
        <rFont val="Times New Roman"/>
        <charset val="134"/>
      </rPr>
      <t xml:space="preserve">EATA21 </t>
    </r>
    <r>
      <rPr>
        <sz val="11"/>
        <rFont val="宋体"/>
        <charset val="134"/>
      </rPr>
      <t>空调系统</t>
    </r>
  </si>
  <si>
    <t>气源系统控制器</t>
  </si>
  <si>
    <r>
      <rPr>
        <sz val="11"/>
        <rFont val="宋体"/>
        <charset val="134"/>
      </rPr>
      <t>是</t>
    </r>
  </si>
  <si>
    <t>气源冲压进气道及作动器（含风门）</t>
  </si>
  <si>
    <t>冲压进气道-气源压缩机连接管</t>
  </si>
  <si>
    <t>进口过滤器</t>
  </si>
  <si>
    <t>气源压缩机</t>
  </si>
  <si>
    <t>气源压缩机电机</t>
  </si>
  <si>
    <t>气源压缩机出口单向活门</t>
  </si>
  <si>
    <t>气源压缩机出口流量传感器</t>
  </si>
  <si>
    <t>ZHT是否还有压力传感器？</t>
  </si>
  <si>
    <t>气源热泵连接管</t>
  </si>
  <si>
    <r>
      <rPr>
        <sz val="11"/>
        <rFont val="宋体"/>
        <charset val="134"/>
      </rPr>
      <t>否</t>
    </r>
  </si>
  <si>
    <t>ZHT是否还有混合腔？</t>
  </si>
  <si>
    <t>热泵蒸发制冷系统控制器</t>
  </si>
  <si>
    <t>舱内换热器</t>
  </si>
  <si>
    <t>制冷压缩机</t>
  </si>
  <si>
    <t>四通换向阀</t>
  </si>
  <si>
    <t>气液分离器</t>
  </si>
  <si>
    <t>双向电子膨胀阀</t>
  </si>
  <si>
    <t>泄压阀</t>
  </si>
  <si>
    <t>舱外换热器</t>
  </si>
  <si>
    <t>热沉冲压进气道及作动器（含风门）</t>
  </si>
  <si>
    <t>热泵导热介质管路（含冷凝水管路）</t>
  </si>
  <si>
    <t>冷却风扇</t>
  </si>
  <si>
    <t>热泵排气活门</t>
  </si>
  <si>
    <t>制冷压缩机进口温度传感器TS1</t>
  </si>
  <si>
    <t>制冷压缩机进口压力传感器PS1</t>
  </si>
  <si>
    <t>制冷压缩机出口温度传感器TS2</t>
  </si>
  <si>
    <t>制冷压缩机出口压力传感器PS2</t>
  </si>
  <si>
    <t>重量为估算值</t>
  </si>
  <si>
    <t>舱内换热器温度传感器TS3</t>
  </si>
  <si>
    <t>舱内换热器压力传感器PS3</t>
  </si>
  <si>
    <t>舱外换热器温度传感器TS4</t>
  </si>
  <si>
    <t>舱外换热器压力传感器PS4</t>
  </si>
  <si>
    <t>通风系统控制器</t>
  </si>
  <si>
    <t>再循环风扇</t>
  </si>
  <si>
    <t>再循环回风管路</t>
  </si>
  <si>
    <t>热泵通风连接管</t>
  </si>
  <si>
    <t>应急冲压进气道及作动器（含风门）</t>
  </si>
  <si>
    <t>2153E01001G900</t>
  </si>
  <si>
    <t>2101M8101</t>
  </si>
  <si>
    <t>应急冲压风扇（带单向活门）</t>
  </si>
  <si>
    <t>2153E01003G900</t>
  </si>
  <si>
    <t>2101M8103</t>
  </si>
  <si>
    <t>单向活门EMR</t>
  </si>
  <si>
    <t>单向活门CA</t>
  </si>
  <si>
    <t>单向活门F</t>
  </si>
  <si>
    <t>EE过滤器1</t>
  </si>
  <si>
    <t>驾驶舱头部温度传感器TS1</t>
  </si>
  <si>
    <t>客舱内部温度传感器TS3</t>
  </si>
  <si>
    <t>EE过滤器2</t>
  </si>
  <si>
    <t>盥洗室过滤器</t>
  </si>
  <si>
    <t>单向活门V1</t>
  </si>
  <si>
    <t>单向活门V2</t>
  </si>
  <si>
    <t>冷却效果探测器CED1</t>
  </si>
  <si>
    <t>2100E02000G900</t>
  </si>
  <si>
    <t>2102U3501</t>
  </si>
  <si>
    <t>冷却效果探测器CED2</t>
  </si>
  <si>
    <t>2102U3601</t>
  </si>
  <si>
    <t>客舱分支供气管（含送风口）</t>
  </si>
  <si>
    <t>客舱主供气管路</t>
  </si>
  <si>
    <t>2123E01001G900</t>
  </si>
  <si>
    <t>2101X3203</t>
  </si>
  <si>
    <t>驾驶舱供气管路</t>
  </si>
  <si>
    <t>2122E01001G900</t>
  </si>
  <si>
    <t>2101X2203</t>
  </si>
  <si>
    <t>前设备架供气管路</t>
  </si>
  <si>
    <t>2123E01003G900</t>
  </si>
  <si>
    <t>2101X2205</t>
  </si>
  <si>
    <t>前设备架排气管路</t>
  </si>
  <si>
    <t>客舱排气管路（至后设备舱）</t>
  </si>
  <si>
    <t>客舱排气管路（至盥洗室）</t>
  </si>
  <si>
    <t>盥洗室排气管路（至后设备舱）</t>
  </si>
  <si>
    <t>排风风扇排气管路（至尾舱）</t>
  </si>
  <si>
    <t>排风风扇（带单向活门）</t>
  </si>
  <si>
    <t>盥洗室通风风扇（带单向活门）</t>
  </si>
  <si>
    <r>
      <rPr>
        <sz val="11"/>
        <color rgb="FF000000"/>
        <rFont val="Times New Roman"/>
        <charset val="134"/>
      </rPr>
      <t>5G</t>
    </r>
    <r>
      <rPr>
        <sz val="11"/>
        <color rgb="FF000000"/>
        <rFont val="宋体"/>
        <charset val="134"/>
      </rPr>
      <t>机载</t>
    </r>
    <r>
      <rPr>
        <sz val="11"/>
        <color rgb="FF000000"/>
        <rFont val="Times New Roman"/>
        <charset val="134"/>
      </rPr>
      <t>CPE</t>
    </r>
  </si>
  <si>
    <r>
      <rPr>
        <sz val="11"/>
        <color rgb="FF000000"/>
        <rFont val="宋体"/>
        <charset val="134"/>
      </rPr>
      <t>重量含托架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【</t>
    </r>
    <r>
      <rPr>
        <sz val="11"/>
        <color rgb="FF000000"/>
        <rFont val="Times New Roman"/>
        <charset val="134"/>
      </rPr>
      <t>202604</t>
    </r>
    <r>
      <rPr>
        <sz val="11"/>
        <color rgb="FF000000"/>
        <rFont val="宋体"/>
        <charset val="134"/>
      </rPr>
      <t>】</t>
    </r>
    <r>
      <rPr>
        <sz val="11"/>
        <color rgb="FF000000"/>
        <rFont val="Times New Roman"/>
        <charset val="134"/>
      </rPr>
      <t>X</t>
    </r>
    <r>
      <rPr>
        <sz val="11"/>
        <color rgb="FF000000"/>
        <rFont val="宋体"/>
        <charset val="134"/>
      </rPr>
      <t>号机不上</t>
    </r>
    <r>
      <rPr>
        <sz val="11"/>
        <color rgb="FF000000"/>
        <rFont val="Times New Roman"/>
        <charset val="134"/>
      </rPr>
      <t>ATG</t>
    </r>
    <r>
      <rPr>
        <sz val="11"/>
        <color rgb="FF000000"/>
        <rFont val="宋体"/>
        <charset val="134"/>
      </rPr>
      <t>，为做区别改名为</t>
    </r>
    <r>
      <rPr>
        <sz val="11"/>
        <color rgb="FF000000"/>
        <rFont val="Times New Roman"/>
        <charset val="134"/>
      </rPr>
      <t>5G</t>
    </r>
    <r>
      <rPr>
        <sz val="11"/>
        <color rgb="FF000000"/>
        <rFont val="宋体"/>
        <charset val="134"/>
      </rPr>
      <t>机载</t>
    </r>
    <r>
      <rPr>
        <sz val="11"/>
        <color rgb="FF000000"/>
        <rFont val="Times New Roman"/>
        <charset val="134"/>
      </rPr>
      <t>CPE</t>
    </r>
  </si>
  <si>
    <t>由于X号机不上ATG，为做区别改名为5G机载CPE</t>
  </si>
  <si>
    <t>800*726*154</t>
  </si>
  <si>
    <t>1560*726*154</t>
  </si>
  <si>
    <t>381*370*216</t>
  </si>
  <si>
    <r>
      <rPr>
        <sz val="11"/>
        <rFont val="宋体"/>
        <charset val="134"/>
      </rPr>
      <t>外电源插座</t>
    </r>
  </si>
  <si>
    <t>2442E01001G900</t>
  </si>
  <si>
    <t>2401J4101</t>
  </si>
  <si>
    <t>46*46</t>
  </si>
  <si>
    <t>X架机可能交0号机的设备，布置需检查与新设备架是否兼容</t>
  </si>
  <si>
    <r>
      <rPr>
        <sz val="11"/>
        <rFont val="宋体"/>
        <charset val="134"/>
      </rPr>
      <t>充电面板</t>
    </r>
  </si>
  <si>
    <t>2442E01003G900</t>
  </si>
  <si>
    <t>2401J4103</t>
  </si>
  <si>
    <t>230*165</t>
  </si>
  <si>
    <t>390*460*200
360*290*230不含突出物-0402提供</t>
  </si>
  <si>
    <t>【20260403】提供新尺寸</t>
  </si>
  <si>
    <t>320*650*170
400*270*200不含突出物-0402提供</t>
  </si>
  <si>
    <t>293.4*280.3*221.8</t>
  </si>
  <si>
    <r>
      <rPr>
        <sz val="11"/>
        <color rgb="FF000000"/>
        <rFont val="宋体"/>
        <charset val="134"/>
      </rPr>
      <t>位置调整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【</t>
    </r>
    <r>
      <rPr>
        <sz val="11"/>
        <color rgb="FF000000"/>
        <rFont val="Times New Roman"/>
        <charset val="134"/>
      </rPr>
      <t>20260309</t>
    </r>
    <r>
      <rPr>
        <sz val="11"/>
        <color rgb="FF000000"/>
        <rFont val="宋体"/>
        <charset val="134"/>
      </rPr>
      <t>】提供新重量</t>
    </r>
  </si>
  <si>
    <t>276*206*136</t>
  </si>
  <si>
    <t>2600U4101</t>
  </si>
  <si>
    <t>381*90*280</t>
  </si>
  <si>
    <t>L*Φ3，长度与数量TBD，单根最长不超过3m</t>
  </si>
  <si>
    <t>L*Φ3，长度TBD，单根最长不超过3m</t>
  </si>
  <si>
    <t>下机身后段-主起落架舱</t>
  </si>
  <si>
    <r>
      <rPr>
        <sz val="11"/>
        <rFont val="宋体"/>
        <charset val="134"/>
      </rPr>
      <t>盥洗室烟雾探测器</t>
    </r>
  </si>
  <si>
    <t>250*100*50</t>
  </si>
  <si>
    <t>客舱-顶部</t>
  </si>
  <si>
    <t>新增烟雾探测器3</t>
  </si>
  <si>
    <r>
      <rPr>
        <sz val="11"/>
        <rFont val="宋体"/>
        <charset val="134"/>
      </rPr>
      <t>盥洗室灭火瓶</t>
    </r>
  </si>
  <si>
    <t>150*Φ150</t>
  </si>
  <si>
    <t>客舱-地板上</t>
  </si>
  <si>
    <t>600*Φ150</t>
  </si>
  <si>
    <t>485（中立位长度）*190*75</t>
  </si>
  <si>
    <t>610（中立位长度）*190*75</t>
  </si>
  <si>
    <t>490（中立位长度）*190*75</t>
  </si>
  <si>
    <t>370*150*76</t>
  </si>
  <si>
    <t>500*150*76</t>
  </si>
  <si>
    <t>360.1±1*190±1*90±1</t>
  </si>
  <si>
    <t>332*250*70</t>
  </si>
  <si>
    <t>297*215*70</t>
  </si>
  <si>
    <t>250*220*115</t>
  </si>
  <si>
    <t>主风挡玻璃及其加热模块组件</t>
  </si>
  <si>
    <t>5610E01000G200</t>
  </si>
  <si>
    <t>5601H2201</t>
  </si>
  <si>
    <t>驾驶舱-地板上</t>
  </si>
  <si>
    <t>【20260415】反馈使用0号机构型加回</t>
  </si>
  <si>
    <t>317.2*115.12*204.12</t>
  </si>
  <si>
    <r>
      <rPr>
        <sz val="11"/>
        <color rgb="FFFF0000"/>
        <rFont val="宋体"/>
        <charset val="134"/>
      </rPr>
      <t>驾驶舱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左设备架</t>
    </r>
  </si>
  <si>
    <r>
      <rPr>
        <sz val="11"/>
        <color rgb="FFFF0000"/>
        <rFont val="宋体"/>
        <charset val="134"/>
      </rPr>
      <t>驾驶舱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汉仪书宋二KW"/>
        <charset val="134"/>
      </rPr>
      <t>右</t>
    </r>
    <r>
      <rPr>
        <sz val="11"/>
        <color rgb="FFFF0000"/>
        <rFont val="宋体"/>
        <charset val="134"/>
      </rPr>
      <t>设备架</t>
    </r>
  </si>
  <si>
    <t>≤63*25*25</t>
  </si>
  <si>
    <t>368*88*99.1</t>
  </si>
  <si>
    <t>310*39*64.5</t>
  </si>
  <si>
    <t>171.05*146.5*56</t>
  </si>
  <si>
    <t>483*77*125.6</t>
  </si>
  <si>
    <t>189*50*68</t>
  </si>
  <si>
    <t>销轴面到螺钉：246*110*139
销轴面到连接器：249*110*130</t>
  </si>
  <si>
    <t>300*210*194（不含突出物）</t>
  </si>
  <si>
    <t>306*292*165</t>
  </si>
  <si>
    <t>44*24*32</t>
  </si>
  <si>
    <t>44*24*26</t>
  </si>
  <si>
    <t>外廓尺寸（221.5±1）*（46±0.5）*（65.4±1）</t>
  </si>
  <si>
    <t>278*124*194</t>
  </si>
  <si>
    <t>K型热电偶，D38999/25YA35PN型号</t>
  </si>
  <si>
    <t>22×5.75-12/10PR/306 km/h</t>
  </si>
  <si>
    <t>机轮结合径Φ152.4mm，最大宽度156mm，轮轴直径Φ50mm</t>
  </si>
  <si>
    <t>15×6.0-6/6PR/257 km/h</t>
  </si>
  <si>
    <t>最大外径Φ24mm，长66.568±0254mm</t>
  </si>
  <si>
    <t>轮速传感器：不大于Φ38mm×（62±2）mm
主轮轴内适配器：与主轮轴装配尺寸Φ50 H7g6，长152.7mm</t>
  </si>
  <si>
    <t>175.4*115.8*45</t>
  </si>
  <si>
    <t>138*150*169</t>
  </si>
  <si>
    <t>不超过289*149*130</t>
  </si>
  <si>
    <t>不超过263*161*255</t>
  </si>
  <si>
    <t>77*49*71</t>
  </si>
  <si>
    <t>（318±1）*（57.2±0.5）*（194）</t>
  </si>
  <si>
    <t>左跑道转弯灯</t>
  </si>
  <si>
    <t>3343E01001G900</t>
  </si>
  <si>
    <t>3300L0001</t>
  </si>
  <si>
    <t>【20260410】着陆灯改为转弯灯
【20260415】LIN号更改</t>
  </si>
  <si>
    <t>右跑道转弯灯</t>
  </si>
  <si>
    <t>3343E02001G900</t>
  </si>
  <si>
    <t>3300L0002</t>
  </si>
  <si>
    <t>左翼根着陆灯</t>
  </si>
  <si>
    <t>【20260410】改为不使用0号机设备，名称去掉字符2</t>
  </si>
  <si>
    <t>右翼根着陆灯</t>
  </si>
  <si>
    <t>【20260410】改为不使用0号机设备</t>
  </si>
  <si>
    <r>
      <rPr>
        <sz val="11"/>
        <rFont val="宋体"/>
        <charset val="134"/>
      </rPr>
      <t>客舱一般照明控制器</t>
    </r>
  </si>
  <si>
    <t>150*60*180</t>
  </si>
  <si>
    <r>
      <rPr>
        <sz val="11"/>
        <rFont val="宋体"/>
        <charset val="134"/>
      </rPr>
      <t>天花板氛围灯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</si>
  <si>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天花板氛围灯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</si>
  <si>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天花板氛围灯</t>
    </r>
    <r>
      <rPr>
        <sz val="11"/>
        <rFont val="Times New Roman"/>
        <charset val="134"/>
      </rPr>
      <t>3</t>
    </r>
  </si>
  <si>
    <r>
      <rPr>
        <sz val="11"/>
        <rFont val="宋体"/>
        <charset val="134"/>
      </rPr>
      <t>天花板氛围灯</t>
    </r>
    <r>
      <rPr>
        <sz val="11"/>
        <rFont val="Times New Roman"/>
        <charset val="134"/>
      </rPr>
      <t>4</t>
    </r>
  </si>
  <si>
    <r>
      <rPr>
        <sz val="11"/>
        <rFont val="宋体"/>
        <charset val="134"/>
      </rPr>
      <t>客舱情景照明灯带</t>
    </r>
    <r>
      <rPr>
        <sz val="11"/>
        <rFont val="Times New Roman"/>
        <charset val="134"/>
      </rPr>
      <t>50</t>
    </r>
    <r>
      <rPr>
        <sz val="11"/>
        <rFont val="宋体"/>
        <charset val="134"/>
      </rPr>
      <t>个</t>
    </r>
  </si>
  <si>
    <r>
      <rPr>
        <sz val="11"/>
        <rFont val="宋体"/>
        <charset val="134"/>
      </rPr>
      <t>入口区域照明灯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</si>
  <si>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入口区域照明灯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</si>
  <si>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乘务员工作灯</t>
    </r>
  </si>
  <si>
    <r>
      <rPr>
        <sz val="11"/>
        <rFont val="宋体"/>
        <charset val="134"/>
      </rPr>
      <t>客舱信号标志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</si>
  <si>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客舱信号标志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</si>
  <si>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客舱信号标志</t>
    </r>
    <r>
      <rPr>
        <sz val="11"/>
        <rFont val="Times New Roman"/>
        <charset val="134"/>
      </rPr>
      <t>3</t>
    </r>
  </si>
  <si>
    <r>
      <rPr>
        <sz val="11"/>
        <rFont val="宋体"/>
        <charset val="134"/>
      </rPr>
      <t>客舱信号标志</t>
    </r>
    <r>
      <rPr>
        <sz val="11"/>
        <rFont val="Times New Roman"/>
        <charset val="134"/>
      </rPr>
      <t>4</t>
    </r>
  </si>
  <si>
    <r>
      <rPr>
        <sz val="11"/>
        <rFont val="宋体"/>
        <charset val="134"/>
      </rPr>
      <t>呼叫指示灯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</si>
  <si>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呼叫指示灯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</si>
  <si>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盥洗室占用标志</t>
    </r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</si>
  <si>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1</t>
    </r>
  </si>
  <si>
    <t>60*130*60</t>
  </si>
  <si>
    <t>机头-前起落架舱</t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</si>
  <si>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2</t>
    </r>
  </si>
  <si>
    <t>下机身前段-前设备舱</t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</si>
  <si>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3</t>
    </r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</si>
  <si>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4</t>
    </r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</si>
  <si>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5</t>
    </r>
  </si>
  <si>
    <t>下机身后段-中设备舱</t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</si>
  <si>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6</t>
    </r>
  </si>
  <si>
    <t>下机身后段-环控设备舱</t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</si>
  <si>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7</t>
    </r>
  </si>
  <si>
    <r>
      <rPr>
        <sz val="11"/>
        <rFont val="宋体"/>
        <charset val="134"/>
      </rPr>
      <t>设备舱灯</t>
    </r>
    <r>
      <rPr>
        <sz val="11"/>
        <rFont val="Times New Roman"/>
        <charset val="134"/>
      </rPr>
      <t>8</t>
    </r>
  </si>
  <si>
    <t>尾段-尾舱内部</t>
  </si>
  <si>
    <r>
      <rPr>
        <sz val="11"/>
        <rFont val="宋体"/>
        <charset val="134"/>
      </rPr>
      <t>充电口灯</t>
    </r>
  </si>
  <si>
    <r>
      <rPr>
        <sz val="11"/>
        <rFont val="宋体"/>
        <charset val="134"/>
      </rPr>
      <t>废水服务板灯</t>
    </r>
  </si>
  <si>
    <r>
      <rPr>
        <sz val="11"/>
        <rFont val="宋体"/>
        <charset val="134"/>
      </rPr>
      <t>机头应急电池盒</t>
    </r>
  </si>
  <si>
    <t>90*275*51</t>
  </si>
  <si>
    <r>
      <rPr>
        <sz val="11"/>
        <rFont val="宋体"/>
        <charset val="134"/>
      </rPr>
      <t>机尾应急电池盒</t>
    </r>
  </si>
  <si>
    <r>
      <rPr>
        <sz val="11"/>
        <rFont val="宋体"/>
        <charset val="134"/>
      </rPr>
      <t>客舱应急顶灯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</si>
  <si>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客舱应急顶灯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</si>
  <si>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客舱应急顶灯</t>
    </r>
    <r>
      <rPr>
        <sz val="11"/>
        <rFont val="Times New Roman"/>
        <charset val="134"/>
      </rPr>
      <t>3</t>
    </r>
  </si>
  <si>
    <r>
      <rPr>
        <sz val="11"/>
        <rFont val="宋体"/>
        <charset val="134"/>
      </rPr>
      <t>客舱应急顶灯</t>
    </r>
    <r>
      <rPr>
        <sz val="11"/>
        <rFont val="Times New Roman"/>
        <charset val="134"/>
      </rPr>
      <t>4</t>
    </r>
  </si>
  <si>
    <r>
      <rPr>
        <sz val="11"/>
        <rFont val="宋体"/>
        <charset val="134"/>
      </rPr>
      <t>客舱应急顶灯</t>
    </r>
    <r>
      <rPr>
        <sz val="11"/>
        <rFont val="Times New Roman"/>
        <charset val="134"/>
      </rPr>
      <t>5</t>
    </r>
  </si>
  <si>
    <r>
      <rPr>
        <sz val="11"/>
        <rFont val="宋体"/>
        <charset val="134"/>
      </rPr>
      <t>客舱应急顶灯</t>
    </r>
    <r>
      <rPr>
        <sz val="11"/>
        <rFont val="Times New Roman"/>
        <charset val="134"/>
      </rPr>
      <t>6</t>
    </r>
  </si>
  <si>
    <r>
      <rPr>
        <sz val="11"/>
        <rFont val="宋体"/>
        <charset val="134"/>
      </rPr>
      <t>机头临近地板出口标志</t>
    </r>
  </si>
  <si>
    <r>
      <rPr>
        <sz val="11"/>
        <rFont val="宋体"/>
        <charset val="134"/>
      </rPr>
      <t>机尾临近地板出口标志</t>
    </r>
  </si>
  <si>
    <r>
      <rPr>
        <sz val="11"/>
        <rFont val="宋体"/>
        <charset val="134"/>
      </rPr>
      <t>前应急门出口位置标志</t>
    </r>
  </si>
  <si>
    <r>
      <rPr>
        <sz val="11"/>
        <rFont val="宋体"/>
        <charset val="134"/>
      </rPr>
      <t>后应急门出口位置标志</t>
    </r>
  </si>
  <si>
    <r>
      <rPr>
        <sz val="11"/>
        <rFont val="宋体"/>
        <charset val="134"/>
      </rPr>
      <t>前应急出口标志</t>
    </r>
  </si>
  <si>
    <r>
      <rPr>
        <sz val="11"/>
        <rFont val="宋体"/>
        <charset val="134"/>
      </rPr>
      <t>后应急出口标志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</si>
  <si>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</si>
  <si>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</si>
  <si>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3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</si>
  <si>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4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</si>
  <si>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5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</si>
  <si>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6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</si>
  <si>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7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</si>
  <si>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8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</si>
  <si>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9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</si>
  <si>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10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</si>
  <si>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11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</si>
  <si>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12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</si>
  <si>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13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</si>
  <si>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14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</si>
  <si>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15</t>
    </r>
  </si>
  <si>
    <r>
      <rPr>
        <sz val="11"/>
        <rFont val="宋体"/>
        <charset val="134"/>
      </rPr>
      <t>应急地板发光标志</t>
    </r>
    <r>
      <rPr>
        <sz val="11"/>
        <rFont val="Times New Roman"/>
        <charset val="134"/>
      </rPr>
      <t>16</t>
    </r>
  </si>
  <si>
    <r>
      <rPr>
        <sz val="11"/>
        <rFont val="宋体"/>
        <charset val="134"/>
      </rPr>
      <t>机头应急滑道灯</t>
    </r>
  </si>
  <si>
    <r>
      <rPr>
        <sz val="11"/>
        <rFont val="宋体"/>
        <charset val="134"/>
      </rPr>
      <t>后应急门出口滑道灯</t>
    </r>
  </si>
  <si>
    <t>170*110*65</t>
  </si>
  <si>
    <t>92*89*26</t>
  </si>
  <si>
    <t>323*100*100</t>
  </si>
  <si>
    <t>275*156*188</t>
  </si>
  <si>
    <t>277*201*148</t>
  </si>
  <si>
    <t>284*161*165</t>
  </si>
  <si>
    <t>T3CAS处理机</t>
  </si>
  <si>
    <t>驾驶舱-左设备架</t>
  </si>
  <si>
    <t>【20260415】交通监视替换为T3CAS处理机、更新重量</t>
  </si>
  <si>
    <t>交通监视上天线</t>
  </si>
  <si>
    <t>客舱-外部</t>
  </si>
  <si>
    <t>【20260415】更新LIN号、重量</t>
  </si>
  <si>
    <t>交通监视下天线</t>
  </si>
  <si>
    <t>下机身前段-外部</t>
  </si>
  <si>
    <t>77*20*130</t>
  </si>
  <si>
    <r>
      <rPr>
        <sz val="11"/>
        <color rgb="FF000000"/>
        <rFont val="Times New Roman"/>
        <charset val="134"/>
      </rPr>
      <t>GNSS</t>
    </r>
    <r>
      <rPr>
        <sz val="11"/>
        <color rgb="FF000000"/>
        <rFont val="宋体"/>
        <charset val="134"/>
      </rPr>
      <t>射频功分器</t>
    </r>
  </si>
  <si>
    <t>71*46*19</t>
  </si>
  <si>
    <t>【20260410】原先保留功分器1，按系统反馈改为功分器2
【20260415】名称去除字符2</t>
  </si>
  <si>
    <r>
      <rPr>
        <sz val="11"/>
        <rFont val="宋体"/>
        <charset val="134"/>
      </rPr>
      <t>北斗卫星导航接收机</t>
    </r>
  </si>
  <si>
    <t>3459E01001G900</t>
  </si>
  <si>
    <t>3401U3503</t>
  </si>
  <si>
    <t>可能增加旅客氧设备</t>
  </si>
  <si>
    <r>
      <rPr>
        <sz val="11"/>
        <rFont val="Times New Roman"/>
        <charset val="134"/>
      </rPr>
      <t xml:space="preserve">EATA38 </t>
    </r>
    <r>
      <rPr>
        <sz val="11"/>
        <rFont val="宋体"/>
        <charset val="134"/>
      </rPr>
      <t>水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废水</t>
    </r>
  </si>
  <si>
    <t>ZHT增加盥洗室、水箱、废水箱及服务接口</t>
  </si>
  <si>
    <r>
      <rPr>
        <sz val="11"/>
        <rFont val="Times New Roman"/>
        <charset val="134"/>
      </rPr>
      <t xml:space="preserve">EATA44 </t>
    </r>
    <r>
      <rPr>
        <sz val="11"/>
        <rFont val="宋体"/>
        <charset val="134"/>
      </rPr>
      <t>客舱系统</t>
    </r>
  </si>
  <si>
    <r>
      <rPr>
        <sz val="11"/>
        <rFont val="宋体"/>
        <charset val="134"/>
      </rPr>
      <t>广播内话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音频控制单元</t>
    </r>
  </si>
  <si>
    <t>4400U3601</t>
  </si>
  <si>
    <t>318*194*57.2</t>
  </si>
  <si>
    <r>
      <rPr>
        <sz val="11"/>
        <rFont val="宋体"/>
        <charset val="134"/>
      </rPr>
      <t>广播内话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区域音频单元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</si>
  <si>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广播内话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区域音频单元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</si>
  <si>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客舱管理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客舱接口单元</t>
    </r>
  </si>
  <si>
    <t>4400U3602</t>
  </si>
  <si>
    <t>318*194*127.5</t>
  </si>
  <si>
    <r>
      <rPr>
        <sz val="11"/>
        <rFont val="宋体"/>
        <charset val="134"/>
      </rPr>
      <t>客舱管理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客舱管理终端</t>
    </r>
  </si>
  <si>
    <r>
      <rPr>
        <sz val="11"/>
        <rFont val="宋体"/>
        <charset val="134"/>
      </rPr>
      <t>空地互联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空地互联（通信服务器）</t>
    </r>
  </si>
  <si>
    <t>4400U3603</t>
  </si>
  <si>
    <r>
      <rPr>
        <sz val="11"/>
        <rFont val="宋体"/>
        <charset val="134"/>
      </rPr>
      <t>空地互联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空地互联（</t>
    </r>
    <r>
      <rPr>
        <sz val="11"/>
        <rFont val="Times New Roman"/>
        <charset val="134"/>
      </rPr>
      <t>WAP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</si>
  <si>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5</t>
    </r>
    <r>
      <rPr>
        <sz val="11"/>
        <rFont val="宋体"/>
        <charset val="134"/>
      </rPr>
      <t>座椅电源充电接口</t>
    </r>
    <r>
      <rPr>
        <sz val="11"/>
        <rFont val="Times New Roman"/>
        <charset val="134"/>
      </rPr>
      <t xml:space="preserve">1  Charge1 </t>
    </r>
  </si>
  <si>
    <r>
      <rPr>
        <sz val="11"/>
        <rFont val="Times New Roman"/>
        <charset val="134"/>
      </rPr>
      <t>5</t>
    </r>
    <r>
      <rPr>
        <sz val="11"/>
        <rFont val="宋体"/>
        <charset val="134"/>
      </rPr>
      <t>座椅电源充电接口</t>
    </r>
    <r>
      <rPr>
        <sz val="11"/>
        <rFont val="Times New Roman"/>
        <charset val="134"/>
      </rPr>
      <t xml:space="preserve">2  Charge2 </t>
    </r>
  </si>
  <si>
    <r>
      <rPr>
        <sz val="11"/>
        <rFont val="Times New Roman"/>
        <charset val="134"/>
      </rPr>
      <t>5</t>
    </r>
    <r>
      <rPr>
        <sz val="11"/>
        <rFont val="宋体"/>
        <charset val="134"/>
      </rPr>
      <t>座椅电源充电接口</t>
    </r>
    <r>
      <rPr>
        <sz val="11"/>
        <rFont val="Times New Roman"/>
        <charset val="134"/>
      </rPr>
      <t xml:space="preserve">3  Charge3 </t>
    </r>
  </si>
  <si>
    <r>
      <rPr>
        <sz val="11"/>
        <rFont val="Times New Roman"/>
        <charset val="134"/>
      </rPr>
      <t>4</t>
    </r>
    <r>
      <rPr>
        <sz val="11"/>
        <rFont val="宋体"/>
        <charset val="134"/>
      </rPr>
      <t>座椅电源充电接口</t>
    </r>
    <r>
      <rPr>
        <sz val="11"/>
        <rFont val="Times New Roman"/>
        <charset val="134"/>
      </rPr>
      <t>4  Charge4</t>
    </r>
  </si>
  <si>
    <r>
      <rPr>
        <sz val="11"/>
        <rFont val="宋体"/>
        <charset val="134"/>
      </rPr>
      <t>乘客服务控制单元</t>
    </r>
    <r>
      <rPr>
        <sz val="11"/>
        <rFont val="Times New Roman"/>
        <charset val="134"/>
      </rPr>
      <t>1 ZAU-PSCU1</t>
    </r>
  </si>
  <si>
    <r>
      <rPr>
        <sz val="11"/>
        <rFont val="宋体"/>
        <charset val="134"/>
      </rPr>
      <t>乘客服务控制单元</t>
    </r>
    <r>
      <rPr>
        <sz val="11"/>
        <rFont val="Times New Roman"/>
        <charset val="134"/>
      </rPr>
      <t>2 ZAU-PSCU2</t>
    </r>
  </si>
  <si>
    <r>
      <rPr>
        <sz val="11"/>
        <rFont val="宋体"/>
        <charset val="134"/>
      </rPr>
      <t>广播内话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扬声器</t>
    </r>
  </si>
  <si>
    <r>
      <rPr>
        <sz val="11"/>
        <rFont val="宋体"/>
        <charset val="134"/>
      </rPr>
      <t>广播内话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手持受送话器</t>
    </r>
  </si>
  <si>
    <r>
      <rPr>
        <sz val="11"/>
        <rFont val="宋体"/>
        <charset val="134"/>
      </rPr>
      <t>虚拟舷窗</t>
    </r>
  </si>
  <si>
    <r>
      <rPr>
        <sz val="11"/>
        <rFont val="宋体"/>
        <charset val="134"/>
      </rPr>
      <t>短焦投影</t>
    </r>
  </si>
  <si>
    <t>94.4*98.3*130</t>
  </si>
  <si>
    <t>视频服务单元1和2合并</t>
  </si>
  <si>
    <t>37*37*56.2</t>
  </si>
  <si>
    <r>
      <rPr>
        <sz val="11"/>
        <rFont val="宋体"/>
        <charset val="134"/>
      </rPr>
      <t>驾驶舱机组无线通信单元</t>
    </r>
  </si>
  <si>
    <t>4610E01003G900</t>
  </si>
  <si>
    <t>4601U2507</t>
  </si>
  <si>
    <r>
      <rPr>
        <sz val="11"/>
        <rFont val="Times New Roman"/>
        <charset val="134"/>
      </rPr>
      <t xml:space="preserve">EATA52 </t>
    </r>
    <r>
      <rPr>
        <sz val="11"/>
        <rFont val="宋体"/>
        <charset val="134"/>
      </rPr>
      <t>舱门</t>
    </r>
  </si>
  <si>
    <r>
      <rPr>
        <sz val="11"/>
        <rFont val="宋体"/>
        <charset val="134"/>
      </rPr>
      <t>舱门控制系统控制器</t>
    </r>
  </si>
  <si>
    <t>5231E01000G900</t>
  </si>
  <si>
    <t>5201U2501</t>
  </si>
  <si>
    <r>
      <rPr>
        <sz val="11"/>
        <rFont val="宋体"/>
        <charset val="134"/>
      </rPr>
      <t>需改为国军标</t>
    </r>
    <r>
      <rPr>
        <sz val="11"/>
        <rFont val="Times New Roman"/>
        <charset val="134"/>
      </rPr>
      <t>441</t>
    </r>
    <r>
      <rPr>
        <sz val="11"/>
        <rFont val="宋体"/>
        <charset val="134"/>
      </rPr>
      <t>尺寸机箱</t>
    </r>
  </si>
  <si>
    <r>
      <rPr>
        <sz val="11"/>
        <rFont val="宋体"/>
        <charset val="134"/>
      </rPr>
      <t>登机门飞行锁上锁传感器</t>
    </r>
  </si>
  <si>
    <t>5231E07000G900</t>
  </si>
  <si>
    <t>5201D3703</t>
  </si>
  <si>
    <r>
      <rPr>
        <sz val="11"/>
        <rFont val="宋体"/>
        <charset val="134"/>
      </rPr>
      <t>客舱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登机门</t>
    </r>
  </si>
  <si>
    <r>
      <rPr>
        <sz val="11"/>
        <rFont val="宋体"/>
        <charset val="134"/>
      </rPr>
      <t>登机门飞行锁解锁传感器</t>
    </r>
  </si>
  <si>
    <t>5231E08000G900</t>
  </si>
  <si>
    <t>5201D3705</t>
  </si>
  <si>
    <r>
      <rPr>
        <sz val="11"/>
        <rFont val="宋体"/>
        <charset val="134"/>
      </rPr>
      <t>登机门上闩传感器</t>
    </r>
  </si>
  <si>
    <t>5231E09000G900</t>
  </si>
  <si>
    <t>5201D3707</t>
  </si>
  <si>
    <r>
      <rPr>
        <sz val="11"/>
        <rFont val="宋体"/>
        <charset val="134"/>
      </rPr>
      <t>登机门上锁传感器</t>
    </r>
  </si>
  <si>
    <t>5231E10001G900</t>
  </si>
  <si>
    <t>5201D3709</t>
  </si>
  <si>
    <r>
      <rPr>
        <sz val="11"/>
        <rFont val="宋体"/>
        <charset val="134"/>
      </rPr>
      <t>登机门关闭传感器</t>
    </r>
  </si>
  <si>
    <t>5231E11000G900</t>
  </si>
  <si>
    <t>5201D3711</t>
  </si>
  <si>
    <r>
      <rPr>
        <sz val="11"/>
        <rFont val="宋体"/>
        <charset val="134"/>
      </rPr>
      <t>登机门飞行锁</t>
    </r>
  </si>
  <si>
    <t>5232E01001G900</t>
  </si>
  <si>
    <t>5201X3701</t>
  </si>
  <si>
    <r>
      <rPr>
        <sz val="11"/>
        <rFont val="宋体"/>
        <charset val="134"/>
      </rPr>
      <t>登机门控制面板</t>
    </r>
  </si>
  <si>
    <t>5233E02001G900</t>
  </si>
  <si>
    <t>5201J2501</t>
  </si>
  <si>
    <t>603.8*295.2*247</t>
  </si>
  <si>
    <r>
      <rPr>
        <sz val="11"/>
        <color rgb="FF000000"/>
        <rFont val="宋体"/>
        <charset val="134"/>
      </rPr>
      <t>构型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动力电池1</t>
    </r>
  </si>
  <si>
    <t>8621E01001G900</t>
  </si>
  <si>
    <t>1150*1562*370</t>
  </si>
  <si>
    <t>【20260403】A构型改为B构型，更新DM号</t>
  </si>
  <si>
    <r>
      <rPr>
        <sz val="11"/>
        <color rgb="FF000000"/>
        <rFont val="宋体"/>
        <charset val="134"/>
      </rPr>
      <t>构型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动力电池2</t>
    </r>
  </si>
  <si>
    <r>
      <rPr>
        <sz val="11"/>
        <color rgb="FF000000"/>
        <rFont val="宋体"/>
        <charset val="134"/>
      </rPr>
      <t>构型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动力电池3</t>
    </r>
  </si>
  <si>
    <r>
      <rPr>
        <sz val="11"/>
        <color rgb="FF000000"/>
        <rFont val="宋体"/>
        <charset val="134"/>
      </rPr>
      <t>构型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动力电池4</t>
    </r>
  </si>
  <si>
    <r>
      <rPr>
        <sz val="11"/>
        <color rgb="FF000000"/>
        <rFont val="宋体"/>
        <charset val="134"/>
      </rPr>
      <t>构型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动力电池5</t>
    </r>
  </si>
  <si>
    <t>2431E04400G200</t>
  </si>
  <si>
    <t>【20260415】DM号更新</t>
  </si>
  <si>
    <t>425*760*750</t>
  </si>
  <si>
    <t>1728*812*764</t>
  </si>
  <si>
    <t>488*247*247</t>
  </si>
  <si>
    <t>365*226*226</t>
  </si>
  <si>
    <t>设备托架名称</t>
  </si>
  <si>
    <t>设备托架编号</t>
  </si>
  <si>
    <r>
      <rPr>
        <b/>
        <sz val="11"/>
        <color rgb="FF000000"/>
        <rFont val="Times New Roman"/>
        <charset val="134"/>
      </rPr>
      <t>托架LIN</t>
    </r>
    <r>
      <rPr>
        <b/>
        <sz val="11"/>
        <color rgb="FF000000"/>
        <rFont val="宋体"/>
        <charset val="134"/>
      </rPr>
      <t>号</t>
    </r>
  </si>
  <si>
    <r>
      <rPr>
        <b/>
        <sz val="11"/>
        <color rgb="FF000000"/>
        <rFont val="宋体"/>
        <charset val="134"/>
      </rPr>
      <t>托架长</t>
    </r>
    <r>
      <rPr>
        <b/>
        <sz val="11"/>
        <color rgb="FF000000"/>
        <rFont val="Times New Roman"/>
        <charset val="134"/>
      </rPr>
      <t>*</t>
    </r>
    <r>
      <rPr>
        <b/>
        <sz val="11"/>
        <color rgb="FF000000"/>
        <rFont val="宋体"/>
        <charset val="134"/>
      </rPr>
      <t>高</t>
    </r>
    <r>
      <rPr>
        <b/>
        <sz val="11"/>
        <color rgb="FF000000"/>
        <rFont val="Times New Roman"/>
        <charset val="134"/>
      </rPr>
      <t>*</t>
    </r>
    <r>
      <rPr>
        <b/>
        <sz val="11"/>
        <color rgb="FF000000"/>
        <rFont val="宋体"/>
        <charset val="134"/>
      </rPr>
      <t>宽</t>
    </r>
  </si>
  <si>
    <t>托架重量</t>
  </si>
  <si>
    <t>构型分类
（同设备）</t>
  </si>
  <si>
    <r>
      <rPr>
        <b/>
        <sz val="11"/>
        <color rgb="FF000000"/>
        <rFont val="宋体"/>
        <charset val="134"/>
      </rPr>
      <t>锁紧器</t>
    </r>
    <r>
      <rPr>
        <b/>
        <sz val="11"/>
        <color rgb="FFFF0000"/>
        <rFont val="宋体"/>
        <charset val="134"/>
      </rPr>
      <t xml:space="preserve">
下拉选择</t>
    </r>
  </si>
  <si>
    <t>特殊需求</t>
  </si>
  <si>
    <t>是否158提供</t>
  </si>
  <si>
    <t>对应设备</t>
  </si>
  <si>
    <t>A类锁紧器</t>
  </si>
  <si>
    <t>空调系统综合控制器1</t>
  </si>
  <si>
    <t>托架</t>
  </si>
  <si>
    <r>
      <rPr>
        <sz val="11"/>
        <rFont val="宋体"/>
        <charset val="134"/>
      </rPr>
      <t>空调系统综合控制器</t>
    </r>
    <r>
      <rPr>
        <sz val="11"/>
        <rFont val="Times New Roman"/>
        <charset val="134"/>
      </rPr>
      <t>2</t>
    </r>
  </si>
  <si>
    <t>C类锁紧器</t>
  </si>
  <si>
    <t>托架底部需散热风道</t>
  </si>
  <si>
    <t>设备提供</t>
  </si>
  <si>
    <r>
      <rPr>
        <sz val="11"/>
        <color rgb="FF000000"/>
        <rFont val="宋体"/>
        <charset val="134"/>
        <scheme val="minor"/>
      </rPr>
      <t>显控计算机</t>
    </r>
    <r>
      <rPr>
        <sz val="11"/>
        <color rgb="FF000000"/>
        <rFont val="宋体"/>
        <charset val="134"/>
        <scheme val="minor"/>
      </rPr>
      <t>1</t>
    </r>
  </si>
  <si>
    <t>交通监视处理机</t>
  </si>
  <si>
    <r>
      <rPr>
        <sz val="11"/>
        <color rgb="FF000000"/>
        <rFont val="宋体"/>
        <charset val="134"/>
        <scheme val="minor"/>
      </rPr>
      <t>音频管理单元</t>
    </r>
    <r>
      <rPr>
        <sz val="11"/>
        <color rgb="FF000000"/>
        <rFont val="宋体"/>
        <charset val="134"/>
        <scheme val="minor"/>
      </rPr>
      <t>1</t>
    </r>
  </si>
  <si>
    <t>备份飞控计算机</t>
  </si>
  <si>
    <t>158提供</t>
  </si>
  <si>
    <r>
      <rPr>
        <sz val="11"/>
        <color rgb="FF000000"/>
        <rFont val="宋体"/>
        <charset val="134"/>
        <scheme val="minor"/>
      </rPr>
      <t>数据接口单元</t>
    </r>
    <r>
      <rPr>
        <sz val="11"/>
        <color rgb="FF000000"/>
        <rFont val="宋体"/>
        <charset val="134"/>
        <scheme val="minor"/>
      </rPr>
      <t>3</t>
    </r>
  </si>
  <si>
    <r>
      <rPr>
        <sz val="11"/>
        <color rgb="FF000000"/>
        <rFont val="宋体"/>
        <charset val="134"/>
        <scheme val="minor"/>
      </rPr>
      <t>数据接口单元</t>
    </r>
    <r>
      <rPr>
        <sz val="11"/>
        <color rgb="FF000000"/>
        <rFont val="宋体"/>
        <charset val="134"/>
        <scheme val="minor"/>
      </rPr>
      <t>2</t>
    </r>
  </si>
  <si>
    <r>
      <rPr>
        <sz val="11"/>
        <color rgb="FF000000"/>
        <rFont val="宋体"/>
        <charset val="134"/>
        <scheme val="minor"/>
      </rPr>
      <t>主飞控计算机</t>
    </r>
    <r>
      <rPr>
        <sz val="11"/>
        <color rgb="FF000000"/>
        <rFont val="宋体"/>
        <charset val="134"/>
        <scheme val="minor"/>
      </rPr>
      <t>3</t>
    </r>
  </si>
  <si>
    <r>
      <rPr>
        <sz val="11"/>
        <color rgb="FF000000"/>
        <rFont val="宋体"/>
        <charset val="134"/>
        <scheme val="minor"/>
      </rPr>
      <t>显控计算机</t>
    </r>
    <r>
      <rPr>
        <sz val="11"/>
        <color rgb="FF000000"/>
        <rFont val="宋体"/>
        <charset val="134"/>
        <scheme val="minor"/>
      </rPr>
      <t>2</t>
    </r>
  </si>
  <si>
    <r>
      <rPr>
        <sz val="11"/>
        <color rgb="FF000000"/>
        <rFont val="宋体"/>
        <charset val="134"/>
        <scheme val="minor"/>
      </rPr>
      <t>音频管理单元</t>
    </r>
    <r>
      <rPr>
        <sz val="11"/>
        <color rgb="FF000000"/>
        <rFont val="宋体"/>
        <charset val="134"/>
        <scheme val="minor"/>
      </rPr>
      <t>2</t>
    </r>
  </si>
  <si>
    <r>
      <rPr>
        <sz val="11"/>
        <color rgb="FF000000"/>
        <rFont val="宋体"/>
        <charset val="134"/>
        <scheme val="minor"/>
      </rPr>
      <t>数据接口单元</t>
    </r>
    <r>
      <rPr>
        <sz val="11"/>
        <color rgb="FF000000"/>
        <rFont val="宋体"/>
        <charset val="134"/>
        <scheme val="minor"/>
      </rPr>
      <t>1</t>
    </r>
  </si>
  <si>
    <r>
      <rPr>
        <sz val="11"/>
        <color rgb="FF000000"/>
        <rFont val="宋体"/>
        <charset val="134"/>
        <scheme val="minor"/>
      </rPr>
      <t>主飞控计算机</t>
    </r>
    <r>
      <rPr>
        <sz val="11"/>
        <color rgb="FF000000"/>
        <rFont val="宋体"/>
        <charset val="134"/>
        <scheme val="minor"/>
      </rPr>
      <t>2</t>
    </r>
  </si>
  <si>
    <r>
      <rPr>
        <sz val="11"/>
        <color rgb="FF000000"/>
        <rFont val="宋体"/>
        <charset val="134"/>
        <scheme val="minor"/>
      </rPr>
      <t>飞机数据网络交换机</t>
    </r>
    <r>
      <rPr>
        <sz val="11"/>
        <color rgb="FF000000"/>
        <rFont val="宋体"/>
        <charset val="134"/>
        <scheme val="minor"/>
      </rPr>
      <t>1</t>
    </r>
  </si>
  <si>
    <r>
      <rPr>
        <sz val="11"/>
        <color rgb="FF000000"/>
        <rFont val="宋体"/>
        <charset val="134"/>
        <scheme val="minor"/>
      </rPr>
      <t>甚高频通信及无线电导航集成设备</t>
    </r>
    <r>
      <rPr>
        <sz val="11"/>
        <color rgb="FF000000"/>
        <rFont val="宋体"/>
        <charset val="134"/>
        <scheme val="minor"/>
      </rPr>
      <t>2</t>
    </r>
  </si>
  <si>
    <r>
      <rPr>
        <sz val="11"/>
        <color rgb="FF000000"/>
        <rFont val="宋体"/>
        <charset val="134"/>
        <scheme val="minor"/>
      </rPr>
      <t>数据接口单元</t>
    </r>
    <r>
      <rPr>
        <sz val="11"/>
        <color rgb="FF000000"/>
        <rFont val="宋体"/>
        <charset val="134"/>
        <scheme val="minor"/>
      </rPr>
      <t>4</t>
    </r>
  </si>
  <si>
    <t>通用信息处理计算机</t>
  </si>
  <si>
    <t>北斗卫星导航接收机</t>
  </si>
  <si>
    <r>
      <rPr>
        <sz val="11"/>
        <color rgb="FF000000"/>
        <rFont val="宋体"/>
        <charset val="134"/>
        <scheme val="minor"/>
      </rPr>
      <t>数据接口单元</t>
    </r>
    <r>
      <rPr>
        <sz val="11"/>
        <color rgb="FF000000"/>
        <rFont val="宋体"/>
        <charset val="134"/>
        <scheme val="minor"/>
      </rPr>
      <t>5</t>
    </r>
  </si>
  <si>
    <t>托架底部有散热风扇</t>
  </si>
  <si>
    <r>
      <rPr>
        <sz val="11"/>
        <color rgb="FF000000"/>
        <rFont val="宋体"/>
        <charset val="134"/>
        <scheme val="minor"/>
      </rPr>
      <t>5G ATG</t>
    </r>
    <r>
      <rPr>
        <sz val="11"/>
        <color rgb="FF000000"/>
        <rFont val="宋体"/>
        <charset val="134"/>
        <scheme val="minor"/>
      </rPr>
      <t>机载</t>
    </r>
    <r>
      <rPr>
        <sz val="11"/>
        <color rgb="FF000000"/>
        <rFont val="宋体"/>
        <charset val="134"/>
        <scheme val="minor"/>
      </rPr>
      <t>CPE</t>
    </r>
  </si>
  <si>
    <r>
      <rPr>
        <sz val="11"/>
        <color rgb="FF000000"/>
        <rFont val="宋体"/>
        <charset val="134"/>
        <scheme val="minor"/>
      </rPr>
      <t>主飞控计算机</t>
    </r>
    <r>
      <rPr>
        <sz val="11"/>
        <color rgb="FF000000"/>
        <rFont val="宋体"/>
        <charset val="134"/>
        <scheme val="minor"/>
      </rPr>
      <t>1</t>
    </r>
  </si>
  <si>
    <r>
      <rPr>
        <sz val="11"/>
        <color rgb="FF000000"/>
        <rFont val="宋体"/>
        <charset val="134"/>
        <scheme val="minor"/>
      </rPr>
      <t>飞机数据网络交换机</t>
    </r>
    <r>
      <rPr>
        <sz val="11"/>
        <color rgb="FF000000"/>
        <rFont val="宋体"/>
        <charset val="134"/>
        <scheme val="minor"/>
      </rPr>
      <t>2</t>
    </r>
  </si>
  <si>
    <r>
      <rPr>
        <sz val="11"/>
        <color rgb="FF000000"/>
        <rFont val="宋体"/>
        <charset val="134"/>
        <scheme val="minor"/>
      </rPr>
      <t>数据接口单元</t>
    </r>
    <r>
      <rPr>
        <sz val="11"/>
        <color rgb="FF000000"/>
        <rFont val="宋体"/>
        <charset val="134"/>
        <scheme val="minor"/>
      </rPr>
      <t>6</t>
    </r>
  </si>
  <si>
    <r>
      <rPr>
        <sz val="11"/>
        <color rgb="FF000000"/>
        <rFont val="宋体"/>
        <charset val="134"/>
        <scheme val="minor"/>
      </rPr>
      <t>甚高频通信及无线电导航集成设备</t>
    </r>
    <r>
      <rPr>
        <sz val="11"/>
        <color rgb="FF000000"/>
        <rFont val="宋体"/>
        <charset val="134"/>
        <scheme val="minor"/>
      </rPr>
      <t>1</t>
    </r>
  </si>
  <si>
    <t>结构健康监测设备</t>
  </si>
  <si>
    <r>
      <rPr>
        <sz val="11"/>
        <rFont val="宋体"/>
        <charset val="134"/>
      </rPr>
      <t>防除冰控制器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</si>
  <si>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防除冰控制器</t>
    </r>
    <r>
      <rPr>
        <sz val="11"/>
        <rFont val="Times New Roman"/>
        <charset val="134"/>
      </rPr>
      <t>2</t>
    </r>
  </si>
  <si>
    <t>设备名称</t>
  </si>
  <si>
    <t>布置位置</t>
  </si>
  <si>
    <t>左前设备架设备清单</t>
  </si>
  <si>
    <t>安装方式</t>
  </si>
  <si>
    <t>电搭接方式</t>
  </si>
  <si>
    <t>重量(kg)</t>
  </si>
  <si>
    <t>备注</t>
  </si>
  <si>
    <r>
      <rPr>
        <sz val="11"/>
        <color theme="1"/>
        <rFont val="宋体"/>
        <charset val="134"/>
      </rPr>
      <t>显控计算机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</si>
  <si>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驾驶舱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左设备架</t>
    </r>
  </si>
  <si>
    <r>
      <rPr>
        <sz val="11"/>
        <color theme="1"/>
        <rFont val="宋体"/>
        <charset val="134"/>
      </rPr>
      <t>非标托架，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类锁紧器</t>
    </r>
  </si>
  <si>
    <r>
      <rPr>
        <sz val="11"/>
        <color theme="1"/>
        <rFont val="宋体"/>
        <charset val="134"/>
      </rPr>
      <t>含托架</t>
    </r>
  </si>
  <si>
    <r>
      <rPr>
        <sz val="11"/>
        <color theme="1"/>
        <rFont val="宋体"/>
        <charset val="134"/>
      </rPr>
      <t>惯性基准系统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</si>
  <si>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六角螺栓安装</t>
    </r>
  </si>
  <si>
    <r>
      <rPr>
        <sz val="11"/>
        <color theme="1"/>
        <rFont val="宋体"/>
        <charset val="134"/>
      </rPr>
      <t>惯性基准系统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</si>
  <si>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交通监视处理机</t>
    </r>
  </si>
  <si>
    <t>3401U2503</t>
  </si>
  <si>
    <r>
      <rPr>
        <b/>
        <i/>
        <sz val="11"/>
        <color theme="1"/>
        <rFont val="Times New Roman"/>
        <charset val="134"/>
      </rPr>
      <t>4MCU</t>
    </r>
    <r>
      <rPr>
        <b/>
        <i/>
        <sz val="11"/>
        <color theme="1"/>
        <rFont val="宋体"/>
        <charset val="134"/>
      </rPr>
      <t>托架安装，</t>
    </r>
    <r>
      <rPr>
        <b/>
        <i/>
        <sz val="11"/>
        <color theme="1"/>
        <rFont val="Times New Roman"/>
        <charset val="134"/>
      </rPr>
      <t>A</t>
    </r>
    <r>
      <rPr>
        <b/>
        <i/>
        <sz val="11"/>
        <color theme="1"/>
        <rFont val="宋体"/>
        <charset val="134"/>
      </rPr>
      <t>类锁紧器</t>
    </r>
  </si>
  <si>
    <t>不含托架，估算值</t>
  </si>
  <si>
    <r>
      <rPr>
        <sz val="11"/>
        <color theme="1"/>
        <rFont val="宋体"/>
        <charset val="134"/>
      </rPr>
      <t>音频管理单元</t>
    </r>
    <r>
      <rPr>
        <sz val="11"/>
        <color theme="1"/>
        <rFont val="Times New Roman"/>
        <charset val="134"/>
      </rPr>
      <t>1</t>
    </r>
  </si>
  <si>
    <r>
      <rPr>
        <b/>
        <i/>
        <sz val="11"/>
        <color theme="1"/>
        <rFont val="Times New Roman"/>
        <charset val="134"/>
      </rPr>
      <t>2MCU</t>
    </r>
    <r>
      <rPr>
        <b/>
        <i/>
        <sz val="11"/>
        <color theme="1"/>
        <rFont val="宋体"/>
        <charset val="134"/>
      </rPr>
      <t>托架安装，</t>
    </r>
    <r>
      <rPr>
        <b/>
        <i/>
        <sz val="11"/>
        <color theme="1"/>
        <rFont val="Times New Roman"/>
        <charset val="134"/>
      </rPr>
      <t>A</t>
    </r>
    <r>
      <rPr>
        <b/>
        <i/>
        <sz val="11"/>
        <color theme="1"/>
        <rFont val="宋体"/>
        <charset val="134"/>
      </rPr>
      <t>类锁紧器</t>
    </r>
  </si>
  <si>
    <r>
      <rPr>
        <sz val="11"/>
        <color theme="1"/>
        <rFont val="宋体"/>
        <charset val="134"/>
      </rPr>
      <t>驾驶舱机组无线通信单元</t>
    </r>
  </si>
  <si>
    <r>
      <rPr>
        <sz val="11"/>
        <color theme="1"/>
        <rFont val="宋体"/>
        <charset val="134"/>
      </rPr>
      <t>四角螺栓安装</t>
    </r>
  </si>
  <si>
    <r>
      <rPr>
        <sz val="11"/>
        <color theme="1"/>
        <rFont val="宋体"/>
        <charset val="134"/>
      </rPr>
      <t>备份飞控计算机</t>
    </r>
  </si>
  <si>
    <r>
      <rPr>
        <b/>
        <i/>
        <sz val="11"/>
        <color theme="1"/>
        <rFont val="Times New Roman"/>
        <charset val="134"/>
      </rPr>
      <t>3MCU</t>
    </r>
    <r>
      <rPr>
        <b/>
        <i/>
        <sz val="11"/>
        <color theme="1"/>
        <rFont val="宋体"/>
        <charset val="134"/>
      </rPr>
      <t>托架安装，</t>
    </r>
    <r>
      <rPr>
        <b/>
        <i/>
        <sz val="11"/>
        <color theme="1"/>
        <rFont val="Times New Roman"/>
        <charset val="134"/>
      </rPr>
      <t>A</t>
    </r>
    <r>
      <rPr>
        <b/>
        <i/>
        <sz val="11"/>
        <color theme="1"/>
        <rFont val="宋体"/>
        <charset val="134"/>
      </rPr>
      <t>类锁紧器</t>
    </r>
  </si>
  <si>
    <r>
      <rPr>
        <sz val="11"/>
        <color theme="1"/>
        <rFont val="宋体"/>
        <charset val="134"/>
      </rPr>
      <t>刹车控制监视单元</t>
    </r>
  </si>
  <si>
    <r>
      <rPr>
        <sz val="11"/>
        <color theme="1"/>
        <rFont val="宋体"/>
        <charset val="134"/>
      </rPr>
      <t>数据接口单元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</si>
  <si>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不含托架</t>
    </r>
  </si>
  <si>
    <r>
      <rPr>
        <sz val="11"/>
        <color theme="1"/>
        <rFont val="宋体"/>
        <charset val="134"/>
      </rPr>
      <t>收放控制单元</t>
    </r>
    <r>
      <rPr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</si>
  <si>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四角螺栓安装</t>
    </r>
  </si>
  <si>
    <r>
      <rPr>
        <sz val="11"/>
        <color theme="1"/>
        <rFont val="宋体"/>
        <charset val="134"/>
      </rPr>
      <t>备份放继电器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</si>
  <si>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三角螺栓安装</t>
    </r>
  </si>
  <si>
    <r>
      <rPr>
        <sz val="11"/>
        <color theme="1"/>
        <rFont val="宋体"/>
        <charset val="134"/>
      </rPr>
      <t>备份放继电器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</si>
  <si>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备份放继电器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</si>
  <si>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大气数据计算机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</si>
  <si>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大气数据计算机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</si>
  <si>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远程配电装置</t>
    </r>
    <r>
      <rPr>
        <sz val="11"/>
        <color theme="1"/>
        <rFont val="Times New Roman"/>
        <charset val="134"/>
      </rPr>
      <t xml:space="preserve"> RPDU1</t>
    </r>
  </si>
  <si>
    <r>
      <rPr>
        <sz val="11"/>
        <color theme="1"/>
        <rFont val="宋体"/>
        <charset val="134"/>
      </rPr>
      <t>驾驶舱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右设备架</t>
    </r>
  </si>
  <si>
    <r>
      <rPr>
        <sz val="11"/>
        <color theme="1"/>
        <rFont val="宋体"/>
        <charset val="134"/>
      </rPr>
      <t>远程配电装置</t>
    </r>
    <r>
      <rPr>
        <sz val="11"/>
        <color theme="1"/>
        <rFont val="Times New Roman"/>
        <charset val="134"/>
      </rPr>
      <t xml:space="preserve"> RPDU2</t>
    </r>
  </si>
  <si>
    <r>
      <rPr>
        <sz val="11"/>
        <color theme="1"/>
        <rFont val="宋体"/>
        <charset val="134"/>
      </rPr>
      <t>应急配电盘箱</t>
    </r>
  </si>
  <si>
    <t>/</t>
  </si>
  <si>
    <r>
      <rPr>
        <sz val="11"/>
        <color theme="1"/>
        <rFont val="宋体"/>
        <charset val="134"/>
      </rPr>
      <t>飞控数据记录器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</si>
  <si>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数据接口单元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</si>
  <si>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主飞控计算机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</si>
  <si>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显控计算机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</si>
  <si>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音频管理单元</t>
    </r>
    <r>
      <rPr>
        <sz val="11"/>
        <color theme="1"/>
        <rFont val="Times New Roman"/>
        <charset val="134"/>
      </rPr>
      <t>2</t>
    </r>
  </si>
  <si>
    <r>
      <rPr>
        <b/>
        <i/>
        <sz val="11"/>
        <rFont val="Times New Roman"/>
        <charset val="134"/>
      </rPr>
      <t>3MCU</t>
    </r>
    <r>
      <rPr>
        <b/>
        <i/>
        <sz val="11"/>
        <rFont val="宋体"/>
        <charset val="134"/>
      </rPr>
      <t>托架安装，</t>
    </r>
    <r>
      <rPr>
        <b/>
        <i/>
        <sz val="11"/>
        <rFont val="Times New Roman"/>
        <charset val="134"/>
      </rPr>
      <t>A</t>
    </r>
    <r>
      <rPr>
        <b/>
        <i/>
        <sz val="11"/>
        <rFont val="宋体"/>
        <charset val="134"/>
      </rPr>
      <t>类锁紧器</t>
    </r>
  </si>
  <si>
    <r>
      <rPr>
        <sz val="11"/>
        <color theme="1"/>
        <rFont val="宋体"/>
        <charset val="134"/>
      </rPr>
      <t>大气数据计算机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</si>
  <si>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主飞控计算机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</si>
  <si>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客舱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后设备舱左设备架</t>
    </r>
  </si>
  <si>
    <r>
      <rPr>
        <sz val="11"/>
        <color theme="1"/>
        <rFont val="宋体"/>
        <charset val="134"/>
      </rPr>
      <t>飞机数据网络交换机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</si>
  <si>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甚高频通信及无线电导航集成设备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</si>
  <si>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非标托架，无锁紧器，参照数模</t>
    </r>
  </si>
  <si>
    <r>
      <rPr>
        <sz val="11"/>
        <color theme="1"/>
        <rFont val="宋体"/>
        <charset val="134"/>
      </rPr>
      <t>数据接口单元</t>
    </r>
    <r>
      <rPr>
        <sz val="11"/>
        <color theme="1"/>
        <rFont val="Times New Roman"/>
        <charset val="134"/>
      </rPr>
      <t>4</t>
    </r>
  </si>
  <si>
    <r>
      <rPr>
        <sz val="11"/>
        <color theme="1"/>
        <rFont val="宋体"/>
        <charset val="134"/>
      </rPr>
      <t>收放控制单元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</si>
  <si>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通用信息处理计算机</t>
    </r>
  </si>
  <si>
    <r>
      <rPr>
        <sz val="11"/>
        <rFont val="宋体"/>
        <charset val="134"/>
      </rPr>
      <t>估算值</t>
    </r>
  </si>
  <si>
    <r>
      <rPr>
        <sz val="11"/>
        <color theme="1"/>
        <rFont val="Times New Roman"/>
        <charset val="134"/>
      </rPr>
      <t>GNSS</t>
    </r>
    <r>
      <rPr>
        <sz val="11"/>
        <color theme="1"/>
        <rFont val="宋体"/>
        <charset val="134"/>
      </rPr>
      <t>射频功分器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</si>
  <si>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LOC/GS</t>
    </r>
    <r>
      <rPr>
        <sz val="11"/>
        <color theme="1"/>
        <rFont val="宋体"/>
        <charset val="134"/>
      </rPr>
      <t>功分器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</si>
  <si>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两角螺栓安装</t>
    </r>
  </si>
  <si>
    <r>
      <rPr>
        <sz val="11"/>
        <color theme="1"/>
        <rFont val="宋体"/>
        <charset val="134"/>
      </rPr>
      <t>北斗卫星导航接收机</t>
    </r>
  </si>
  <si>
    <r>
      <rPr>
        <sz val="11"/>
        <color theme="1"/>
        <rFont val="宋体"/>
        <charset val="134"/>
      </rPr>
      <t>数据接口单元</t>
    </r>
    <r>
      <rPr>
        <sz val="11"/>
        <color theme="1"/>
        <rFont val="Times New Roman"/>
        <charset val="134"/>
      </rPr>
      <t>5</t>
    </r>
  </si>
  <si>
    <r>
      <rPr>
        <sz val="11"/>
        <rFont val="宋体"/>
        <charset val="134"/>
      </rPr>
      <t>空调系统综合控制器</t>
    </r>
    <r>
      <rPr>
        <sz val="11"/>
        <rFont val="Times New Roman"/>
        <charset val="134"/>
      </rPr>
      <t>1</t>
    </r>
  </si>
  <si>
    <t>2100E01000G900</t>
  </si>
  <si>
    <r>
      <rPr>
        <b/>
        <i/>
        <sz val="11"/>
        <rFont val="Times New Roman"/>
        <charset val="134"/>
      </rPr>
      <t>2MCU</t>
    </r>
    <r>
      <rPr>
        <b/>
        <i/>
        <sz val="11"/>
        <rFont val="宋体"/>
        <charset val="134"/>
      </rPr>
      <t>托架安装，</t>
    </r>
    <r>
      <rPr>
        <b/>
        <i/>
        <sz val="11"/>
        <rFont val="Times New Roman"/>
        <charset val="134"/>
      </rPr>
      <t>A</t>
    </r>
    <r>
      <rPr>
        <b/>
        <i/>
        <sz val="11"/>
        <rFont val="宋体"/>
        <charset val="134"/>
      </rPr>
      <t>类锁紧器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</si>
  <si>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</si>
  <si>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4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</si>
  <si>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</si>
  <si>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7</t>
    </r>
  </si>
  <si>
    <r>
      <rPr>
        <sz val="11"/>
        <color theme="1"/>
        <rFont val="宋体"/>
        <charset val="134"/>
      </rPr>
      <t>视频服务单元</t>
    </r>
    <r>
      <rPr>
        <sz val="11"/>
        <color theme="1"/>
        <rFont val="Times New Roman"/>
        <charset val="134"/>
      </rPr>
      <t>2</t>
    </r>
  </si>
  <si>
    <t>4601U3505</t>
  </si>
  <si>
    <r>
      <rPr>
        <sz val="11"/>
        <color theme="1"/>
        <rFont val="宋体"/>
        <charset val="134"/>
      </rPr>
      <t>视频服务单元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</si>
  <si>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Times New Roman"/>
        <charset val="134"/>
      </rPr>
      <t>5G ATG</t>
    </r>
    <r>
      <rPr>
        <sz val="11"/>
        <color theme="1"/>
        <rFont val="宋体"/>
        <charset val="134"/>
      </rPr>
      <t>机载</t>
    </r>
    <r>
      <rPr>
        <sz val="11"/>
        <color theme="1"/>
        <rFont val="Times New Roman"/>
        <charset val="134"/>
      </rPr>
      <t>CPE</t>
    </r>
  </si>
  <si>
    <r>
      <rPr>
        <sz val="11"/>
        <color theme="1"/>
        <rFont val="宋体"/>
        <charset val="134"/>
      </rPr>
      <t>客舱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后设备舱右设备架</t>
    </r>
  </si>
  <si>
    <r>
      <rPr>
        <b/>
        <i/>
        <sz val="11"/>
        <color theme="1"/>
        <rFont val="Times New Roman"/>
        <charset val="134"/>
      </rPr>
      <t>4MCU</t>
    </r>
    <r>
      <rPr>
        <b/>
        <i/>
        <sz val="11"/>
        <color theme="1"/>
        <rFont val="宋体"/>
        <charset val="134"/>
      </rPr>
      <t>托架安装，</t>
    </r>
    <r>
      <rPr>
        <b/>
        <i/>
        <sz val="11"/>
        <color theme="1"/>
        <rFont val="Times New Roman"/>
        <charset val="134"/>
      </rPr>
      <t>C</t>
    </r>
    <r>
      <rPr>
        <b/>
        <i/>
        <sz val="11"/>
        <color theme="1"/>
        <rFont val="宋体"/>
        <charset val="134"/>
      </rPr>
      <t>类锁紧器，托架下方安装风扇</t>
    </r>
  </si>
  <si>
    <r>
      <rPr>
        <sz val="11"/>
        <color theme="1"/>
        <rFont val="宋体"/>
        <charset val="134"/>
      </rPr>
      <t>备份刹车控制单元</t>
    </r>
  </si>
  <si>
    <r>
      <rPr>
        <sz val="11"/>
        <color theme="1"/>
        <rFont val="宋体"/>
        <charset val="134"/>
      </rPr>
      <t>主飞控计算机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</si>
  <si>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飞机数据网络交换机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</si>
  <si>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数据接口单元</t>
    </r>
    <r>
      <rPr>
        <sz val="11"/>
        <color theme="1"/>
        <rFont val="Times New Roman"/>
        <charset val="134"/>
      </rPr>
      <t>6</t>
    </r>
  </si>
  <si>
    <r>
      <rPr>
        <sz val="11"/>
        <color theme="1"/>
        <rFont val="宋体"/>
        <charset val="134"/>
      </rPr>
      <t>甚高频通信及无线电导航集成设备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</si>
  <si>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8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</si>
  <si>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</si>
  <si>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6</t>
    </r>
  </si>
  <si>
    <r>
      <rPr>
        <sz val="11"/>
        <color theme="1"/>
        <rFont val="宋体"/>
        <charset val="134"/>
      </rPr>
      <t>马达控制电子</t>
    </r>
    <r>
      <rPr>
        <sz val="11"/>
        <color theme="1"/>
        <rFont val="Times New Roman"/>
        <charset val="134"/>
      </rPr>
      <t>5</t>
    </r>
  </si>
  <si>
    <r>
      <rPr>
        <sz val="11"/>
        <color theme="1"/>
        <rFont val="宋体"/>
        <charset val="134"/>
      </rPr>
      <t>结构健康监测设备</t>
    </r>
  </si>
  <si>
    <t>4552E01001G900</t>
  </si>
  <si>
    <r>
      <rPr>
        <sz val="11"/>
        <color theme="1"/>
        <rFont val="Times New Roman"/>
        <charset val="134"/>
      </rPr>
      <t>GNSS</t>
    </r>
    <r>
      <rPr>
        <sz val="11"/>
        <color theme="1"/>
        <rFont val="宋体"/>
        <charset val="134"/>
      </rPr>
      <t>射频功分器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</si>
  <si>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Times New Roman"/>
        <charset val="134"/>
      </rPr>
      <t>LOC/GS</t>
    </r>
    <r>
      <rPr>
        <sz val="11"/>
        <color theme="1"/>
        <rFont val="宋体"/>
        <charset val="134"/>
      </rPr>
      <t>功分器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</si>
  <si>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远程配电装置</t>
    </r>
    <r>
      <rPr>
        <sz val="11"/>
        <color theme="1"/>
        <rFont val="Times New Roman"/>
        <charset val="134"/>
      </rPr>
      <t xml:space="preserve"> RPDU3</t>
    </r>
  </si>
  <si>
    <r>
      <rPr>
        <sz val="11"/>
        <color theme="1"/>
        <rFont val="宋体"/>
        <charset val="134"/>
      </rPr>
      <t>客舱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后设备舱盘箱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左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</si>
  <si>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电源转换模块</t>
    </r>
  </si>
  <si>
    <r>
      <rPr>
        <sz val="11"/>
        <color theme="1"/>
        <rFont val="宋体"/>
        <charset val="134"/>
      </rPr>
      <t>左配电盘箱</t>
    </r>
  </si>
  <si>
    <r>
      <rPr>
        <sz val="11"/>
        <color theme="1"/>
        <rFont val="宋体"/>
        <charset val="134"/>
      </rPr>
      <t>远程配电装置</t>
    </r>
    <r>
      <rPr>
        <sz val="11"/>
        <color theme="1"/>
        <rFont val="Times New Roman"/>
        <charset val="134"/>
      </rPr>
      <t xml:space="preserve"> RPDU4</t>
    </r>
  </si>
  <si>
    <r>
      <rPr>
        <sz val="11"/>
        <color theme="1"/>
        <rFont val="宋体"/>
        <charset val="134"/>
      </rPr>
      <t>客舱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后设备舱盘箱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右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</si>
  <si>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功率放大器</t>
    </r>
  </si>
  <si>
    <r>
      <rPr>
        <sz val="11"/>
        <color theme="1"/>
        <rFont val="宋体"/>
        <charset val="134"/>
      </rPr>
      <t>右配电盘箱</t>
    </r>
  </si>
  <si>
    <t>系统名称</t>
  </si>
  <si>
    <t>设备安装图</t>
  </si>
  <si>
    <t>设备编号</t>
  </si>
  <si>
    <t>设备布置
区域</t>
  </si>
  <si>
    <t>是否首飞上机</t>
  </si>
  <si>
    <r>
      <rPr>
        <b/>
        <sz val="11"/>
        <color theme="1"/>
        <rFont val="宋体"/>
        <charset val="134"/>
      </rPr>
      <t xml:space="preserve">电搭接形式
</t>
    </r>
    <r>
      <rPr>
        <sz val="11"/>
        <color theme="1"/>
        <rFont val="宋体"/>
        <charset val="134"/>
      </rPr>
      <t xml:space="preserve">（面搭接/线搭接）
</t>
    </r>
    <r>
      <rPr>
        <sz val="11"/>
        <color rgb="FFFF0000"/>
        <rFont val="宋体"/>
        <charset val="134"/>
      </rPr>
      <t>例：面搭接</t>
    </r>
  </si>
  <si>
    <r>
      <rPr>
        <b/>
        <sz val="11"/>
        <color theme="1"/>
        <rFont val="宋体"/>
        <charset val="134"/>
      </rPr>
      <t xml:space="preserve">电搭接类型
</t>
    </r>
    <r>
      <rPr>
        <sz val="11"/>
        <color theme="1"/>
        <rFont val="宋体"/>
        <charset val="134"/>
      </rPr>
      <t xml:space="preserve">（可参考sheet2）
</t>
    </r>
    <r>
      <rPr>
        <sz val="11"/>
        <color rgb="FFFF0000"/>
        <rFont val="宋体"/>
        <charset val="134"/>
      </rPr>
      <t>例：A类</t>
    </r>
  </si>
  <si>
    <r>
      <rPr>
        <b/>
        <sz val="11"/>
        <color rgb="FF000000"/>
        <rFont val="宋体"/>
        <charset val="134"/>
      </rPr>
      <t xml:space="preserve">电搭接
阻值要求
</t>
    </r>
    <r>
      <rPr>
        <sz val="11"/>
        <color rgb="FF000000"/>
        <rFont val="宋体"/>
        <charset val="134"/>
      </rPr>
      <t>单位m</t>
    </r>
    <r>
      <rPr>
        <sz val="11"/>
        <color rgb="FF000000"/>
        <rFont val="Calibri"/>
        <charset val="134"/>
      </rPr>
      <t>Ω</t>
    </r>
  </si>
  <si>
    <r>
      <rPr>
        <b/>
        <sz val="11"/>
        <color rgb="FF000000"/>
        <rFont val="宋体"/>
        <charset val="134"/>
      </rPr>
      <t xml:space="preserve">搭接位置
</t>
    </r>
    <r>
      <rPr>
        <sz val="11"/>
        <color rgb="FF000000"/>
        <rFont val="宋体"/>
        <charset val="134"/>
      </rPr>
      <t>（提供搭接的结构</t>
    </r>
    <r>
      <rPr>
        <b/>
        <sz val="11"/>
        <color rgb="FFFF0000"/>
        <rFont val="宋体"/>
        <charset val="134"/>
      </rPr>
      <t>零件号-不是G200组件</t>
    </r>
    <r>
      <rPr>
        <sz val="11"/>
        <color rgb="FF000000"/>
        <rFont val="宋体"/>
        <charset val="134"/>
      </rPr>
      <t xml:space="preserve">或坐标）
</t>
    </r>
    <r>
      <rPr>
        <sz val="11"/>
        <color rgb="FFFF0000"/>
        <rFont val="宋体"/>
        <charset val="134"/>
      </rPr>
      <t>例：5325E0XXXXG700或坐标）</t>
    </r>
  </si>
  <si>
    <t>是否已在PACE
图纸中体现</t>
  </si>
  <si>
    <t>设备负责人</t>
  </si>
  <si>
    <t>ATA24 电源系统</t>
  </si>
  <si>
    <t>LR 270V电池（含BMS）</t>
  </si>
  <si>
    <t>2430E01000G200</t>
  </si>
  <si>
    <t>双线制
R H S类，壳体搭接；</t>
  </si>
  <si>
    <t>2.5mΩ</t>
  </si>
  <si>
    <t>5386E01113G700和5386E01113G700</t>
  </si>
  <si>
    <t>未体现</t>
  </si>
  <si>
    <t>搭接线长度：200mm，搭接线孔径：⌀4mm</t>
  </si>
  <si>
    <t>E 270V电池（含BMS）</t>
  </si>
  <si>
    <t>5386E01467G700</t>
  </si>
  <si>
    <t>应急28电池（含BMS）</t>
  </si>
  <si>
    <t>5386E01471G700</t>
  </si>
  <si>
    <t>搭接线长度：450mm，搭接线孔径：⌀4mm</t>
  </si>
  <si>
    <t>左配电盘箱</t>
  </si>
  <si>
    <t>2460E01000G200</t>
  </si>
  <si>
    <t>客舱-后设备舱盘箱</t>
  </si>
  <si>
    <t>C 类
R H S类，壳体搭接；</t>
  </si>
  <si>
    <t>5325E03121G700</t>
  </si>
  <si>
    <t>右配电盘箱</t>
  </si>
  <si>
    <t>5325E03122G700</t>
  </si>
  <si>
    <t>应急配电盘箱</t>
  </si>
  <si>
    <t>驾驶舱-右设备架</t>
  </si>
  <si>
    <t>5325E02209G700</t>
  </si>
  <si>
    <t>5325E03123G700</t>
  </si>
  <si>
    <t>5325E03124G700</t>
  </si>
  <si>
    <t>5325E02233G700</t>
  </si>
  <si>
    <t>远程配电装置 RPDU1</t>
  </si>
  <si>
    <t>5386E01429G700</t>
  </si>
  <si>
    <t>远程配电装置 RPDU2</t>
  </si>
  <si>
    <t>远程配电装置 RPDU3</t>
  </si>
  <si>
    <t>5325E03113G700</t>
  </si>
  <si>
    <t>远程配电装置 RPDU4</t>
  </si>
  <si>
    <t>高压PDU1</t>
  </si>
  <si>
    <t>非总装团队工作</t>
  </si>
  <si>
    <t>2464E01001G900</t>
  </si>
  <si>
    <t>机翼-机翼外段</t>
  </si>
  <si>
    <t>5714E03033G700</t>
  </si>
  <si>
    <t>高压PDU2</t>
  </si>
  <si>
    <t>5714E03037G700</t>
  </si>
  <si>
    <t>外电源插座</t>
  </si>
  <si>
    <t>无需求</t>
  </si>
  <si>
    <t>充电面板</t>
  </si>
  <si>
    <t>ATA86 电推进系统</t>
  </si>
  <si>
    <t>电驱系统1</t>
  </si>
  <si>
    <t>8611E01001G200</t>
  </si>
  <si>
    <t>短舱-1号短舱（机翼内侧）</t>
  </si>
  <si>
    <t>C类，28V负极在ERN回流；
L类，壳体搭接；</t>
  </si>
  <si>
    <t>已签协调单+打孔</t>
  </si>
  <si>
    <t>电驱系统2</t>
  </si>
  <si>
    <t>短舱-2号短舱</t>
  </si>
  <si>
    <t>C类，28V负极在机身部分通过ERN回流；
R类、H类、S类，壳体搭接</t>
  </si>
  <si>
    <t>电驱系统3</t>
  </si>
  <si>
    <t>短舱-3号短舱</t>
  </si>
  <si>
    <t>电驱系统4</t>
  </si>
  <si>
    <t>短舱-4号短舱</t>
  </si>
  <si>
    <t>电驱系统5</t>
  </si>
  <si>
    <t>短舱-5号短舱（机翼外侧）</t>
  </si>
  <si>
    <t>电驱系统6</t>
  </si>
  <si>
    <t>电驱系统7</t>
  </si>
  <si>
    <t>电驱系统8</t>
  </si>
  <si>
    <t>电驱系统9</t>
  </si>
  <si>
    <t>电驱系统10</t>
  </si>
  <si>
    <t>构型B动力电池（含BMS与继电器开关）1</t>
  </si>
  <si>
    <t>8621E01000G200</t>
  </si>
  <si>
    <t>下机身前段-1号动力电池舱</t>
  </si>
  <si>
    <t>构型B动力电池（含BMS与继电器开关）2</t>
  </si>
  <si>
    <t>下机身前段-2号动力电池舱</t>
  </si>
  <si>
    <t>构型B动力电池（含BMS与继电器开关）3</t>
  </si>
  <si>
    <t>下机身前段-3号动力电池舱</t>
  </si>
  <si>
    <t>构型B动力电池（含BMS与继电器开关）4</t>
  </si>
  <si>
    <t>下机身后段-4号动力电池舱</t>
  </si>
  <si>
    <t>构型B动力电池（含BMS与继电器开关）5</t>
  </si>
  <si>
    <t>下机身后段-5号动力电池舱</t>
  </si>
  <si>
    <t>构型A动力电池（含BMS与继电器开关）1</t>
  </si>
  <si>
    <t>8621E02000G200</t>
  </si>
  <si>
    <t>8621E02001G900</t>
  </si>
  <si>
    <t>构型A动力电池（含BMS与继电器开关）3</t>
  </si>
  <si>
    <t>8621E02002G900</t>
  </si>
  <si>
    <t>构型A动力电池（含BMS与继电器开关）5</t>
  </si>
  <si>
    <t>构型A动力电池（含BMS与继电器开关）7</t>
  </si>
  <si>
    <t>构型A动力电池（含BMS与继电器开关）9</t>
  </si>
  <si>
    <t>构型A动力电池（含BMS与继电器开关）2</t>
  </si>
  <si>
    <t>构型A动力电池（含BMS与继电器开关）4</t>
  </si>
  <si>
    <t>构型A动力电池（含BMS与继电器开关）6</t>
  </si>
  <si>
    <t>构型A动力电池（含BMS与继电器开关）8</t>
  </si>
  <si>
    <t>构型A动力电池（含BMS与继电器开关）10</t>
  </si>
  <si>
    <t>ATA87 通用机载测试系统</t>
  </si>
  <si>
    <t>采集机箱1</t>
  </si>
  <si>
    <t>图号未确定</t>
  </si>
  <si>
    <t>S类，壳体搭接</t>
  </si>
  <si>
    <t>≤2.5mΩ</t>
  </si>
  <si>
    <t>采集机箱2</t>
  </si>
  <si>
    <t>机载数据交换机</t>
  </si>
  <si>
    <t>无需接地</t>
  </si>
  <si>
    <t>NA</t>
  </si>
  <si>
    <t>通用记录器</t>
  </si>
  <si>
    <t>直流稳压器</t>
  </si>
  <si>
    <t>蓄电池组</t>
  </si>
  <si>
    <t>C类，28V负极在机身部分通过ERN回流；</t>
  </si>
  <si>
    <t>机载GNSS天线</t>
  </si>
  <si>
    <t>ATA34 导航系统</t>
  </si>
  <si>
    <t>VHF天线1</t>
  </si>
  <si>
    <t>3451E02000G200</t>
  </si>
  <si>
    <t>A类</t>
  </si>
  <si>
    <t>10mΩ</t>
  </si>
  <si>
    <t>图纸中参考结构安装面</t>
  </si>
  <si>
    <t>VHF天线2</t>
  </si>
  <si>
    <t>VHF天线3</t>
  </si>
  <si>
    <t>ATA23 通信系统</t>
  </si>
  <si>
    <t>5G ATG机载CPE</t>
  </si>
  <si>
    <t>2393E01000G200</t>
  </si>
  <si>
    <t>客舱-后设备舱右设备架</t>
  </si>
  <si>
    <t>R类</t>
  </si>
  <si>
    <t>功率放大器</t>
  </si>
  <si>
    <t>2393E01000U200</t>
  </si>
  <si>
    <t>搭接线长度：200mm，搭接线孔径：⌀5.6mm</t>
  </si>
  <si>
    <t>5G ATG全向天线</t>
  </si>
  <si>
    <t>电源转换模块</t>
  </si>
  <si>
    <t>C类</t>
  </si>
  <si>
    <t>ATA92 地面网联系统</t>
  </si>
  <si>
    <t>U波段数据链收发组合</t>
  </si>
  <si>
    <t>9260E01000U200</t>
  </si>
  <si>
    <t>数据链机腹全向天线</t>
  </si>
  <si>
    <t>数据链机背全向天线</t>
  </si>
  <si>
    <t>C波段数据链收发组合</t>
  </si>
  <si>
    <t>C波段数据链定向天线</t>
  </si>
  <si>
    <t>音频管理单元1</t>
  </si>
  <si>
    <t>2350E01000G200</t>
  </si>
  <si>
    <t>音频管理单元2</t>
  </si>
  <si>
    <t>音频插孔面板1</t>
  </si>
  <si>
    <t>2350E02000G200</t>
  </si>
  <si>
    <t>驾驶舱-控制面板</t>
  </si>
  <si>
    <t>音频插孔面板2</t>
  </si>
  <si>
    <t>手持话筒1</t>
  </si>
  <si>
    <t>驾驶舱-顶部</t>
  </si>
  <si>
    <t>手持话筒2</t>
  </si>
  <si>
    <t>扬声器1</t>
  </si>
  <si>
    <t>扬声器2</t>
  </si>
  <si>
    <t>后缘型静电放电器1</t>
  </si>
  <si>
    <t>2360E01001G200</t>
  </si>
  <si>
    <t>静电放电器复材底座</t>
  </si>
  <si>
    <t>5MΩ</t>
  </si>
  <si>
    <t>后缘型静电放电器2</t>
  </si>
  <si>
    <t>后缘型静电放电器3</t>
  </si>
  <si>
    <t>后缘型静电放电器4</t>
  </si>
  <si>
    <t>2360E01003G200</t>
  </si>
  <si>
    <t>后缘型静电放电器5</t>
  </si>
  <si>
    <t>后缘型静电放电器6</t>
  </si>
  <si>
    <t>后缘型静电放电器7</t>
  </si>
  <si>
    <t>2360E01005G200</t>
  </si>
  <si>
    <t>尾段-水平尾翼</t>
  </si>
  <si>
    <t>后缘型静电放电器8</t>
  </si>
  <si>
    <t>后缘型静电放电器9</t>
  </si>
  <si>
    <t>后缘型静电放电器10</t>
  </si>
  <si>
    <t>2360E01007G200</t>
  </si>
  <si>
    <t>后缘型静电放电器11</t>
  </si>
  <si>
    <t>后缘型静电放电器12</t>
  </si>
  <si>
    <t>后缘型静电放电器13</t>
  </si>
  <si>
    <t>2360E01009G200</t>
  </si>
  <si>
    <t>尾段-垂直尾翼</t>
  </si>
  <si>
    <t>后缘型静电放电器14</t>
  </si>
  <si>
    <t>后缘型静电放电器15</t>
  </si>
  <si>
    <t>ELT发射器</t>
  </si>
  <si>
    <t>2321E01000G200</t>
  </si>
  <si>
    <t>ELT天线</t>
  </si>
  <si>
    <t>空地数据管理计算机</t>
  </si>
  <si>
    <t>ATA27 飞行控制系统</t>
  </si>
  <si>
    <t>主飞控计算机1</t>
  </si>
  <si>
    <t>2791E01000G200</t>
  </si>
  <si>
    <t>主飞控计算机2</t>
  </si>
  <si>
    <t>主飞控计算机3</t>
  </si>
  <si>
    <t>5325E02117G700.1</t>
  </si>
  <si>
    <t>搭接线长度：200mm；搭接线孔径：⌀6.5mm</t>
  </si>
  <si>
    <t>直接模式速率传感器（DMRS）</t>
  </si>
  <si>
    <t>机翼-中央翼盒</t>
  </si>
  <si>
    <t>5714E03015G700.1</t>
  </si>
  <si>
    <t>马达控制电子1</t>
  </si>
  <si>
    <t>2792E01000G200</t>
  </si>
  <si>
    <t>C类，28V负极通过ERN回流；
R类，壳体线搭接</t>
  </si>
  <si>
    <t>5325E02313G700.7/5325E02315G700.1</t>
  </si>
  <si>
    <t>马达控制电子2</t>
  </si>
  <si>
    <t>5325E02410G700.1</t>
  </si>
  <si>
    <t>马达控制电子3</t>
  </si>
  <si>
    <t>马达控制电子4</t>
  </si>
  <si>
    <t>马达控制电子5</t>
  </si>
  <si>
    <t>马达控制电子6</t>
  </si>
  <si>
    <t>马达控制电子7</t>
  </si>
  <si>
    <t>5325E02335G700.1</t>
  </si>
  <si>
    <t>搭接线长度：260mm；搭接线孔径：⌀4mm</t>
  </si>
  <si>
    <t>马达控制电子8</t>
  </si>
  <si>
    <t>5325E02408G700.1</t>
  </si>
  <si>
    <t>左内侧副翼作动器</t>
  </si>
  <si>
    <t>R类，壳体线搭接</t>
  </si>
  <si>
    <t>5751E08015G700.1</t>
  </si>
  <si>
    <t>搭接线长度:400mm；设备端搭接线孔径：⌀8mm，结构端搭接线孔径⌀6mm</t>
  </si>
  <si>
    <t>左外侧副翼作动器</t>
  </si>
  <si>
    <t>5751E08021G700.1</t>
  </si>
  <si>
    <t>右内侧副翼作动器</t>
  </si>
  <si>
    <t>5751E08016G700.1</t>
  </si>
  <si>
    <t>右外侧副翼作动器</t>
  </si>
  <si>
    <t>5751E08022G700.1</t>
  </si>
  <si>
    <t>左升降舵内侧作动器</t>
  </si>
  <si>
    <t>5512E03005G700.1</t>
  </si>
  <si>
    <t>搭接线长度:420mm；设备端搭接线孔径：⌀8mm，结构端搭接线孔径⌀6mm</t>
  </si>
  <si>
    <t>左升降舵外侧作动器</t>
  </si>
  <si>
    <t>5512E03009G700.1</t>
  </si>
  <si>
    <t>右升降舵内侧作动器</t>
  </si>
  <si>
    <t>5512E03006G700.1</t>
  </si>
  <si>
    <t>右升降舵外侧作动器</t>
  </si>
  <si>
    <t>5512E03010G700.1</t>
  </si>
  <si>
    <t>方向舵上侧作动器</t>
  </si>
  <si>
    <t>5531E03005G700.1</t>
  </si>
  <si>
    <t>搭接线长度:450mm；设备端搭接线孔径：⌀8mm，结构端搭接线孔径⌀6mm</t>
  </si>
  <si>
    <t>方向舵下侧作动器</t>
  </si>
  <si>
    <t>5531E03009G700.1</t>
  </si>
  <si>
    <t>左内襟翼作动器</t>
  </si>
  <si>
    <t>5714E03023G700.1</t>
  </si>
  <si>
    <t>搭接线长度：500mm；搭接线孔径：⌀4mm</t>
  </si>
  <si>
    <t>左外襟翼作动器</t>
  </si>
  <si>
    <t>5751E07007G700.1</t>
  </si>
  <si>
    <t>搭接线长度：900mm；搭接线孔径：⌀4mm</t>
  </si>
  <si>
    <t>右内襟翼作动器</t>
  </si>
  <si>
    <t>5714E03024G700.1</t>
  </si>
  <si>
    <t>右外襟翼作动器</t>
  </si>
  <si>
    <t>5751E07008G700.1</t>
  </si>
  <si>
    <t>位置传感器5</t>
  </si>
  <si>
    <t>位置传感器6</t>
  </si>
  <si>
    <t>位置传感器7</t>
  </si>
  <si>
    <t>位置传感器8</t>
  </si>
  <si>
    <t>位置传感器1</t>
  </si>
  <si>
    <t>位置传感器2</t>
  </si>
  <si>
    <t>位置传感器3</t>
  </si>
  <si>
    <t>位置传感器4</t>
  </si>
  <si>
    <t>左侧杆</t>
  </si>
  <si>
    <t>2711E02000G200</t>
  </si>
  <si>
    <t>2mΩ</t>
  </si>
  <si>
    <t>右侧杆</t>
  </si>
  <si>
    <t>脚蹬单元</t>
  </si>
  <si>
    <t>飞控数据记录器1</t>
  </si>
  <si>
    <t>2791E02000U200</t>
  </si>
  <si>
    <t>面搭接/紧固件搭接</t>
  </si>
  <si>
    <t>5325E02209G700.1</t>
  </si>
  <si>
    <t>否，通过角片线搭接，已定孔位</t>
  </si>
  <si>
    <t>飞控数据记录器2</t>
  </si>
  <si>
    <t>5325E02311G700.1</t>
  </si>
  <si>
    <t>ATA31 指示记录系统</t>
  </si>
  <si>
    <t>机载曲面显示屏</t>
  </si>
  <si>
    <t>3160E01000G200</t>
  </si>
  <si>
    <t xml:space="preserve">5325E01143G700.1 </t>
  </si>
  <si>
    <t>是，共铆需改为两面</t>
  </si>
  <si>
    <t>搭接线长度：500mm，搭接线孔径：⌀4mm</t>
  </si>
  <si>
    <t>机载多功能显示器</t>
  </si>
  <si>
    <t>5325E01143G700.1</t>
  </si>
  <si>
    <t>搭接线长度：300mm，搭接线孔径：⌀4mm</t>
  </si>
  <si>
    <t>区域麦克风（AMP）</t>
  </si>
  <si>
    <t>3130E01000G200</t>
  </si>
  <si>
    <t>5325E01111G700.1</t>
  </si>
  <si>
    <t>三轴加速度计（TAA）</t>
  </si>
  <si>
    <t>大气数据模块1</t>
  </si>
  <si>
    <t>3411E02000G200</t>
  </si>
  <si>
    <t>机头-前附件舱</t>
  </si>
  <si>
    <t>大气数据模块2</t>
  </si>
  <si>
    <t>大气数据模块3</t>
  </si>
  <si>
    <t>大气数据模块4</t>
  </si>
  <si>
    <t>大气数据模块5</t>
  </si>
  <si>
    <t>大气数据模块6</t>
  </si>
  <si>
    <t>大气数据模块7</t>
  </si>
  <si>
    <t>是,支架线搭接进回路网，已定孔位</t>
  </si>
  <si>
    <t>大气数据模块8</t>
  </si>
  <si>
    <t>是,支架线搭接进回路网，已定孔位，5325E01327G701.1</t>
  </si>
  <si>
    <t>大气数据模块9</t>
  </si>
  <si>
    <t>是,支架线搭接进回路网，已定孔位，5325E01328G701.1</t>
  </si>
  <si>
    <t>大气数据计算机1</t>
  </si>
  <si>
    <t>3411E03000G200</t>
  </si>
  <si>
    <t>大气数据计算机2</t>
  </si>
  <si>
    <t>大气数据计算机3</t>
  </si>
  <si>
    <t>总压传感器1</t>
  </si>
  <si>
    <t>3411E01000G200</t>
  </si>
  <si>
    <t>驾驶舱-外部</t>
  </si>
  <si>
    <t>总压传感器2</t>
  </si>
  <si>
    <t>总压传感器3</t>
  </si>
  <si>
    <t>静压传感器1</t>
  </si>
  <si>
    <t>机头-外部</t>
  </si>
  <si>
    <t>静压传感器2</t>
  </si>
  <si>
    <t>静压传感器3</t>
  </si>
  <si>
    <t>静压传感器4</t>
  </si>
  <si>
    <t>静压传感器5</t>
  </si>
  <si>
    <t>静压传感器6</t>
  </si>
  <si>
    <t>攻角传感器1</t>
  </si>
  <si>
    <t>攻角传感器2</t>
  </si>
  <si>
    <t>攻角传感器3</t>
  </si>
  <si>
    <t>侧滑角传感器</t>
  </si>
  <si>
    <t>总温传感器1</t>
  </si>
  <si>
    <t>5386E01467G700.1</t>
  </si>
  <si>
    <t>总温传感器2</t>
  </si>
  <si>
    <t>综合备份仪表</t>
  </si>
  <si>
    <t>3420E01000G200</t>
  </si>
  <si>
    <t>RTK机载接收机1</t>
  </si>
  <si>
    <t>3458E03000U200</t>
  </si>
  <si>
    <t>5326E01381G700.1</t>
  </si>
  <si>
    <t>否，跟试飞协调搭接</t>
  </si>
  <si>
    <t>RTK机载接收机2</t>
  </si>
  <si>
    <t>5326E01383G700.1</t>
  </si>
  <si>
    <t>磁罗盘</t>
  </si>
  <si>
    <t>无线电高度表（RA）收发机1</t>
  </si>
  <si>
    <t>3442E01000G200</t>
  </si>
  <si>
    <t>无线电高度表（RA）收发机2</t>
  </si>
  <si>
    <t>无线电高度表天线1</t>
  </si>
  <si>
    <t>50mΩ</t>
  </si>
  <si>
    <t>无线电高度表天线2</t>
  </si>
  <si>
    <t>无线电高度表天线3</t>
  </si>
  <si>
    <t>无线电高度表天线4</t>
  </si>
  <si>
    <t>惯性基准系统1</t>
  </si>
  <si>
    <t>3443E01000G200</t>
  </si>
  <si>
    <t>5325E02135G700.1</t>
  </si>
  <si>
    <t>惯性基准系统2</t>
  </si>
  <si>
    <t>惯性基准系统3</t>
  </si>
  <si>
    <t>5714E03013G700.1</t>
  </si>
  <si>
    <t>甚高频通信及无线电导航集成设备1</t>
  </si>
  <si>
    <t>3451E01000G200</t>
  </si>
  <si>
    <t>甚高频通信及无线电导航集成设备2</t>
  </si>
  <si>
    <t>5325E02309G700.1</t>
  </si>
  <si>
    <t>LOC/GS天线合路器</t>
  </si>
  <si>
    <t>仪表着陆(LOC/GS)天线1</t>
  </si>
  <si>
    <t>3431E01000G200</t>
  </si>
  <si>
    <t>仪表着陆(LOC/GS)天线2</t>
  </si>
  <si>
    <t>LOC/GS功分器1</t>
  </si>
  <si>
    <t>3431E02000G200</t>
  </si>
  <si>
    <t>LOC/GS功分器2</t>
  </si>
  <si>
    <t>GPS天线1</t>
  </si>
  <si>
    <t>3458E01000G200</t>
  </si>
  <si>
    <t>GPS天线2</t>
  </si>
  <si>
    <t>GNSS射频功分器1</t>
  </si>
  <si>
    <t>3458E02000G200</t>
  </si>
  <si>
    <t>GNSS射频功分器2</t>
  </si>
  <si>
    <t>3459E01000G200</t>
  </si>
  <si>
    <t>应答机</t>
  </si>
  <si>
    <t>3454E01000U200</t>
  </si>
  <si>
    <t>3454E01001U900</t>
  </si>
  <si>
    <t>5325E02131G700.1</t>
  </si>
  <si>
    <t>搭接线长度：150mm，搭接线孔径：⌀6.2mm</t>
  </si>
  <si>
    <t>应答机上天线</t>
  </si>
  <si>
    <t>3454E01003U900</t>
  </si>
  <si>
    <t>应答机下天线</t>
  </si>
  <si>
    <t>气象雷达</t>
  </si>
  <si>
    <t>3440E01000G200</t>
  </si>
  <si>
    <t>机头-雷达舱</t>
  </si>
  <si>
    <t>标准大气校准数据计算机</t>
  </si>
  <si>
    <t>3411E04003U900</t>
  </si>
  <si>
    <t>ATA42 机载处理与网络系统</t>
  </si>
  <si>
    <t>数据接口单元1</t>
  </si>
  <si>
    <t>4240E01000G200</t>
  </si>
  <si>
    <t>数据接口单元2</t>
  </si>
  <si>
    <t>数据接口单元3</t>
  </si>
  <si>
    <t>数据接口单元4</t>
  </si>
  <si>
    <t>数据接口单元5</t>
  </si>
  <si>
    <t>数据接口单元6</t>
  </si>
  <si>
    <t>显控计算机1</t>
  </si>
  <si>
    <t>3160E02000G200</t>
  </si>
  <si>
    <t>搭接线长度：350mm，搭接线孔径：⌀4mm</t>
  </si>
  <si>
    <t>显控计算机2</t>
  </si>
  <si>
    <t>飞机数据网络交换机1</t>
  </si>
  <si>
    <t>4230E01000G200</t>
  </si>
  <si>
    <t>5325E02313G700</t>
  </si>
  <si>
    <t>飞机数据网络交换机2</t>
  </si>
  <si>
    <t>5325E02410G700</t>
  </si>
  <si>
    <t>TSN数据记录器1</t>
  </si>
  <si>
    <t>4230E02000G200</t>
  </si>
  <si>
    <t>5326E01385G700.1</t>
  </si>
  <si>
    <t>TSN数据记录器2</t>
  </si>
  <si>
    <t>ATA45 维护与健康管理系统</t>
  </si>
  <si>
    <t>4552E01000G200</t>
  </si>
  <si>
    <t>5325E02414G700.1</t>
  </si>
  <si>
    <t>结构健康监测光纤传感器1</t>
  </si>
  <si>
    <t>4552E02001G900</t>
  </si>
  <si>
    <t>结构健康监测光纤传感器2</t>
  </si>
  <si>
    <t>结构健康监测光纤传感器3</t>
  </si>
  <si>
    <t>结构健康监测光纤传感器4</t>
  </si>
  <si>
    <t>结构健康监测光纤传感器5</t>
  </si>
  <si>
    <t>结构健康监测光纤传感器6</t>
  </si>
  <si>
    <t>结构健康监测光纤传感器7</t>
  </si>
  <si>
    <t>结构健康监测光纤传感器8</t>
  </si>
  <si>
    <t>结构健康监测光纤传感器9</t>
  </si>
  <si>
    <t>结构健康监测光纤传感器10</t>
  </si>
  <si>
    <t>结构健康监测光纤传感器11</t>
  </si>
  <si>
    <t>结构健康监测光纤传感器12</t>
  </si>
  <si>
    <t>结构健康监测光纤传感器13</t>
  </si>
  <si>
    <t>结构健康监测光纤传感器14</t>
  </si>
  <si>
    <t>结构健康监测光纤传感器15</t>
  </si>
  <si>
    <t>结构健康监测光纤传感器16</t>
  </si>
  <si>
    <t>ATA46 信息系统</t>
  </si>
  <si>
    <t>视频服务单元1</t>
  </si>
  <si>
    <t>4651E01000G200</t>
  </si>
  <si>
    <t>5325E02339G700.1</t>
  </si>
  <si>
    <t>视频服务单元2</t>
  </si>
  <si>
    <t>跑道监视摄像头</t>
  </si>
  <si>
    <t>4651E02000G200</t>
  </si>
  <si>
    <t>驾驶舱摄像头</t>
  </si>
  <si>
    <t>4651E02001G900</t>
  </si>
  <si>
    <t>4610E01000G200</t>
  </si>
  <si>
    <t>5325E02313G700.1</t>
  </si>
  <si>
    <t>驾驶舱机组无线通信单元</t>
  </si>
  <si>
    <t>机身上表面摄像头</t>
  </si>
  <si>
    <t>4651E02000U200</t>
  </si>
  <si>
    <t>后左起落架摄像头</t>
  </si>
  <si>
    <t>正下方视野摄像头</t>
  </si>
  <si>
    <t>下机身后段-外部</t>
  </si>
  <si>
    <t>右电涵道摄像头</t>
  </si>
  <si>
    <t>左电涵道摄像头</t>
  </si>
  <si>
    <t>正前方视野摄像头</t>
  </si>
  <si>
    <t>垂尾平尾摄像头</t>
  </si>
  <si>
    <t>前起落架摄像头</t>
  </si>
  <si>
    <t>后右起落架摄像头</t>
  </si>
  <si>
    <t>ATA90 自主飞行系统</t>
  </si>
  <si>
    <t>视觉传感器/相机1</t>
  </si>
  <si>
    <t>9013E01000G200</t>
  </si>
  <si>
    <t>5322E05001G700.1</t>
  </si>
  <si>
    <t>视觉传感器/相机2</t>
  </si>
  <si>
    <t>视觉传感器/相机3</t>
  </si>
  <si>
    <t>视觉传感器/相机4</t>
  </si>
  <si>
    <t>视觉辅助计算机</t>
  </si>
  <si>
    <t>9011E01000G200</t>
  </si>
  <si>
    <t>5325E02229G700.1</t>
  </si>
  <si>
    <t>ATA21 空调系统</t>
  </si>
  <si>
    <t>应急冲压风门</t>
  </si>
  <si>
    <t>L类</t>
  </si>
  <si>
    <r>
      <rPr>
        <sz val="10.5"/>
        <color theme="1"/>
        <rFont val="Calibri"/>
        <charset val="134"/>
      </rPr>
      <t>10m</t>
    </r>
    <r>
      <rPr>
        <sz val="10.5"/>
        <color theme="1"/>
        <rFont val="宋体"/>
        <charset val="134"/>
      </rPr>
      <t>Ω</t>
    </r>
  </si>
  <si>
    <t>应急冲压风扇</t>
  </si>
  <si>
    <t>5362E33004G700</t>
  </si>
  <si>
    <t>2121E02003G900</t>
  </si>
  <si>
    <t>8841E02045G700</t>
  </si>
  <si>
    <t>客舱过滤器</t>
  </si>
  <si>
    <t>2170E03001G900</t>
  </si>
  <si>
    <t>混合腔</t>
  </si>
  <si>
    <t>2121E01001G900</t>
  </si>
  <si>
    <t>混合腔接应急冲压风扇管路</t>
  </si>
  <si>
    <t>2121E01003G900</t>
  </si>
  <si>
    <t>混合腔接再循环风扇管路</t>
  </si>
  <si>
    <t>2121E01005G900</t>
  </si>
  <si>
    <t>混合腔接客舱供气管路</t>
  </si>
  <si>
    <t>2121E01007G900</t>
  </si>
  <si>
    <t>TSe1（温度传感器）</t>
  </si>
  <si>
    <t>2180E01001U900连接通风系统控制器接地</t>
  </si>
  <si>
    <t>TSe2（温度传感器）</t>
  </si>
  <si>
    <t>TS1（温度传感器）</t>
  </si>
  <si>
    <t>TS3（温度传感器）</t>
  </si>
  <si>
    <t>TS4（温度传感器）</t>
  </si>
  <si>
    <t>PSv（压力传感器）</t>
  </si>
  <si>
    <t>2100E03000G900</t>
  </si>
  <si>
    <t>CED1（冷却效果探测器-流量）</t>
  </si>
  <si>
    <t>连接电源电流回路接地</t>
  </si>
  <si>
    <t>CED2（冷却效果探测器-流量）</t>
  </si>
  <si>
    <t>驾驶舱送风管路</t>
  </si>
  <si>
    <t>客舱送风管路</t>
  </si>
  <si>
    <t>前设备架送风管路</t>
  </si>
  <si>
    <t>设备舱送风管路</t>
  </si>
  <si>
    <t>2125E01001G900</t>
  </si>
  <si>
    <t>2121E02001G900</t>
  </si>
  <si>
    <t>通风系统上机件控制器A</t>
  </si>
  <si>
    <t>2160E01000U200</t>
  </si>
  <si>
    <t>2180E01001U900</t>
  </si>
  <si>
    <t>5325E02337G700</t>
  </si>
  <si>
    <t>通风系统上机件控制器B</t>
  </si>
  <si>
    <t>5325E02331G700</t>
  </si>
  <si>
    <t>ATA30 防除冰和除雨</t>
  </si>
  <si>
    <t>左翼加热组件1（5个）</t>
  </si>
  <si>
    <t>5743E01101G700</t>
  </si>
  <si>
    <t>左翼加热组件2（4个）</t>
  </si>
  <si>
    <t>5742E01101G700</t>
  </si>
  <si>
    <t>左翼加热组件3（1个）</t>
  </si>
  <si>
    <t>5741E01101G700</t>
  </si>
  <si>
    <t>右翼加热组件1（1个）</t>
  </si>
  <si>
    <t>5741E01102G700</t>
  </si>
  <si>
    <t>右翼加热组件2（4个）</t>
  </si>
  <si>
    <t>5742E01102G700</t>
  </si>
  <si>
    <t>右翼加热组件3（5个）</t>
  </si>
  <si>
    <t>5743E01102G700</t>
  </si>
  <si>
    <t>防除冰控制器1</t>
  </si>
  <si>
    <t>3010E03001G900</t>
  </si>
  <si>
    <t>5714E03037G700.1</t>
  </si>
  <si>
    <t>防除冰控制器2</t>
  </si>
  <si>
    <t>3010E04001G900</t>
  </si>
  <si>
    <t>5714E03037G700.2</t>
  </si>
  <si>
    <t>结冰探测器1</t>
  </si>
  <si>
    <t>3080E01000G200</t>
  </si>
  <si>
    <t>未确定</t>
  </si>
  <si>
    <t>结冰探测器2</t>
  </si>
  <si>
    <t>结冰探测棒</t>
  </si>
  <si>
    <t>风挡加热控制器1</t>
  </si>
  <si>
    <t>3040E01000G200</t>
  </si>
  <si>
    <t>5235E02105G700.3</t>
  </si>
  <si>
    <t>风挡加热控制器2</t>
  </si>
  <si>
    <t>5235E02213G700.1</t>
  </si>
  <si>
    <t>风挡雨刷马达1（含控制器）</t>
  </si>
  <si>
    <t>3040E02000G200</t>
  </si>
  <si>
    <t>风挡雨刷马达2（含控制器）</t>
  </si>
  <si>
    <t>风挡清洗罐</t>
  </si>
  <si>
    <t>3040E03000G200</t>
  </si>
  <si>
    <t>3040E03001G900</t>
  </si>
  <si>
    <t>喷嘴1</t>
  </si>
  <si>
    <t>3040E03003G900</t>
  </si>
  <si>
    <t>喷嘴2</t>
  </si>
  <si>
    <t>左侧风挡玻璃及其加热模块组件</t>
  </si>
  <si>
    <t>右侧风挡玻璃及其加热模块组件</t>
  </si>
  <si>
    <t>ATA52 舱门</t>
  </si>
  <si>
    <t>舱门控制系统控制器</t>
  </si>
  <si>
    <t>5231E01000G200</t>
  </si>
  <si>
    <t>搭接线长度：260mm；搭接线孔径：⌀5mm</t>
  </si>
  <si>
    <t>登机门飞行锁上锁传感器</t>
  </si>
  <si>
    <t>客舱-登机门</t>
  </si>
  <si>
    <t>登机门飞行锁解锁传感器</t>
  </si>
  <si>
    <t>登机门上闩传感器</t>
  </si>
  <si>
    <t>登机门上锁传感器</t>
  </si>
  <si>
    <t>5231E10000G900</t>
  </si>
  <si>
    <t>登机门关闭传感器</t>
  </si>
  <si>
    <t>登机门飞行锁</t>
  </si>
  <si>
    <t>登机门控制面板</t>
  </si>
  <si>
    <t>5233E02000G200</t>
  </si>
  <si>
    <t>ATA32 起落架系统</t>
  </si>
  <si>
    <t>左主起落架支柱组件</t>
  </si>
  <si>
    <t>3210E11101G200</t>
  </si>
  <si>
    <t>3210E11101G400</t>
  </si>
  <si>
    <t>CPS1330</t>
  </si>
  <si>
    <t>90mΩ</t>
  </si>
  <si>
    <t>右主起落架支柱组件</t>
  </si>
  <si>
    <t>3210E11102G200</t>
  </si>
  <si>
    <t>3210E11102G400</t>
  </si>
  <si>
    <t>左主起落架舱门机构组件</t>
  </si>
  <si>
    <t>3210E00000G200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</si>
  <si>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PS1330</t>
    </r>
  </si>
  <si>
    <t>右主起落架舱门机构组件</t>
  </si>
  <si>
    <t>左主起落架侧撑杆组件</t>
  </si>
  <si>
    <t>3210E13000G400</t>
  </si>
  <si>
    <t>右主起落架侧撑杆组件</t>
  </si>
  <si>
    <t>左主起落架锁连杆组件</t>
  </si>
  <si>
    <t>3210E14001G400</t>
  </si>
  <si>
    <t>右主起落架锁连杆组件</t>
  </si>
  <si>
    <t>3210E14002G400</t>
  </si>
  <si>
    <t>左主起落架锁前弹簧组件</t>
  </si>
  <si>
    <t>3210E15000G400</t>
  </si>
  <si>
    <t>左主起落架锁后弹簧组件</t>
  </si>
  <si>
    <t>右主起落架锁前弹簧组件</t>
  </si>
  <si>
    <t>右主起落架锁后弹簧组件</t>
  </si>
  <si>
    <t>左主起落架收放作动筒</t>
  </si>
  <si>
    <t>100mΩ</t>
  </si>
  <si>
    <t>右主起落架收放作动筒</t>
  </si>
  <si>
    <t>左主起EHM</t>
  </si>
  <si>
    <t>3230E00000G200</t>
  </si>
  <si>
    <t>右主起EHM</t>
  </si>
  <si>
    <t>左主起落架上位锁</t>
  </si>
  <si>
    <t>7.5mΩ</t>
  </si>
  <si>
    <t>右主起落架上位锁</t>
  </si>
  <si>
    <t>前起缓冲支柱组件</t>
  </si>
  <si>
    <t>3220E00000G200</t>
  </si>
  <si>
    <t>前起阻力杆组件</t>
  </si>
  <si>
    <t>前起锁连杆组件</t>
  </si>
  <si>
    <t>前起舱门机构组件</t>
  </si>
  <si>
    <t>前起收放作动筒</t>
  </si>
  <si>
    <t>前起开锁作动筒</t>
  </si>
  <si>
    <t>前起备份放开锁作动装置</t>
  </si>
  <si>
    <t>前起EHM</t>
  </si>
  <si>
    <t>前起EHM控制器</t>
  </si>
  <si>
    <t>5386E01487G700（5386E01000G200）</t>
  </si>
  <si>
    <t>左主起EHM控制器</t>
  </si>
  <si>
    <t>5714E03035G700（5714E03001G200）</t>
  </si>
  <si>
    <t>右主起EHM控制器</t>
  </si>
  <si>
    <t>前起位置指示传感器1</t>
  </si>
  <si>
    <t>3260E00000G200</t>
  </si>
  <si>
    <t>前起位置指示传感器2</t>
  </si>
  <si>
    <t>收放控制单元1</t>
  </si>
  <si>
    <t>CPS1330设备壳体-托架-机体支架面面搭接</t>
  </si>
  <si>
    <t>5325E02123G700（5325E02100G200）</t>
  </si>
  <si>
    <t>收放控制单元2</t>
  </si>
  <si>
    <t>5325E02325G700（5325E02300G200）</t>
  </si>
  <si>
    <t>左座转弯手轮</t>
  </si>
  <si>
    <t>3250E00000G200</t>
  </si>
  <si>
    <t>CPS1330壳体面面搭接</t>
  </si>
  <si>
    <t>5325E01321G700（5325E01301G200）</t>
  </si>
  <si>
    <t>右座转弯手轮</t>
  </si>
  <si>
    <t>5325E01322G700（5325E01302G200）</t>
  </si>
  <si>
    <t>转弯控制单元</t>
  </si>
  <si>
    <t>CPS1330搭接线</t>
  </si>
  <si>
    <t>5386E01475G700（5386E01000G200）</t>
  </si>
  <si>
    <t>左座脚蹬传感器1</t>
  </si>
  <si>
    <t>3240E00000G200</t>
  </si>
  <si>
    <t>左座脚蹬传感器2</t>
  </si>
  <si>
    <t>右座脚蹬传感器1</t>
  </si>
  <si>
    <t>右座脚蹬传感器2</t>
  </si>
  <si>
    <t>外侧EMA控制器1</t>
  </si>
  <si>
    <t>把手侧5714E03011G700（5714E03001G200）</t>
  </si>
  <si>
    <t>外侧EMA控制器2</t>
  </si>
  <si>
    <t>内侧EMA控制器1</t>
  </si>
  <si>
    <t>内侧EMA控制器2</t>
  </si>
  <si>
    <t>刹车控制监视单元</t>
  </si>
  <si>
    <t xml:space="preserve">5325E02103G700、5325E021019G700（5325E02100G200）
</t>
  </si>
  <si>
    <t>备份刹车控制单元</t>
  </si>
  <si>
    <t>5325E02313G700、5325E02313G700（5325E02300G200）</t>
  </si>
  <si>
    <t>左主起落架摇臂组件</t>
  </si>
  <si>
    <t>3210E11200G400</t>
  </si>
  <si>
    <t>右主起落架摇臂组件</t>
  </si>
  <si>
    <t>左主起落架缓冲器组件</t>
  </si>
  <si>
    <t>3210E11300G400</t>
  </si>
  <si>
    <t>右主起落架缓冲器组件</t>
  </si>
  <si>
    <t>左主起落架下位锁开锁作动筒</t>
  </si>
  <si>
    <t>右主起落架下位锁开锁作动筒</t>
  </si>
  <si>
    <t>左主起轮载传感器1</t>
  </si>
  <si>
    <t>左主起轮载传感器2</t>
  </si>
  <si>
    <t>左主起放下传感器1</t>
  </si>
  <si>
    <t>左主起放下传感器2</t>
  </si>
  <si>
    <t>右主起轮载传感器1</t>
  </si>
  <si>
    <t>右主起轮载传感器2</t>
  </si>
  <si>
    <t>右主起放下传感器1</t>
  </si>
  <si>
    <t>右主起放下传感器2</t>
  </si>
  <si>
    <t>前起轮载传感器1</t>
  </si>
  <si>
    <t>前起轮载传感器2</t>
  </si>
  <si>
    <t>前起锁连杆锁定传感器1</t>
  </si>
  <si>
    <t>前起锁连杆锁定传感器2</t>
  </si>
  <si>
    <t>备份放继电器1</t>
  </si>
  <si>
    <t>5325E02143G700（5325E0200G700）</t>
  </si>
  <si>
    <t>备份放继电器2</t>
  </si>
  <si>
    <t>备份放继电器3</t>
  </si>
  <si>
    <t>转弯舵机</t>
  </si>
  <si>
    <t>CPS1330，设备壳体面面搭接</t>
  </si>
  <si>
    <t>3221E10001G700</t>
  </si>
  <si>
    <t>牵引指示盒</t>
  </si>
  <si>
    <t>CPS1331，设备壳体面面搭接</t>
  </si>
  <si>
    <t>3221E10001G701</t>
  </si>
  <si>
    <t>左外机轮刹车装置</t>
  </si>
  <si>
    <t>左内机轮刹车装置</t>
  </si>
  <si>
    <t>右内机轮刹车装置</t>
  </si>
  <si>
    <t>右外机轮刹车装置</t>
  </si>
  <si>
    <t>前左机轮</t>
  </si>
  <si>
    <t>前右机轮</t>
  </si>
  <si>
    <t>左外刹车温度传感器</t>
  </si>
  <si>
    <t>左内刹车温度传感器</t>
  </si>
  <si>
    <t>右内刹车温度传感器</t>
  </si>
  <si>
    <t>右外刹车温度传感器</t>
  </si>
  <si>
    <t>左外胎压传感器</t>
  </si>
  <si>
    <t>CDS2001</t>
  </si>
  <si>
    <t>3210E11203G700</t>
  </si>
  <si>
    <t>左内胎压传感器</t>
  </si>
  <si>
    <t>右外胎压传感器</t>
  </si>
  <si>
    <t>右内胎压传感器</t>
  </si>
  <si>
    <t>左外轮轴内适配器</t>
  </si>
  <si>
    <t>左内轮轴内适配器</t>
  </si>
  <si>
    <t>右内轮轴内适配器</t>
  </si>
  <si>
    <t>右外轮轴内适配器</t>
  </si>
  <si>
    <t>左外主轮轮毂盖</t>
  </si>
  <si>
    <t>左内主轮轮毂盖</t>
  </si>
  <si>
    <t>右内主轮轮毂盖</t>
  </si>
  <si>
    <t>右外主轮轮毂盖</t>
  </si>
  <si>
    <t>起落架收放管路</t>
  </si>
  <si>
    <t>ATA25 设备/装饰</t>
  </si>
  <si>
    <t>推力手柄</t>
  </si>
  <si>
    <t>2519E04000G200</t>
  </si>
  <si>
    <t>中央操纵台控制板</t>
  </si>
  <si>
    <t>2519E01000G200</t>
  </si>
  <si>
    <t>S类，面搭接</t>
  </si>
  <si>
    <t>20mΩ</t>
  </si>
  <si>
    <t>5325E01211G700</t>
  </si>
  <si>
    <t>应急控制板</t>
  </si>
  <si>
    <t>2519E02000G200</t>
  </si>
  <si>
    <t>5325E01111G700</t>
  </si>
  <si>
    <t>电源控制板</t>
  </si>
  <si>
    <t>2519E03000G200</t>
  </si>
  <si>
    <t>驾驶员座椅左</t>
  </si>
  <si>
    <t>2514E01000G200</t>
  </si>
  <si>
    <t>驾驶员座椅右</t>
  </si>
  <si>
    <t>2514E02000G200</t>
  </si>
  <si>
    <t>左侧操纵台</t>
  </si>
  <si>
    <t>右侧操纵台</t>
  </si>
  <si>
    <t>左侧操纵台支架</t>
  </si>
  <si>
    <t>右侧操纵台支架</t>
  </si>
  <si>
    <t>遮阳板</t>
  </si>
  <si>
    <t>2511E12000G200</t>
  </si>
  <si>
    <t>目视定位仪</t>
  </si>
  <si>
    <t>2511E13000G200</t>
  </si>
  <si>
    <t>驾驶员辅助手柄</t>
  </si>
  <si>
    <t>2511E14000G200</t>
  </si>
  <si>
    <t>驾驶舱门</t>
  </si>
  <si>
    <t>驾驶舱地板覆盖物</t>
  </si>
  <si>
    <t>2511E16000G200</t>
  </si>
  <si>
    <t>驾驶舱标记标牌</t>
  </si>
  <si>
    <t>2511E18000G200</t>
  </si>
  <si>
    <t>ATA33 照明系统</t>
  </si>
  <si>
    <t>驾驶舱顶灯</t>
  </si>
  <si>
    <t>3310E01000G200</t>
  </si>
  <si>
    <t>地板灯1</t>
  </si>
  <si>
    <t>地板灯2</t>
  </si>
  <si>
    <t>脚蹬灯1</t>
  </si>
  <si>
    <t>脚蹬灯2</t>
  </si>
  <si>
    <t>左右操纵台泛光灯1</t>
  </si>
  <si>
    <t>左右操纵台泛光灯2</t>
  </si>
  <si>
    <t>驾驶舱灯具调光控制盒</t>
  </si>
  <si>
    <t>3310E02000G200</t>
  </si>
  <si>
    <t>驾驶员阅读灯1</t>
  </si>
  <si>
    <t>驾驶员阅读灯2</t>
  </si>
  <si>
    <t>白光航行灯（垂尾）</t>
  </si>
  <si>
    <t>红光航行灯（左翼尖）</t>
  </si>
  <si>
    <t>机翼-机翼外部</t>
  </si>
  <si>
    <t>绿光航行灯（右翼尖）</t>
  </si>
  <si>
    <t>上红光防撞灯</t>
  </si>
  <si>
    <t>3346E01001G200</t>
  </si>
  <si>
    <t>0.1Ω</t>
  </si>
  <si>
    <t>下红光防撞灯</t>
  </si>
  <si>
    <t>3346E01003G200</t>
  </si>
  <si>
    <t>左白光防撞灯</t>
  </si>
  <si>
    <t>右白光防撞灯</t>
  </si>
  <si>
    <t>后白光防撞灯1</t>
  </si>
  <si>
    <t>3345E01003G200</t>
  </si>
  <si>
    <t>后白光防撞灯2</t>
  </si>
  <si>
    <t>3345E01004G200</t>
  </si>
  <si>
    <t>左翼根着陆灯1</t>
  </si>
  <si>
    <t>右翼根着陆灯1</t>
  </si>
  <si>
    <t>左翼根着陆灯2</t>
  </si>
  <si>
    <t>右翼根着陆灯2</t>
  </si>
  <si>
    <t>左滑行灯</t>
  </si>
  <si>
    <t>3342E01000G200</t>
  </si>
  <si>
    <t>右滑行灯</t>
  </si>
  <si>
    <r>
      <rPr>
        <b/>
        <sz val="36"/>
        <color rgb="FF000000"/>
        <rFont val="宋体"/>
        <charset val="134"/>
      </rPr>
      <t>筛选</t>
    </r>
    <r>
      <rPr>
        <b/>
        <sz val="36"/>
        <color rgb="FFFF0000"/>
        <rFont val="宋体"/>
        <charset val="134"/>
      </rPr>
      <t>【请勿】</t>
    </r>
    <r>
      <rPr>
        <b/>
        <sz val="36"/>
        <color rgb="FF000000"/>
        <rFont val="宋体"/>
        <charset val="134"/>
      </rPr>
      <t xml:space="preserve">对所有人可见
</t>
    </r>
  </si>
  <si>
    <r>
      <rPr>
        <b/>
        <sz val="36"/>
        <color rgb="FF000000"/>
        <rFont val="宋体"/>
        <charset val="134"/>
      </rPr>
      <t>显示不全请先</t>
    </r>
    <r>
      <rPr>
        <b/>
        <sz val="36"/>
        <color rgb="FFFF0000"/>
        <rFont val="宋体"/>
        <charset val="134"/>
      </rPr>
      <t>【取消】</t>
    </r>
    <r>
      <rPr>
        <b/>
        <sz val="36"/>
        <color rgb="FF000000"/>
        <rFont val="宋体"/>
        <charset val="134"/>
      </rPr>
      <t>筛选</t>
    </r>
  </si>
  <si>
    <t>标绿色设备为原先0号机首飞构型</t>
  </si>
  <si>
    <r>
      <rPr>
        <b/>
        <sz val="36"/>
        <color rgb="FF000000"/>
        <rFont val="宋体"/>
        <charset val="134"/>
      </rPr>
      <t>安装方式下拉选择，选择托架需填写sheet3</t>
    </r>
    <r>
      <rPr>
        <b/>
        <sz val="36"/>
        <color rgb="FFFF0000"/>
        <rFont val="宋体"/>
        <charset val="134"/>
      </rPr>
      <t>托架信息表</t>
    </r>
  </si>
  <si>
    <t>统计</t>
  </si>
  <si>
    <t>和原全构型对比</t>
  </si>
  <si>
    <r>
      <rPr>
        <sz val="12"/>
        <color theme="1"/>
        <rFont val="Times New Roman"/>
        <charset val="134"/>
      </rPr>
      <t xml:space="preserve">EATA11 </t>
    </r>
    <r>
      <rPr>
        <sz val="12"/>
        <color theme="1"/>
        <rFont val="宋体"/>
        <charset val="134"/>
      </rPr>
      <t>标牌与标识</t>
    </r>
  </si>
  <si>
    <t>EATA11 标牌与标识</t>
  </si>
  <si>
    <r>
      <rPr>
        <sz val="12"/>
        <color theme="1"/>
        <rFont val="Times New Roman"/>
        <charset val="134"/>
      </rPr>
      <t xml:space="preserve">EATA21 </t>
    </r>
    <r>
      <rPr>
        <sz val="12"/>
        <color theme="1"/>
        <rFont val="宋体"/>
        <charset val="134"/>
      </rPr>
      <t>空调系统</t>
    </r>
  </si>
  <si>
    <t>EATA21 空调系统</t>
  </si>
  <si>
    <r>
      <rPr>
        <sz val="12"/>
        <color theme="1"/>
        <rFont val="Times New Roman"/>
        <charset val="134"/>
      </rPr>
      <t xml:space="preserve">EATA23 </t>
    </r>
    <r>
      <rPr>
        <sz val="12"/>
        <color theme="1"/>
        <rFont val="宋体"/>
        <charset val="134"/>
      </rPr>
      <t>通信系统</t>
    </r>
  </si>
  <si>
    <t>EATA23 通信系统</t>
  </si>
  <si>
    <r>
      <rPr>
        <sz val="12"/>
        <color theme="1"/>
        <rFont val="Times New Roman"/>
        <charset val="134"/>
      </rPr>
      <t xml:space="preserve">EATA24 </t>
    </r>
    <r>
      <rPr>
        <sz val="12"/>
        <color theme="1"/>
        <rFont val="宋体"/>
        <charset val="134"/>
      </rPr>
      <t>电源系统</t>
    </r>
  </si>
  <si>
    <t>EATA24 电源系统</t>
  </si>
  <si>
    <r>
      <rPr>
        <sz val="12"/>
        <color theme="1"/>
        <rFont val="Times New Roman"/>
        <charset val="134"/>
      </rPr>
      <t xml:space="preserve">EATA25 </t>
    </r>
    <r>
      <rPr>
        <sz val="12"/>
        <color theme="1"/>
        <rFont val="宋体"/>
        <charset val="134"/>
      </rPr>
      <t>设备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装饰</t>
    </r>
  </si>
  <si>
    <t>EATA25 设备/装饰</t>
  </si>
  <si>
    <r>
      <rPr>
        <sz val="12"/>
        <color theme="1"/>
        <rFont val="Times New Roman"/>
        <charset val="134"/>
      </rPr>
      <t xml:space="preserve">EATA26 </t>
    </r>
    <r>
      <rPr>
        <sz val="12"/>
        <color theme="1"/>
        <rFont val="宋体"/>
        <charset val="134"/>
      </rPr>
      <t>防火</t>
    </r>
  </si>
  <si>
    <t>EATA26 防火</t>
  </si>
  <si>
    <r>
      <rPr>
        <sz val="12"/>
        <color theme="1"/>
        <rFont val="Times New Roman"/>
        <charset val="134"/>
      </rPr>
      <t xml:space="preserve">EATA27 </t>
    </r>
    <r>
      <rPr>
        <sz val="12"/>
        <color theme="1"/>
        <rFont val="宋体"/>
        <charset val="134"/>
      </rPr>
      <t>飞行控制系统</t>
    </r>
  </si>
  <si>
    <t>EATA27 飞行控制系统</t>
  </si>
  <si>
    <r>
      <rPr>
        <sz val="12"/>
        <color theme="1"/>
        <rFont val="Times New Roman"/>
        <charset val="134"/>
      </rPr>
      <t xml:space="preserve">EATA30 </t>
    </r>
    <r>
      <rPr>
        <sz val="12"/>
        <color theme="1"/>
        <rFont val="宋体"/>
        <charset val="134"/>
      </rPr>
      <t>防除冰和除雨</t>
    </r>
  </si>
  <si>
    <t>EATA30 防除冰和除雨</t>
  </si>
  <si>
    <r>
      <rPr>
        <sz val="12"/>
        <color theme="1"/>
        <rFont val="Times New Roman"/>
        <charset val="134"/>
      </rPr>
      <t xml:space="preserve">EATA31 </t>
    </r>
    <r>
      <rPr>
        <sz val="12"/>
        <color theme="1"/>
        <rFont val="宋体"/>
        <charset val="134"/>
      </rPr>
      <t>指示记录系统</t>
    </r>
  </si>
  <si>
    <t>EATA31 指示记录系统</t>
  </si>
  <si>
    <r>
      <rPr>
        <sz val="12"/>
        <color theme="1"/>
        <rFont val="Times New Roman"/>
        <charset val="134"/>
      </rPr>
      <t xml:space="preserve">EATA32 </t>
    </r>
    <r>
      <rPr>
        <sz val="12"/>
        <color theme="1"/>
        <rFont val="宋体"/>
        <charset val="134"/>
      </rPr>
      <t>起落架系统</t>
    </r>
  </si>
  <si>
    <t>EATA32 起落架系统</t>
  </si>
  <si>
    <r>
      <rPr>
        <sz val="12"/>
        <color theme="1"/>
        <rFont val="Times New Roman"/>
        <charset val="134"/>
      </rPr>
      <t xml:space="preserve">EATA33 </t>
    </r>
    <r>
      <rPr>
        <sz val="12"/>
        <color theme="1"/>
        <rFont val="宋体"/>
        <charset val="134"/>
      </rPr>
      <t>照明系统</t>
    </r>
  </si>
  <si>
    <t>EATA33 照明系统</t>
  </si>
  <si>
    <r>
      <rPr>
        <sz val="12"/>
        <color theme="1"/>
        <rFont val="Times New Roman"/>
        <charset val="134"/>
      </rPr>
      <t xml:space="preserve">EATA34 </t>
    </r>
    <r>
      <rPr>
        <sz val="12"/>
        <color theme="1"/>
        <rFont val="宋体"/>
        <charset val="134"/>
      </rPr>
      <t>导航系统</t>
    </r>
  </si>
  <si>
    <t>EATA34 导航系统</t>
  </si>
  <si>
    <r>
      <rPr>
        <sz val="12"/>
        <color theme="1"/>
        <rFont val="Times New Roman"/>
        <charset val="134"/>
      </rPr>
      <t xml:space="preserve">EATA35 </t>
    </r>
    <r>
      <rPr>
        <sz val="12"/>
        <color theme="1"/>
        <rFont val="宋体"/>
        <charset val="134"/>
      </rPr>
      <t>氧气</t>
    </r>
  </si>
  <si>
    <t>EATA35 氧气</t>
  </si>
  <si>
    <r>
      <rPr>
        <sz val="12"/>
        <color theme="1"/>
        <rFont val="Times New Roman"/>
        <charset val="134"/>
      </rPr>
      <t xml:space="preserve">EATA38 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废水</t>
    </r>
  </si>
  <si>
    <t>EATA38 水/废水</t>
  </si>
  <si>
    <r>
      <rPr>
        <sz val="12"/>
        <color theme="1"/>
        <rFont val="Times New Roman"/>
        <charset val="134"/>
      </rPr>
      <t xml:space="preserve">EATA42 </t>
    </r>
    <r>
      <rPr>
        <sz val="12"/>
        <color theme="1"/>
        <rFont val="宋体"/>
        <charset val="134"/>
      </rPr>
      <t>机载处理与网络系统</t>
    </r>
  </si>
  <si>
    <t>EATA42 机载处理与网络系统</t>
  </si>
  <si>
    <r>
      <rPr>
        <sz val="12"/>
        <color theme="1"/>
        <rFont val="Times New Roman"/>
        <charset val="134"/>
      </rPr>
      <t xml:space="preserve">EATA44 </t>
    </r>
    <r>
      <rPr>
        <sz val="12"/>
        <color theme="1"/>
        <rFont val="宋体"/>
        <charset val="134"/>
      </rPr>
      <t>客舱系统</t>
    </r>
  </si>
  <si>
    <t>EATA44 客舱系统</t>
  </si>
  <si>
    <r>
      <rPr>
        <sz val="12"/>
        <color theme="1"/>
        <rFont val="Times New Roman"/>
        <charset val="134"/>
      </rPr>
      <t xml:space="preserve">EATA45 </t>
    </r>
    <r>
      <rPr>
        <sz val="12"/>
        <color theme="1"/>
        <rFont val="宋体"/>
        <charset val="134"/>
      </rPr>
      <t>维护与健康管理系统</t>
    </r>
  </si>
  <si>
    <t>EATA45 维护与健康管理系统</t>
  </si>
  <si>
    <r>
      <rPr>
        <sz val="12"/>
        <color theme="1"/>
        <rFont val="Times New Roman"/>
        <charset val="134"/>
      </rPr>
      <t xml:space="preserve">EATA46 </t>
    </r>
    <r>
      <rPr>
        <sz val="12"/>
        <color theme="1"/>
        <rFont val="宋体"/>
        <charset val="134"/>
      </rPr>
      <t>信息系统</t>
    </r>
  </si>
  <si>
    <t>EATA46 信息系统</t>
  </si>
  <si>
    <r>
      <rPr>
        <sz val="12"/>
        <color theme="1"/>
        <rFont val="Times New Roman"/>
        <charset val="134"/>
      </rPr>
      <t xml:space="preserve">EATA52 </t>
    </r>
    <r>
      <rPr>
        <sz val="12"/>
        <color theme="1"/>
        <rFont val="宋体"/>
        <charset val="134"/>
      </rPr>
      <t>舱门</t>
    </r>
  </si>
  <si>
    <t>EATA52 舱门</t>
  </si>
  <si>
    <r>
      <rPr>
        <sz val="12"/>
        <color theme="1"/>
        <rFont val="Times New Roman"/>
        <charset val="134"/>
      </rPr>
      <t xml:space="preserve">EATA86 </t>
    </r>
    <r>
      <rPr>
        <sz val="12"/>
        <color theme="1"/>
        <rFont val="宋体"/>
        <charset val="134"/>
      </rPr>
      <t>电推进系统</t>
    </r>
  </si>
  <si>
    <t>EATA86 电推进系统</t>
  </si>
  <si>
    <r>
      <rPr>
        <sz val="12"/>
        <color theme="1"/>
        <rFont val="Times New Roman"/>
        <charset val="134"/>
      </rPr>
      <t xml:space="preserve">EATA87 </t>
    </r>
    <r>
      <rPr>
        <sz val="12"/>
        <color theme="1"/>
        <rFont val="宋体"/>
        <charset val="134"/>
      </rPr>
      <t>试飞改装</t>
    </r>
  </si>
  <si>
    <t>EATA87 试飞改装</t>
  </si>
  <si>
    <r>
      <rPr>
        <sz val="12"/>
        <color theme="1"/>
        <rFont val="Times New Roman"/>
        <charset val="134"/>
      </rPr>
      <t xml:space="preserve">EATA90 </t>
    </r>
    <r>
      <rPr>
        <sz val="12"/>
        <color theme="1"/>
        <rFont val="宋体"/>
        <charset val="134"/>
      </rPr>
      <t>自主飞行系统</t>
    </r>
  </si>
  <si>
    <t>EATA90 自主飞行系统</t>
  </si>
  <si>
    <r>
      <rPr>
        <sz val="12"/>
        <color theme="1"/>
        <rFont val="Times New Roman"/>
        <charset val="134"/>
      </rPr>
      <t xml:space="preserve">EATA92 </t>
    </r>
    <r>
      <rPr>
        <sz val="12"/>
        <color theme="1"/>
        <rFont val="宋体"/>
        <charset val="134"/>
      </rPr>
      <t>地面网联系统</t>
    </r>
  </si>
  <si>
    <t>EATA92 地面网联系统</t>
  </si>
  <si>
    <t>1+2号总数</t>
  </si>
  <si>
    <t>X号总数</t>
  </si>
  <si>
    <t>原全构型数量仅作对比用</t>
  </si>
  <si>
    <t>0331讨论后更改</t>
  </si>
  <si>
    <t>0330讨论后更改</t>
  </si>
  <si>
    <t>0401收集意见</t>
  </si>
  <si>
    <t>0403系统反馈</t>
  </si>
  <si>
    <t>0410系统反馈</t>
  </si>
  <si>
    <t>0415-EICD反馈</t>
  </si>
  <si>
    <t>2102U3505</t>
  </si>
  <si>
    <t>2102U3503</t>
  </si>
  <si>
    <t>2402U6201</t>
  </si>
  <si>
    <t>2402U6203</t>
  </si>
  <si>
    <t>电源加装件</t>
  </si>
  <si>
    <t>2519E05001U900</t>
  </si>
  <si>
    <t>2501S4901</t>
  </si>
  <si>
    <t>外部照明控制盒</t>
  </si>
  <si>
    <t>3402A3905</t>
  </si>
  <si>
    <t>3402A4901</t>
  </si>
  <si>
    <t>列在该sheet中的设备都已从清单删除</t>
  </si>
  <si>
    <t>1/2号构型</t>
  </si>
  <si>
    <t>标识标牌TBD</t>
  </si>
  <si>
    <t>X号构型</t>
  </si>
  <si>
    <t>确认删除</t>
  </si>
  <si>
    <t>考虑和充电面板合并</t>
  </si>
  <si>
    <r>
      <rPr>
        <strike/>
        <sz val="11"/>
        <rFont val="宋体"/>
        <charset val="134"/>
      </rPr>
      <t>飞控数据记录器</t>
    </r>
    <r>
      <rPr>
        <strike/>
        <sz val="11"/>
        <rFont val="Times New Roman"/>
        <charset val="134"/>
      </rPr>
      <t>1</t>
    </r>
  </si>
  <si>
    <t>盥洗室烟雾探测器</t>
  </si>
  <si>
    <t>盥洗室未上</t>
  </si>
  <si>
    <r>
      <rPr>
        <strike/>
        <sz val="11"/>
        <rFont val="宋体"/>
        <charset val="134"/>
      </rPr>
      <t>飞控数据记录器</t>
    </r>
    <r>
      <rPr>
        <strike/>
        <sz val="11"/>
        <rFont val="Times New Roman"/>
        <charset val="134"/>
      </rPr>
      <t>2</t>
    </r>
  </si>
  <si>
    <t>盥洗室灭火瓶</t>
  </si>
  <si>
    <t>ZHT建议删除，结构不需要设计喷嘴开孔</t>
  </si>
  <si>
    <t>ZHT建议删除</t>
  </si>
  <si>
    <t>已与汲总确认，删除本设备</t>
  </si>
  <si>
    <t>标准空速管</t>
  </si>
  <si>
    <t>考虑删除</t>
  </si>
  <si>
    <t>确认删除，原先保留1，按系统反馈保留2</t>
  </si>
  <si>
    <t>建议删除（需与系统讨论后确认）</t>
  </si>
  <si>
    <r>
      <rPr>
        <strike/>
        <sz val="11"/>
        <rFont val="Times New Roman"/>
        <charset val="134"/>
      </rPr>
      <t>RTK</t>
    </r>
    <r>
      <rPr>
        <strike/>
        <sz val="11"/>
        <rFont val="宋体"/>
        <charset val="134"/>
      </rPr>
      <t>机载接收机</t>
    </r>
    <r>
      <rPr>
        <strike/>
        <sz val="11"/>
        <rFont val="Times New Roman"/>
        <charset val="134"/>
      </rPr>
      <t>1</t>
    </r>
  </si>
  <si>
    <r>
      <rPr>
        <strike/>
        <sz val="11"/>
        <rFont val="Times New Roman"/>
        <charset val="134"/>
      </rPr>
      <t>RTK</t>
    </r>
    <r>
      <rPr>
        <strike/>
        <sz val="11"/>
        <rFont val="宋体"/>
        <charset val="134"/>
      </rPr>
      <t>机载接收机</t>
    </r>
    <r>
      <rPr>
        <strike/>
        <sz val="11"/>
        <rFont val="Times New Roman"/>
        <charset val="134"/>
      </rPr>
      <t>2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</si>
  <si>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</t>
    </r>
  </si>
  <si>
    <r>
      <rPr>
        <strike/>
        <sz val="11"/>
        <rFont val="Times New Roman"/>
        <charset val="134"/>
      </rPr>
      <t>TSN</t>
    </r>
    <r>
      <rPr>
        <strike/>
        <sz val="11"/>
        <rFont val="宋体"/>
        <charset val="134"/>
      </rPr>
      <t>数据记录器</t>
    </r>
    <r>
      <rPr>
        <strike/>
        <sz val="11"/>
        <rFont val="Times New Roman"/>
        <charset val="134"/>
      </rPr>
      <t>1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</si>
  <si>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2</t>
    </r>
  </si>
  <si>
    <r>
      <rPr>
        <strike/>
        <sz val="11"/>
        <rFont val="Times New Roman"/>
        <charset val="134"/>
      </rPr>
      <t>TSN</t>
    </r>
    <r>
      <rPr>
        <strike/>
        <sz val="11"/>
        <rFont val="宋体"/>
        <charset val="134"/>
      </rPr>
      <t>数据记录器</t>
    </r>
    <r>
      <rPr>
        <strike/>
        <sz val="11"/>
        <rFont val="Times New Roman"/>
        <charset val="134"/>
      </rPr>
      <t>2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</si>
  <si>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3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</si>
  <si>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4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</si>
  <si>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5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</si>
  <si>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6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</si>
  <si>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7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</si>
  <si>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8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</si>
  <si>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9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</si>
  <si>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10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</si>
  <si>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11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</si>
  <si>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12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</si>
  <si>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13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</si>
  <si>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14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</si>
  <si>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15</t>
    </r>
  </si>
  <si>
    <r>
      <rPr>
        <strike/>
        <sz val="11"/>
        <rFont val="宋体"/>
        <charset val="134"/>
      </rPr>
      <t>结构健康监测光纤传感器</t>
    </r>
    <r>
      <rPr>
        <strike/>
        <sz val="11"/>
        <rFont val="Times New Roman"/>
        <charset val="134"/>
      </rPr>
      <t>16</t>
    </r>
  </si>
  <si>
    <r>
      <rPr>
        <strike/>
        <sz val="11"/>
        <rFont val="宋体"/>
        <charset val="134"/>
      </rPr>
      <t>视频服务单元</t>
    </r>
    <r>
      <rPr>
        <strike/>
        <sz val="11"/>
        <rFont val="Times New Roman"/>
        <charset val="134"/>
      </rPr>
      <t>2</t>
    </r>
  </si>
  <si>
    <t>建议删除</t>
  </si>
  <si>
    <r>
      <rPr>
        <strike/>
        <sz val="11"/>
        <rFont val="Times New Roman"/>
        <charset val="134"/>
      </rPr>
      <t>U</t>
    </r>
    <r>
      <rPr>
        <strike/>
        <sz val="11"/>
        <rFont val="宋体"/>
        <charset val="134"/>
      </rPr>
      <t>波段数据链收发组合</t>
    </r>
  </si>
  <si>
    <r>
      <rPr>
        <strike/>
        <sz val="11"/>
        <rFont val="Times New Roman"/>
        <charset val="134"/>
      </rPr>
      <t>C</t>
    </r>
    <r>
      <rPr>
        <strike/>
        <sz val="11"/>
        <rFont val="宋体"/>
        <charset val="134"/>
      </rPr>
      <t>波段数据链收发组合</t>
    </r>
  </si>
  <si>
    <r>
      <rPr>
        <strike/>
        <sz val="11"/>
        <rFont val="Times New Roman"/>
        <charset val="134"/>
      </rPr>
      <t>C</t>
    </r>
    <r>
      <rPr>
        <strike/>
        <sz val="11"/>
        <rFont val="宋体"/>
        <charset val="134"/>
      </rPr>
      <t>波段数据链定向天线</t>
    </r>
  </si>
  <si>
    <r>
      <rPr>
        <strike/>
        <sz val="11"/>
        <rFont val="宋体"/>
        <charset val="134"/>
      </rPr>
      <t>构型</t>
    </r>
    <r>
      <rPr>
        <strike/>
        <sz val="11"/>
        <rFont val="Times New Roman"/>
        <charset val="134"/>
      </rPr>
      <t>A</t>
    </r>
    <r>
      <rPr>
        <strike/>
        <sz val="11"/>
        <rFont val="宋体"/>
        <charset val="134"/>
      </rPr>
      <t>动力电池冷却系统</t>
    </r>
  </si>
  <si>
    <t>0403-X机改B构型电池</t>
  </si>
  <si>
    <t>0410反馈删除</t>
  </si>
  <si>
    <t>0415反馈删除</t>
  </si>
  <si>
    <t>段名称</t>
  </si>
  <si>
    <t>节-段名称</t>
  </si>
  <si>
    <t>节段编号</t>
  </si>
  <si>
    <t>LIN号位置校验</t>
  </si>
  <si>
    <t>LIN号位数校验</t>
  </si>
  <si>
    <t>DM号ATA校验</t>
  </si>
  <si>
    <t>DM号位数校验</t>
  </si>
  <si>
    <t>DM号层级</t>
  </si>
  <si>
    <t>雷达舱</t>
  </si>
  <si>
    <t>前起落架舱</t>
  </si>
  <si>
    <t>前附件舱</t>
  </si>
  <si>
    <t>外部</t>
  </si>
  <si>
    <t>顶部</t>
  </si>
  <si>
    <t>地板上</t>
  </si>
  <si>
    <t>地板下</t>
  </si>
  <si>
    <t>驾驶舱-地板下</t>
  </si>
  <si>
    <t>控制面板</t>
  </si>
  <si>
    <t>左设备架</t>
  </si>
  <si>
    <t>右设备架</t>
  </si>
  <si>
    <t>客舱-地板下</t>
  </si>
  <si>
    <t>后设备舱盘箱</t>
  </si>
  <si>
    <t>后设备舱左设备架</t>
  </si>
  <si>
    <t>后设备舱右设备架</t>
  </si>
  <si>
    <t>登机门</t>
  </si>
  <si>
    <t>应急门</t>
  </si>
  <si>
    <t>客舱-应急门</t>
  </si>
  <si>
    <t>前设备舱</t>
  </si>
  <si>
    <t>1号动力电池舱</t>
  </si>
  <si>
    <t>2号动力电池舱</t>
  </si>
  <si>
    <t>3号动力电池舱</t>
  </si>
  <si>
    <t>翼身整流罩</t>
  </si>
  <si>
    <t>下机身前段-翼身整流罩</t>
  </si>
  <si>
    <t>主起落架舱</t>
  </si>
  <si>
    <t>中设备舱</t>
  </si>
  <si>
    <t>4号动力电池舱</t>
  </si>
  <si>
    <t>5号动力电池舱</t>
  </si>
  <si>
    <t>环控设备舱</t>
  </si>
  <si>
    <t>中央翼盒</t>
  </si>
  <si>
    <t>机翼外段</t>
  </si>
  <si>
    <t>机翼外部</t>
  </si>
  <si>
    <t>1号短舱（机翼内侧）</t>
  </si>
  <si>
    <t>2号短舱</t>
  </si>
  <si>
    <t>3号短舱</t>
  </si>
  <si>
    <t>4号短舱</t>
  </si>
  <si>
    <t>5号短舱（机翼外侧）</t>
  </si>
  <si>
    <t>短舱-外部</t>
  </si>
  <si>
    <t>尾舱内部</t>
  </si>
  <si>
    <t>垂直尾翼</t>
  </si>
  <si>
    <t>水平尾翼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</si>
</sst>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b/>
      <sz val="11"/>
      <color rgb="FF000000"/>
      <name val="汉仪书宋二KW"/>
      <charset val="134"/>
    </font>
    <font>
      <b/>
      <sz val="11"/>
      <name val="Times New Roman"/>
      <charset val="134"/>
    </font>
    <font>
      <b/>
      <sz val="36"/>
      <color rgb="FF000000"/>
      <name val="微软雅黑"/>
      <charset val="134"/>
    </font>
    <font>
      <strike/>
      <sz val="11"/>
      <color rgb="FF000000"/>
      <name val="Times New Roman"/>
      <charset val="134"/>
    </font>
    <font>
      <strike/>
      <sz val="11"/>
      <name val="宋体"/>
      <charset val="134"/>
    </font>
    <font>
      <strike/>
      <sz val="11"/>
      <color rgb="FF000000"/>
      <name val="宋体"/>
      <charset val="134"/>
    </font>
    <font>
      <strike/>
      <sz val="11"/>
      <name val="Times New Roman"/>
      <charset val="134"/>
    </font>
    <font>
      <sz val="11"/>
      <name val="Times New Roman"/>
      <charset val="134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36"/>
      <color rgb="FF000000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16"/>
      <color rgb="FF000000"/>
      <name val="宋体"/>
      <charset val="134"/>
    </font>
    <font>
      <sz val="16"/>
      <color rgb="FFFF0000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000000"/>
      <name val="等线"/>
      <charset val="134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b/>
      <sz val="11"/>
      <color theme="1"/>
      <name val="黑体"/>
      <charset val="134"/>
    </font>
    <font>
      <b/>
      <i/>
      <sz val="11"/>
      <color theme="1"/>
      <name val="Times New Roman"/>
      <charset val="134"/>
    </font>
    <font>
      <b/>
      <i/>
      <sz val="11"/>
      <name val="Times New Roman"/>
      <charset val="134"/>
    </font>
    <font>
      <sz val="11"/>
      <color rgb="FFFF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name val="宋体"/>
      <charset val="134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宋体"/>
      <charset val="134"/>
      <scheme val="minor"/>
    </font>
    <font>
      <sz val="11"/>
      <color rgb="FFFF0000"/>
      <name val="汉仪书宋二KW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微软雅黑"/>
      <charset val="134"/>
    </font>
    <font>
      <b/>
      <sz val="36"/>
      <color rgb="FFFF0000"/>
      <name val="宋体"/>
      <charset val="134"/>
    </font>
    <font>
      <b/>
      <i/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i/>
      <sz val="11"/>
      <name val="宋体"/>
      <charset val="134"/>
    </font>
    <font>
      <b/>
      <sz val="11"/>
      <color rgb="FFFF0000"/>
      <name val="Times New Roman"/>
      <charset val="134"/>
    </font>
    <font>
      <sz val="11"/>
      <color rgb="FF00000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6" borderId="23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7" borderId="26" applyNumberFormat="0" applyAlignment="0" applyProtection="0">
      <alignment vertical="center"/>
    </xf>
    <xf numFmtId="0" fontId="50" fillId="18" borderId="27" applyNumberFormat="0" applyAlignment="0" applyProtection="0">
      <alignment vertical="center"/>
    </xf>
    <xf numFmtId="0" fontId="51" fillId="18" borderId="26" applyNumberFormat="0" applyAlignment="0" applyProtection="0">
      <alignment vertical="center"/>
    </xf>
    <xf numFmtId="0" fontId="52" fillId="19" borderId="28" applyNumberFormat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0" fillId="0" borderId="0">
      <alignment vertical="center"/>
    </xf>
  </cellStyleXfs>
  <cellXfs count="22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Fill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5" fillId="0" borderId="1" xfId="0" applyNumberFormat="1" applyFont="1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center" vertical="top"/>
    </xf>
    <xf numFmtId="0" fontId="0" fillId="2" borderId="0" xfId="0" applyFill="1">
      <alignment vertical="center"/>
    </xf>
    <xf numFmtId="0" fontId="0" fillId="0" borderId="0" xfId="0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" fillId="0" borderId="0" xfId="0" applyFont="1" applyProtection="1">
      <alignment vertical="center"/>
      <protection locked="0"/>
    </xf>
    <xf numFmtId="0" fontId="2" fillId="0" borderId="5" xfId="0" applyFont="1" applyBorder="1">
      <alignment vertical="center"/>
    </xf>
    <xf numFmtId="49" fontId="7" fillId="3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" fillId="0" borderId="8" xfId="0" applyFont="1" applyBorder="1">
      <alignment vertical="center"/>
    </xf>
    <xf numFmtId="0" fontId="8" fillId="3" borderId="9" xfId="0" applyFont="1" applyFill="1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8" fillId="3" borderId="1" xfId="0" applyFont="1" applyFill="1" applyBorder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8" fillId="3" borderId="14" xfId="0" applyFont="1" applyFill="1" applyBorder="1">
      <alignment vertical="center"/>
    </xf>
    <xf numFmtId="0" fontId="2" fillId="0" borderId="15" xfId="0" applyFont="1" applyBorder="1" applyAlignment="1">
      <alignment horizontal="left" vertical="center"/>
    </xf>
    <xf numFmtId="0" fontId="9" fillId="3" borderId="14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0" fillId="0" borderId="12" xfId="0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10" fillId="3" borderId="14" xfId="0" applyFont="1" applyFill="1" applyBorder="1">
      <alignment vertical="center"/>
    </xf>
    <xf numFmtId="0" fontId="2" fillId="0" borderId="16" xfId="0" applyFont="1" applyBorder="1">
      <alignment vertical="center"/>
    </xf>
    <xf numFmtId="0" fontId="8" fillId="3" borderId="17" xfId="0" applyFont="1" applyFill="1" applyBorder="1">
      <alignment vertical="center"/>
    </xf>
    <xf numFmtId="0" fontId="2" fillId="0" borderId="18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19" xfId="0" applyFont="1" applyBorder="1" applyProtection="1">
      <alignment vertical="center"/>
      <protection locked="0"/>
    </xf>
    <xf numFmtId="0" fontId="8" fillId="3" borderId="20" xfId="0" applyFont="1" applyFill="1" applyBorder="1">
      <alignment vertical="center"/>
    </xf>
    <xf numFmtId="0" fontId="2" fillId="0" borderId="21" xfId="0" applyFont="1" applyBorder="1" applyAlignment="1">
      <alignment horizontal="left" vertical="center"/>
    </xf>
    <xf numFmtId="0" fontId="2" fillId="0" borderId="19" xfId="0" applyFont="1" applyBorder="1" applyProtection="1">
      <alignment vertical="center"/>
    </xf>
    <xf numFmtId="0" fontId="3" fillId="0" borderId="1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13" xfId="0" applyFont="1" applyBorder="1">
      <alignment vertical="center"/>
    </xf>
    <xf numFmtId="0" fontId="17" fillId="0" borderId="15" xfId="0" applyFont="1" applyBorder="1">
      <alignment vertical="center"/>
    </xf>
    <xf numFmtId="0" fontId="12" fillId="5" borderId="0" xfId="0" applyFont="1" applyFill="1">
      <alignment vertical="center"/>
    </xf>
    <xf numFmtId="0" fontId="18" fillId="0" borderId="15" xfId="0" applyFont="1" applyBorder="1">
      <alignment vertical="center"/>
    </xf>
    <xf numFmtId="0" fontId="17" fillId="0" borderId="19" xfId="0" applyFont="1" applyBorder="1">
      <alignment vertical="center"/>
    </xf>
    <xf numFmtId="0" fontId="17" fillId="0" borderId="21" xfId="0" applyFont="1" applyBorder="1">
      <alignment vertical="center"/>
    </xf>
    <xf numFmtId="0" fontId="19" fillId="6" borderId="0" xfId="0" applyFont="1" applyFill="1">
      <alignment vertical="center"/>
    </xf>
    <xf numFmtId="0" fontId="19" fillId="7" borderId="0" xfId="0" applyFont="1" applyFill="1">
      <alignment vertical="center"/>
    </xf>
    <xf numFmtId="0" fontId="20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/>
    <xf numFmtId="0" fontId="0" fillId="0" borderId="0" xfId="0" applyAlignment="1"/>
    <xf numFmtId="49" fontId="22" fillId="8" borderId="1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3" fillId="8" borderId="1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49" fontId="23" fillId="9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7" fillId="0" borderId="0" xfId="0" applyFont="1" applyAlignment="1"/>
    <xf numFmtId="0" fontId="26" fillId="0" borderId="0" xfId="52" applyFont="1">
      <alignment vertical="center"/>
    </xf>
    <xf numFmtId="0" fontId="2" fillId="0" borderId="0" xfId="52" applyFont="1">
      <alignment vertical="center"/>
    </xf>
    <xf numFmtId="0" fontId="2" fillId="10" borderId="0" xfId="0" applyFont="1" applyFill="1" applyAlignment="1">
      <alignment horizontal="center" vertical="center"/>
    </xf>
    <xf numFmtId="0" fontId="2" fillId="0" borderId="0" xfId="49" applyFont="1">
      <alignment vertical="center"/>
    </xf>
    <xf numFmtId="0" fontId="2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6" fillId="0" borderId="0" xfId="49" applyFont="1">
      <alignment vertical="center"/>
    </xf>
    <xf numFmtId="0" fontId="2" fillId="10" borderId="14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21" fillId="0" borderId="14" xfId="0" applyFont="1" applyBorder="1" applyAlignment="1"/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28" fillId="0" borderId="0" xfId="0" applyFont="1" applyAlignment="1">
      <alignment horizontal="justify"/>
    </xf>
    <xf numFmtId="0" fontId="2" fillId="2" borderId="0" xfId="0" applyFont="1" applyFill="1" applyAlignment="1">
      <alignment horizontal="center"/>
    </xf>
    <xf numFmtId="0" fontId="21" fillId="0" borderId="0" xfId="0" applyFont="1" applyAlignment="1">
      <alignment horizontal="left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21" fillId="0" borderId="1" xfId="0" applyFont="1" applyBorder="1" applyAlignment="1">
      <alignment horizontal="center"/>
    </xf>
    <xf numFmtId="0" fontId="2" fillId="0" borderId="22" xfId="0" applyFont="1" applyBorder="1" applyAlignment="1"/>
    <xf numFmtId="0" fontId="29" fillId="0" borderId="14" xfId="0" applyFont="1" applyBorder="1" applyAlignment="1">
      <alignment horizontal="justify"/>
    </xf>
    <xf numFmtId="0" fontId="2" fillId="0" borderId="2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1" fillId="0" borderId="22" xfId="0" applyFont="1" applyBorder="1" applyAlignment="1"/>
    <xf numFmtId="0" fontId="21" fillId="0" borderId="2" xfId="0" applyFont="1" applyBorder="1" applyAlignment="1"/>
    <xf numFmtId="0" fontId="21" fillId="0" borderId="1" xfId="0" applyFont="1" applyBorder="1" applyAlignment="1"/>
    <xf numFmtId="0" fontId="25" fillId="0" borderId="0" xfId="52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 applyProtection="1">
      <protection locked="0"/>
    </xf>
    <xf numFmtId="0" fontId="26" fillId="0" borderId="0" xfId="0" applyFont="1" applyAlignment="1">
      <alignment vertical="center" wrapText="1"/>
    </xf>
    <xf numFmtId="0" fontId="0" fillId="0" borderId="0" xfId="51">
      <alignment vertical="center"/>
    </xf>
    <xf numFmtId="0" fontId="2" fillId="0" borderId="0" xfId="52" applyFont="1" applyAlignment="1">
      <alignment horizontal="left" vertical="center" wrapText="1"/>
    </xf>
    <xf numFmtId="0" fontId="21" fillId="0" borderId="0" xfId="52" applyFont="1" applyAlignment="1">
      <alignment horizontal="left" vertical="center" wrapText="1"/>
    </xf>
    <xf numFmtId="0" fontId="27" fillId="0" borderId="0" xfId="51" applyFont="1">
      <alignment vertical="center"/>
    </xf>
    <xf numFmtId="0" fontId="21" fillId="0" borderId="0" xfId="0" applyFont="1" applyAlignment="1">
      <alignment wrapText="1"/>
    </xf>
    <xf numFmtId="0" fontId="2" fillId="0" borderId="0" xfId="52" applyFont="1" applyAlignment="1">
      <alignment horizontal="left" vertical="center"/>
    </xf>
    <xf numFmtId="0" fontId="21" fillId="0" borderId="0" xfId="52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0" xfId="0" applyFont="1" applyFill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1" fillId="0" borderId="1" xfId="0" applyFont="1" applyBorder="1" applyAlignment="1"/>
    <xf numFmtId="0" fontId="11" fillId="0" borderId="1" xfId="0" applyFont="1" applyBorder="1" applyAlignment="1"/>
    <xf numFmtId="0" fontId="32" fillId="0" borderId="1" xfId="0" applyFont="1" applyBorder="1" applyAlignment="1"/>
    <xf numFmtId="0" fontId="33" fillId="0" borderId="1" xfId="0" applyFont="1" applyBorder="1" applyAlignment="1"/>
    <xf numFmtId="0" fontId="3" fillId="5" borderId="1" xfId="0" applyFont="1" applyFill="1" applyBorder="1" applyAlignment="1"/>
    <xf numFmtId="0" fontId="11" fillId="5" borderId="1" xfId="0" applyFont="1" applyFill="1" applyBorder="1" applyAlignment="1"/>
    <xf numFmtId="0" fontId="31" fillId="8" borderId="1" xfId="0" applyFont="1" applyFill="1" applyBorder="1" applyAlignment="1"/>
    <xf numFmtId="49" fontId="23" fillId="0" borderId="1" xfId="0" applyNumberFormat="1" applyFont="1" applyBorder="1" applyAlignment="1">
      <alignment horizontal="center" vertical="top"/>
    </xf>
    <xf numFmtId="49" fontId="23" fillId="0" borderId="1" xfId="0" applyNumberFormat="1" applyFont="1" applyFill="1" applyBorder="1" applyAlignment="1">
      <alignment horizontal="center" vertical="top"/>
    </xf>
    <xf numFmtId="0" fontId="34" fillId="0" borderId="1" xfId="0" applyNumberFormat="1" applyFont="1" applyFill="1" applyBorder="1" applyAlignment="1">
      <alignment horizontal="center" vertical="top"/>
    </xf>
    <xf numFmtId="49" fontId="35" fillId="0" borderId="1" xfId="0" applyNumberFormat="1" applyFont="1" applyFill="1" applyBorder="1" applyAlignment="1">
      <alignment horizontal="center" vertical="top" wrapText="1"/>
    </xf>
    <xf numFmtId="49" fontId="23" fillId="0" borderId="1" xfId="0" applyNumberFormat="1" applyFont="1" applyFill="1" applyBorder="1" applyAlignment="1">
      <alignment horizontal="center" vertical="top" wrapText="1"/>
    </xf>
    <xf numFmtId="49" fontId="23" fillId="0" borderId="0" xfId="0" applyNumberFormat="1" applyFont="1" applyFill="1" applyAlignment="1">
      <alignment horizontal="center" vertical="top" wrapText="1"/>
    </xf>
    <xf numFmtId="0" fontId="2" fillId="0" borderId="0" xfId="0" applyNumberFormat="1" applyFont="1">
      <alignment vertical="center"/>
    </xf>
    <xf numFmtId="0" fontId="2" fillId="0" borderId="0" xfId="0" applyFont="1" applyBorder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11" fillId="0" borderId="1" xfId="0" applyFont="1" applyBorder="1">
      <alignment vertical="center"/>
    </xf>
    <xf numFmtId="0" fontId="0" fillId="0" borderId="0" xfId="0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49" fontId="23" fillId="0" borderId="1" xfId="0" applyNumberFormat="1" applyFont="1" applyFill="1" applyBorder="1" applyAlignment="1">
      <alignment horizontal="center" vertical="center" wrapText="1"/>
    </xf>
    <xf numFmtId="49" fontId="35" fillId="0" borderId="1" xfId="0" applyNumberFormat="1" applyFont="1" applyFill="1" applyBorder="1" applyAlignment="1">
      <alignment horizontal="center" vertical="center" wrapText="1"/>
    </xf>
    <xf numFmtId="49" fontId="34" fillId="0" borderId="0" xfId="0" applyNumberFormat="1" applyFont="1" applyFill="1" applyAlignment="1">
      <alignment horizontal="center" vertical="center" wrapText="1"/>
    </xf>
    <xf numFmtId="49" fontId="35" fillId="13" borderId="0" xfId="0" applyNumberFormat="1" applyFont="1" applyFill="1" applyAlignment="1">
      <alignment horizontal="center" vertical="center"/>
    </xf>
    <xf numFmtId="49" fontId="23" fillId="13" borderId="1" xfId="0" applyNumberFormat="1" applyFont="1" applyFill="1" applyBorder="1" applyAlignment="1">
      <alignment horizontal="center" vertical="center" wrapText="1"/>
    </xf>
    <xf numFmtId="49" fontId="5" fillId="14" borderId="1" xfId="0" applyNumberFormat="1" applyFont="1" applyFill="1" applyBorder="1" applyAlignment="1">
      <alignment horizontal="center" vertical="center"/>
    </xf>
    <xf numFmtId="49" fontId="23" fillId="6" borderId="1" xfId="0" applyNumberFormat="1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/>
    </xf>
    <xf numFmtId="49" fontId="34" fillId="7" borderId="0" xfId="0" applyNumberFormat="1" applyFont="1" applyFill="1" applyAlignment="1">
      <alignment horizontal="center" vertical="center"/>
    </xf>
    <xf numFmtId="0" fontId="36" fillId="0" borderId="0" xfId="0" applyFont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49" fontId="37" fillId="0" borderId="1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37" fillId="0" borderId="14" xfId="0" applyFont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37" fillId="0" borderId="0" xfId="0" applyNumberFormat="1" applyFont="1" applyAlignment="1">
      <alignment vertical="center" wrapText="1"/>
    </xf>
    <xf numFmtId="0" fontId="37" fillId="0" borderId="14" xfId="0" applyFont="1" applyFill="1" applyBorder="1" applyAlignment="1">
      <alignment horizontal="center" vertical="center"/>
    </xf>
    <xf numFmtId="0" fontId="37" fillId="0" borderId="0" xfId="0" applyNumberFormat="1" applyFont="1" applyAlignment="1">
      <alignment horizontal="left" vertical="center"/>
    </xf>
    <xf numFmtId="0" fontId="11" fillId="0" borderId="1" xfId="0" applyFont="1" applyFill="1" applyBorder="1">
      <alignment vertical="center"/>
    </xf>
    <xf numFmtId="0" fontId="11" fillId="15" borderId="1" xfId="0" applyFont="1" applyFill="1" applyBorder="1">
      <alignment vertical="center"/>
    </xf>
    <xf numFmtId="0" fontId="37" fillId="0" borderId="1" xfId="0" applyFont="1" applyBorder="1">
      <alignment vertical="center"/>
    </xf>
    <xf numFmtId="0" fontId="33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horizontal="left" vertical="center"/>
    </xf>
    <xf numFmtId="0" fontId="37" fillId="0" borderId="0" xfId="0" applyFont="1" applyAlignment="1">
      <alignment vertical="center" wrapText="1"/>
    </xf>
    <xf numFmtId="0" fontId="37" fillId="0" borderId="1" xfId="0" applyFont="1" applyFill="1" applyBorder="1" applyAlignment="1">
      <alignment horizontal="center" vertical="center"/>
    </xf>
    <xf numFmtId="0" fontId="2" fillId="15" borderId="1" xfId="0" applyFont="1" applyFill="1" applyBorder="1">
      <alignment vertical="center"/>
    </xf>
    <xf numFmtId="0" fontId="37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>
      <alignment vertical="center"/>
    </xf>
    <xf numFmtId="0" fontId="40" fillId="0" borderId="0" xfId="0" applyFont="1" applyAlignment="1">
      <alignment horizontal="center" vertical="center"/>
    </xf>
    <xf numFmtId="0" fontId="37" fillId="0" borderId="1" xfId="0" applyFont="1" applyFill="1" applyBorder="1" applyAlignment="1">
      <alignment vertical="center" wrapText="1"/>
    </xf>
    <xf numFmtId="0" fontId="37" fillId="0" borderId="1" xfId="0" applyFont="1" applyFill="1" applyBorder="1">
      <alignment vertical="center"/>
    </xf>
    <xf numFmtId="0" fontId="40" fillId="0" borderId="1" xfId="0" applyFont="1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11" fillId="15" borderId="1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37" fillId="5" borderId="1" xfId="0" applyFont="1" applyFill="1" applyBorder="1" applyAlignment="1">
      <alignment horizontal="center" vertical="center"/>
    </xf>
    <xf numFmtId="0" fontId="3" fillId="15" borderId="1" xfId="0" applyFont="1" applyFill="1" applyBorder="1">
      <alignment vertical="center"/>
    </xf>
    <xf numFmtId="0" fontId="37" fillId="0" borderId="0" xfId="0" applyFont="1" applyFill="1" applyAlignment="1">
      <alignment horizontal="center" vertical="center"/>
    </xf>
    <xf numFmtId="0" fontId="37" fillId="15" borderId="1" xfId="0" applyFont="1" applyFill="1" applyBorder="1">
      <alignment vertical="center"/>
    </xf>
    <xf numFmtId="0" fontId="33" fillId="5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23" fillId="0" borderId="1" xfId="0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49" fontId="5" fillId="14" borderId="1" xfId="0" applyNumberFormat="1" applyFont="1" applyFill="1" applyBorder="1" applyAlignment="1">
      <alignment horizontal="center" vertical="top"/>
    </xf>
    <xf numFmtId="49" fontId="23" fillId="6" borderId="1" xfId="0" applyNumberFormat="1" applyFont="1" applyFill="1" applyBorder="1" applyAlignment="1">
      <alignment horizontal="center" vertical="top" wrapText="1"/>
    </xf>
    <xf numFmtId="49" fontId="5" fillId="7" borderId="1" xfId="0" applyNumberFormat="1" applyFont="1" applyFill="1" applyBorder="1" applyAlignment="1">
      <alignment horizontal="center" vertical="top"/>
    </xf>
    <xf numFmtId="49" fontId="34" fillId="7" borderId="0" xfId="0" applyNumberFormat="1" applyFont="1" applyFill="1" applyAlignment="1">
      <alignment horizontal="center" vertical="top"/>
    </xf>
    <xf numFmtId="49" fontId="34" fillId="7" borderId="0" xfId="0" applyNumberFormat="1" applyFont="1" applyFill="1" applyAlignment="1">
      <alignment horizontal="center" vertical="top" wrapText="1"/>
    </xf>
    <xf numFmtId="0" fontId="36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33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2" xfId="51"/>
    <cellStyle name="常规 2 2" xfId="52"/>
    <cellStyle name="常规 2 2 2" xfId="53"/>
    <cellStyle name="常规 3" xfId="54"/>
  </cellStyles>
  <dxfs count="20"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2E6334"/>
      </font>
      <fill>
        <patternFill patternType="solid">
          <bgColor rgb="FFC7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846" dbFileVersion="0">
    <open main="200" threadCnt="1"/>
    <sheetInfos>
      <sheetInfo cellCmpFml="466" sheetStid="1">
        <open main="15" threadCnt="1"/>
      </sheetInfo>
      <sheetInfo cellCmpFml="459" sheetStid="15">
        <open main="21" threadCnt="1"/>
      </sheetInfo>
      <sheetInfo cellCmpFml="65" sheetStid="13">
        <open main="1" threadCnt="1"/>
      </sheetInfo>
      <sheetInfo cellCmpFml="0" sheetStid="4">
        <open main="1" threadCnt="1"/>
      </sheetInfo>
      <sheetInfo cellCmpFml="0" sheetStid="5">
        <open main="5" threadCnt="1"/>
      </sheetInfo>
      <sheetInfo cellCmpFml="52" sheetStid="7">
        <open main="1" threadCnt="1"/>
      </sheetInfo>
      <sheetInfo cellCmpFml="0" sheetStid="9">
        <open main="3" threadCnt="1"/>
      </sheetInfo>
      <sheetInfo cellCmpFml="3804" sheetStid="11">
        <open main="58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schemas.openxmlformats.org/officeDocument/2006/relationships/styles" Target="styles.xml"/><Relationship Id="rId14" Type="http://schemas.openxmlformats.org/officeDocument/2006/relationships/customXml" Target="../customXml/item4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3"/>
  <sheetViews>
    <sheetView topLeftCell="A94" workbookViewId="0">
      <pane xSplit="4" topLeftCell="E1" activePane="topRight" state="frozen"/>
      <selection/>
      <selection pane="topRight" activeCell="S380" sqref="$A1:$XFD1048576"/>
    </sheetView>
  </sheetViews>
  <sheetFormatPr defaultColWidth="8.66666666666667" defaultRowHeight="15"/>
  <cols>
    <col min="1" max="1" width="19.1083333333333" style="148" customWidth="1"/>
    <col min="2" max="2" width="34" style="13" customWidth="1"/>
    <col min="3" max="3" width="14.5" style="148" customWidth="1"/>
    <col min="4" max="4" width="11.7833333333333" style="149" customWidth="1"/>
    <col min="5" max="5" width="16.775" style="148" customWidth="1"/>
    <col min="6" max="6" width="22.8833333333333" style="150" customWidth="1"/>
    <col min="7" max="7" width="12.5583333333333" style="148" customWidth="1"/>
    <col min="8" max="8" width="21.8166666666667" style="13" customWidth="1"/>
    <col min="9" max="9" width="28.0333333333333" style="151" customWidth="1"/>
    <col min="10" max="10" width="11.8833333333333" style="152" customWidth="1"/>
    <col min="11" max="11" width="32.3833333333333" style="152" customWidth="1"/>
    <col min="12" max="12" width="14.7416666666667" style="152" customWidth="1"/>
    <col min="13" max="18" width="15.975" style="148" hidden="1" customWidth="1"/>
    <col min="19" max="19" width="12.8833333333333" style="13" customWidth="1"/>
    <col min="20" max="20" width="33.675" style="2" customWidth="1"/>
  </cols>
  <sheetData>
    <row r="1" s="206" customFormat="1" ht="42" spans="1:20">
      <c r="A1" s="207" t="s">
        <v>0</v>
      </c>
      <c r="B1" s="16" t="s">
        <v>1</v>
      </c>
      <c r="C1" s="18" t="s">
        <v>2</v>
      </c>
      <c r="D1" s="208" t="s">
        <v>3</v>
      </c>
      <c r="E1" s="139" t="s">
        <v>4</v>
      </c>
      <c r="F1" s="138" t="s">
        <v>5</v>
      </c>
      <c r="G1" s="18" t="s">
        <v>6</v>
      </c>
      <c r="H1" s="209" t="s">
        <v>7</v>
      </c>
      <c r="I1" s="161" t="s">
        <v>8</v>
      </c>
      <c r="J1" s="210" t="s">
        <v>9</v>
      </c>
      <c r="K1" s="210" t="s">
        <v>10</v>
      </c>
      <c r="L1" s="211" t="s">
        <v>11</v>
      </c>
      <c r="M1" s="212" t="s">
        <v>12</v>
      </c>
      <c r="N1" s="213" t="s">
        <v>13</v>
      </c>
      <c r="O1" s="214" t="s">
        <v>14</v>
      </c>
      <c r="P1" s="213" t="s">
        <v>15</v>
      </c>
      <c r="Q1" s="213" t="s">
        <v>16</v>
      </c>
      <c r="R1" s="213" t="s">
        <v>17</v>
      </c>
      <c r="S1" s="215" t="s">
        <v>18</v>
      </c>
      <c r="T1" s="216" t="s">
        <v>19</v>
      </c>
    </row>
    <row r="2" spans="1:20">
      <c r="A2" s="167" t="s">
        <v>20</v>
      </c>
      <c r="B2" s="146" t="s">
        <v>21</v>
      </c>
      <c r="C2" s="167" t="s">
        <v>22</v>
      </c>
      <c r="D2" s="178" t="s">
        <v>23</v>
      </c>
      <c r="E2" s="167"/>
      <c r="F2" s="183" t="s">
        <v>24</v>
      </c>
      <c r="G2" s="171">
        <v>2</v>
      </c>
      <c r="H2" s="172"/>
      <c r="I2" s="173"/>
      <c r="J2" s="174"/>
      <c r="K2" s="174" t="str">
        <f>VLOOKUP(B2,电搭接情况统计!$B$2:$H$423,7,0)</f>
        <v>C类</v>
      </c>
      <c r="L2" s="175"/>
      <c r="M2" s="167" t="s">
        <v>25</v>
      </c>
      <c r="N2" s="202" t="s">
        <v>26</v>
      </c>
      <c r="O2" s="202" t="s">
        <v>26</v>
      </c>
      <c r="P2" s="179"/>
      <c r="Q2" s="179"/>
      <c r="R2" s="179"/>
      <c r="S2" s="13" t="s">
        <v>27</v>
      </c>
    </row>
    <row r="3" spans="1:20">
      <c r="A3" s="167" t="s">
        <v>20</v>
      </c>
      <c r="B3" s="184" t="s">
        <v>28</v>
      </c>
      <c r="C3" s="167" t="s">
        <v>29</v>
      </c>
      <c r="D3" s="178" t="s">
        <v>30</v>
      </c>
      <c r="E3" s="167"/>
      <c r="F3" s="183" t="s">
        <v>31</v>
      </c>
      <c r="G3" s="171">
        <v>2</v>
      </c>
      <c r="H3" s="172"/>
      <c r="I3" s="173"/>
      <c r="J3" s="174"/>
      <c r="K3" s="174" t="str">
        <f>VLOOKUP(B3,电搭接情况统计!$B$2:$H$423,7,0)</f>
        <v>A类</v>
      </c>
      <c r="L3" s="175"/>
      <c r="M3" s="167" t="s">
        <v>25</v>
      </c>
      <c r="N3" s="202" t="s">
        <v>26</v>
      </c>
      <c r="O3" s="202" t="s">
        <v>32</v>
      </c>
      <c r="P3" s="179"/>
      <c r="Q3" s="179"/>
      <c r="R3" s="179"/>
      <c r="S3" s="13" t="s">
        <v>27</v>
      </c>
    </row>
    <row r="4" spans="1:20">
      <c r="A4" s="167" t="s">
        <v>20</v>
      </c>
      <c r="B4" s="146" t="s">
        <v>33</v>
      </c>
      <c r="C4" s="167" t="s">
        <v>34</v>
      </c>
      <c r="D4" s="178" t="s">
        <v>35</v>
      </c>
      <c r="E4" s="167"/>
      <c r="F4" s="183" t="s">
        <v>36</v>
      </c>
      <c r="G4" s="171">
        <v>2</v>
      </c>
      <c r="H4" s="172"/>
      <c r="I4" s="182" t="str">
        <f>VLOOKUP($B4,设备架接口信息!$A$1:$G$69,4,0)</f>
        <v>2MCU托架安装，A类锁紧器</v>
      </c>
      <c r="J4" s="175" t="str">
        <f>VLOOKUP($B4,设备架接口信息!$A$1:$G$69,5,0)</f>
        <v>面搭接</v>
      </c>
      <c r="K4" s="174" t="str">
        <f>VLOOKUP(B4,电搭接情况统计!$B$2:$H$423,7,0)</f>
        <v>C类</v>
      </c>
      <c r="L4" s="175">
        <f>VLOOKUP($B4,设备架接口信息!$A$1:$G$69,6,0)</f>
        <v>2.671105</v>
      </c>
      <c r="M4" s="167" t="s">
        <v>25</v>
      </c>
      <c r="N4" s="202" t="s">
        <v>26</v>
      </c>
      <c r="O4" s="202" t="s">
        <v>26</v>
      </c>
      <c r="P4" s="179"/>
      <c r="Q4" s="179"/>
      <c r="R4" s="179"/>
      <c r="S4" s="67" t="s">
        <v>37</v>
      </c>
    </row>
    <row r="5" spans="1:20">
      <c r="A5" s="167" t="s">
        <v>20</v>
      </c>
      <c r="B5" s="146" t="s">
        <v>38</v>
      </c>
      <c r="C5" s="167" t="s">
        <v>34</v>
      </c>
      <c r="D5" s="178" t="s">
        <v>39</v>
      </c>
      <c r="E5" s="167"/>
      <c r="F5" s="183" t="s">
        <v>40</v>
      </c>
      <c r="G5" s="171">
        <v>2</v>
      </c>
      <c r="H5" s="172"/>
      <c r="I5" s="182" t="str">
        <f>VLOOKUP($B5,设备架接口信息!$A$1:$G$69,4,0)</f>
        <v>2MCU托架安装，A类锁紧器</v>
      </c>
      <c r="J5" s="175" t="str">
        <f>VLOOKUP($B5,设备架接口信息!$A$1:$G$69,5,0)</f>
        <v>面搭接</v>
      </c>
      <c r="K5" s="174" t="str">
        <f>VLOOKUP(B5,电搭接情况统计!$B$2:$H$423,7,0)</f>
        <v>C类</v>
      </c>
      <c r="L5" s="175">
        <f>VLOOKUP($B5,设备架接口信息!$A$1:$G$69,6,0)</f>
        <v>2.687105</v>
      </c>
      <c r="M5" s="167" t="s">
        <v>25</v>
      </c>
      <c r="N5" s="202" t="s">
        <v>26</v>
      </c>
      <c r="O5" s="202" t="s">
        <v>26</v>
      </c>
      <c r="P5" s="179"/>
      <c r="Q5" s="179"/>
      <c r="R5" s="179"/>
      <c r="S5" s="67" t="s">
        <v>37</v>
      </c>
    </row>
    <row r="6" spans="1:20">
      <c r="A6" s="167" t="s">
        <v>20</v>
      </c>
      <c r="B6" s="146" t="s">
        <v>41</v>
      </c>
      <c r="C6" s="167" t="s">
        <v>42</v>
      </c>
      <c r="D6" s="178" t="s">
        <v>43</v>
      </c>
      <c r="E6" s="167"/>
      <c r="F6" s="183" t="s">
        <v>44</v>
      </c>
      <c r="G6" s="171">
        <v>2</v>
      </c>
      <c r="H6" s="172"/>
      <c r="I6" s="173"/>
      <c r="J6" s="174"/>
      <c r="K6" s="174" t="str">
        <f>VLOOKUP(B6,电搭接情况统计!$B$2:$H$423,7,0)</f>
        <v>C类</v>
      </c>
      <c r="L6" s="175"/>
      <c r="M6" s="167" t="s">
        <v>25</v>
      </c>
      <c r="N6" s="202" t="s">
        <v>26</v>
      </c>
      <c r="O6" s="202" t="s">
        <v>26</v>
      </c>
      <c r="P6" s="179"/>
      <c r="Q6" s="179"/>
      <c r="R6" s="179"/>
      <c r="S6" s="13" t="s">
        <v>27</v>
      </c>
    </row>
    <row r="7" spans="1:20">
      <c r="A7" s="167" t="s">
        <v>20</v>
      </c>
      <c r="B7" s="146" t="s">
        <v>45</v>
      </c>
      <c r="C7" s="167" t="s">
        <v>42</v>
      </c>
      <c r="D7" s="178" t="s">
        <v>46</v>
      </c>
      <c r="E7" s="167"/>
      <c r="F7" s="183" t="s">
        <v>44</v>
      </c>
      <c r="G7" s="171">
        <v>2</v>
      </c>
      <c r="H7" s="172"/>
      <c r="I7" s="173"/>
      <c r="J7" s="174"/>
      <c r="K7" s="174" t="str">
        <f>VLOOKUP(B7,电搭接情况统计!$B$2:$H$423,7,0)</f>
        <v>C类</v>
      </c>
      <c r="L7" s="175"/>
      <c r="M7" s="167" t="s">
        <v>25</v>
      </c>
      <c r="N7" s="202" t="s">
        <v>26</v>
      </c>
      <c r="O7" s="202" t="s">
        <v>26</v>
      </c>
      <c r="P7" s="179"/>
      <c r="Q7" s="179"/>
      <c r="R7" s="179"/>
      <c r="S7" s="13" t="s">
        <v>27</v>
      </c>
    </row>
    <row r="8" spans="1:20">
      <c r="A8" s="167" t="s">
        <v>20</v>
      </c>
      <c r="B8" s="146" t="s">
        <v>47</v>
      </c>
      <c r="C8" s="167" t="s">
        <v>48</v>
      </c>
      <c r="D8" s="178" t="s">
        <v>49</v>
      </c>
      <c r="E8" s="167"/>
      <c r="F8" s="183" t="s">
        <v>50</v>
      </c>
      <c r="G8" s="171">
        <v>2</v>
      </c>
      <c r="H8" s="172"/>
      <c r="I8" s="173"/>
      <c r="J8" s="174"/>
      <c r="K8" s="174"/>
      <c r="L8" s="175"/>
      <c r="M8" s="167" t="s">
        <v>51</v>
      </c>
      <c r="N8" s="202" t="s">
        <v>32</v>
      </c>
      <c r="O8" s="202" t="s">
        <v>32</v>
      </c>
      <c r="P8" s="179"/>
      <c r="Q8" s="179"/>
      <c r="R8" s="179"/>
      <c r="S8" s="13" t="s">
        <v>27</v>
      </c>
    </row>
    <row r="9" spans="1:20">
      <c r="A9" s="167" t="s">
        <v>20</v>
      </c>
      <c r="B9" s="146" t="s">
        <v>52</v>
      </c>
      <c r="C9" s="167" t="s">
        <v>48</v>
      </c>
      <c r="D9" s="178" t="s">
        <v>53</v>
      </c>
      <c r="E9" s="167"/>
      <c r="F9" s="183" t="s">
        <v>50</v>
      </c>
      <c r="G9" s="171">
        <v>2</v>
      </c>
      <c r="H9" s="172"/>
      <c r="I9" s="173"/>
      <c r="J9" s="174"/>
      <c r="K9" s="174"/>
      <c r="L9" s="175"/>
      <c r="M9" s="167" t="s">
        <v>51</v>
      </c>
      <c r="N9" s="202" t="s">
        <v>32</v>
      </c>
      <c r="O9" s="202" t="s">
        <v>32</v>
      </c>
      <c r="P9" s="179"/>
      <c r="Q9" s="179"/>
      <c r="R9" s="179"/>
      <c r="S9" s="13" t="s">
        <v>27</v>
      </c>
    </row>
    <row r="10" spans="1:20">
      <c r="A10" s="167" t="s">
        <v>20</v>
      </c>
      <c r="B10" s="146" t="s">
        <v>54</v>
      </c>
      <c r="C10" s="167" t="s">
        <v>55</v>
      </c>
      <c r="D10" s="178" t="s">
        <v>56</v>
      </c>
      <c r="E10" s="167"/>
      <c r="F10" s="183" t="s">
        <v>50</v>
      </c>
      <c r="G10" s="171">
        <v>2</v>
      </c>
      <c r="H10" s="172"/>
      <c r="I10" s="173"/>
      <c r="J10" s="174"/>
      <c r="K10" s="174" t="str">
        <f>VLOOKUP(B10,电搭接情况统计!$B$2:$H$423,7,0)</f>
        <v>C类</v>
      </c>
      <c r="L10" s="175"/>
      <c r="M10" s="167" t="s">
        <v>51</v>
      </c>
      <c r="N10" s="202" t="s">
        <v>32</v>
      </c>
      <c r="O10" s="202" t="s">
        <v>32</v>
      </c>
      <c r="P10" s="179"/>
      <c r="Q10" s="179"/>
      <c r="R10" s="179"/>
      <c r="S10" s="13" t="s">
        <v>27</v>
      </c>
    </row>
    <row r="11" spans="1:20">
      <c r="A11" s="167" t="s">
        <v>20</v>
      </c>
      <c r="B11" s="146" t="s">
        <v>57</v>
      </c>
      <c r="C11" s="167" t="s">
        <v>55</v>
      </c>
      <c r="D11" s="178" t="s">
        <v>58</v>
      </c>
      <c r="E11" s="167"/>
      <c r="F11" s="183" t="s">
        <v>50</v>
      </c>
      <c r="G11" s="171">
        <v>2</v>
      </c>
      <c r="H11" s="172"/>
      <c r="I11" s="173"/>
      <c r="J11" s="174"/>
      <c r="K11" s="174" t="str">
        <f>VLOOKUP(B11,电搭接情况统计!$B$2:$H$423,7,0)</f>
        <v>C类</v>
      </c>
      <c r="L11" s="175"/>
      <c r="M11" s="167" t="s">
        <v>51</v>
      </c>
      <c r="N11" s="202" t="s">
        <v>32</v>
      </c>
      <c r="O11" s="202" t="s">
        <v>32</v>
      </c>
      <c r="P11" s="179"/>
      <c r="Q11" s="179"/>
      <c r="R11" s="179"/>
      <c r="S11" s="13" t="s">
        <v>27</v>
      </c>
    </row>
    <row r="12" spans="1:20">
      <c r="A12" s="167" t="s">
        <v>20</v>
      </c>
      <c r="B12" s="146" t="s">
        <v>59</v>
      </c>
      <c r="C12" s="167" t="s">
        <v>60</v>
      </c>
      <c r="D12" s="178" t="s">
        <v>61</v>
      </c>
      <c r="E12" s="167"/>
      <c r="F12" s="183" t="s">
        <v>50</v>
      </c>
      <c r="G12" s="171">
        <v>2</v>
      </c>
      <c r="H12" s="172"/>
      <c r="I12" s="173"/>
      <c r="J12" s="174"/>
      <c r="K12" s="174" t="str">
        <f>VLOOKUP(B12,电搭接情况统计!$B$2:$H$423,7,0)</f>
        <v>C类</v>
      </c>
      <c r="L12" s="175"/>
      <c r="M12" s="167" t="s">
        <v>25</v>
      </c>
      <c r="N12" s="202" t="s">
        <v>26</v>
      </c>
      <c r="O12" s="202" t="s">
        <v>32</v>
      </c>
      <c r="P12" s="179"/>
      <c r="Q12" s="179"/>
      <c r="R12" s="179"/>
      <c r="S12" s="13" t="s">
        <v>27</v>
      </c>
    </row>
    <row r="13" spans="1:20">
      <c r="A13" s="167" t="s">
        <v>20</v>
      </c>
      <c r="B13" s="146" t="s">
        <v>62</v>
      </c>
      <c r="C13" s="167" t="s">
        <v>60</v>
      </c>
      <c r="D13" s="178" t="s">
        <v>63</v>
      </c>
      <c r="E13" s="167"/>
      <c r="F13" s="183" t="s">
        <v>50</v>
      </c>
      <c r="G13" s="171">
        <v>2</v>
      </c>
      <c r="H13" s="172"/>
      <c r="I13" s="173"/>
      <c r="J13" s="174"/>
      <c r="K13" s="174" t="str">
        <f>VLOOKUP(B13,电搭接情况统计!$B$2:$H$423,7,0)</f>
        <v>C类</v>
      </c>
      <c r="L13" s="175"/>
      <c r="M13" s="167" t="s">
        <v>25</v>
      </c>
      <c r="N13" s="202" t="s">
        <v>26</v>
      </c>
      <c r="O13" s="202" t="s">
        <v>32</v>
      </c>
      <c r="P13" s="179"/>
      <c r="Q13" s="179"/>
      <c r="R13" s="179"/>
      <c r="S13" s="13" t="s">
        <v>27</v>
      </c>
    </row>
    <row r="14" spans="1:20">
      <c r="A14" s="167" t="s">
        <v>20</v>
      </c>
      <c r="B14" s="184" t="s">
        <v>64</v>
      </c>
      <c r="C14" s="167" t="s">
        <v>65</v>
      </c>
      <c r="D14" s="178" t="s">
        <v>66</v>
      </c>
      <c r="E14" s="167"/>
      <c r="F14" s="183" t="s">
        <v>67</v>
      </c>
      <c r="G14" s="171">
        <v>1</v>
      </c>
      <c r="H14" s="172" t="s">
        <v>68</v>
      </c>
      <c r="I14" s="173"/>
      <c r="J14" s="174"/>
      <c r="K14" s="174" t="str">
        <f>VLOOKUP(B14,电搭接情况统计!$B$2:$H$423,7,0)</f>
        <v>静电放电器复材底座</v>
      </c>
      <c r="L14" s="175"/>
      <c r="M14" s="167" t="s">
        <v>51</v>
      </c>
      <c r="N14" s="202" t="s">
        <v>32</v>
      </c>
      <c r="O14" s="202" t="s">
        <v>32</v>
      </c>
      <c r="P14" s="179"/>
      <c r="Q14" s="179"/>
      <c r="R14" s="179"/>
      <c r="S14" s="13" t="s">
        <v>27</v>
      </c>
    </row>
    <row r="15" spans="1:20">
      <c r="A15" s="167" t="s">
        <v>20</v>
      </c>
      <c r="B15" s="184" t="s">
        <v>69</v>
      </c>
      <c r="C15" s="167" t="s">
        <v>65</v>
      </c>
      <c r="D15" s="178" t="s">
        <v>70</v>
      </c>
      <c r="E15" s="167"/>
      <c r="F15" s="183" t="s">
        <v>67</v>
      </c>
      <c r="G15" s="171">
        <v>1</v>
      </c>
      <c r="H15" s="172" t="s">
        <v>68</v>
      </c>
      <c r="I15" s="173"/>
      <c r="J15" s="174"/>
      <c r="K15" s="174" t="str">
        <f>VLOOKUP(B15,电搭接情况统计!$B$2:$H$423,7,0)</f>
        <v>静电放电器复材底座</v>
      </c>
      <c r="L15" s="175"/>
      <c r="M15" s="167" t="s">
        <v>51</v>
      </c>
      <c r="N15" s="202" t="s">
        <v>32</v>
      </c>
      <c r="O15" s="202" t="s">
        <v>32</v>
      </c>
      <c r="P15" s="179"/>
      <c r="Q15" s="179"/>
      <c r="R15" s="179"/>
      <c r="S15" s="13" t="s">
        <v>27</v>
      </c>
    </row>
    <row r="16" spans="1:20">
      <c r="A16" s="167" t="s">
        <v>20</v>
      </c>
      <c r="B16" s="184" t="s">
        <v>71</v>
      </c>
      <c r="C16" s="167" t="s">
        <v>65</v>
      </c>
      <c r="D16" s="178" t="s">
        <v>72</v>
      </c>
      <c r="E16" s="167"/>
      <c r="F16" s="183" t="s">
        <v>67</v>
      </c>
      <c r="G16" s="171">
        <v>1</v>
      </c>
      <c r="H16" s="172" t="s">
        <v>68</v>
      </c>
      <c r="I16" s="173"/>
      <c r="J16" s="174"/>
      <c r="K16" s="174" t="str">
        <f>VLOOKUP(B16,电搭接情况统计!$B$2:$H$423,7,0)</f>
        <v>静电放电器复材底座</v>
      </c>
      <c r="L16" s="175"/>
      <c r="M16" s="167" t="s">
        <v>51</v>
      </c>
      <c r="N16" s="202" t="s">
        <v>32</v>
      </c>
      <c r="O16" s="202" t="s">
        <v>32</v>
      </c>
      <c r="P16" s="179"/>
      <c r="Q16" s="179"/>
      <c r="R16" s="179"/>
      <c r="S16" s="13" t="s">
        <v>27</v>
      </c>
    </row>
    <row r="17" spans="1:19">
      <c r="A17" s="167" t="s">
        <v>20</v>
      </c>
      <c r="B17" s="184" t="s">
        <v>73</v>
      </c>
      <c r="C17" s="167" t="s">
        <v>65</v>
      </c>
      <c r="D17" s="178" t="s">
        <v>74</v>
      </c>
      <c r="E17" s="167"/>
      <c r="F17" s="183" t="s">
        <v>67</v>
      </c>
      <c r="G17" s="171">
        <v>1</v>
      </c>
      <c r="H17" s="172" t="s">
        <v>68</v>
      </c>
      <c r="I17" s="173"/>
      <c r="J17" s="174"/>
      <c r="K17" s="174" t="str">
        <f>VLOOKUP(B17,电搭接情况统计!$B$2:$H$423,7,0)</f>
        <v>静电放电器复材底座</v>
      </c>
      <c r="L17" s="175"/>
      <c r="M17" s="167" t="s">
        <v>51</v>
      </c>
      <c r="N17" s="202" t="s">
        <v>32</v>
      </c>
      <c r="O17" s="202" t="s">
        <v>32</v>
      </c>
      <c r="P17" s="179"/>
      <c r="Q17" s="179"/>
      <c r="R17" s="179"/>
      <c r="S17" s="13" t="s">
        <v>27</v>
      </c>
    </row>
    <row r="18" spans="1:19">
      <c r="A18" s="167" t="s">
        <v>20</v>
      </c>
      <c r="B18" s="184" t="s">
        <v>75</v>
      </c>
      <c r="C18" s="167" t="s">
        <v>65</v>
      </c>
      <c r="D18" s="178" t="s">
        <v>76</v>
      </c>
      <c r="E18" s="167"/>
      <c r="F18" s="183" t="s">
        <v>67</v>
      </c>
      <c r="G18" s="171">
        <v>1</v>
      </c>
      <c r="H18" s="172" t="s">
        <v>68</v>
      </c>
      <c r="I18" s="173"/>
      <c r="J18" s="174"/>
      <c r="K18" s="174" t="str">
        <f>VLOOKUP(B18,电搭接情况统计!$B$2:$H$423,7,0)</f>
        <v>静电放电器复材底座</v>
      </c>
      <c r="L18" s="175"/>
      <c r="M18" s="167" t="s">
        <v>51</v>
      </c>
      <c r="N18" s="202" t="s">
        <v>32</v>
      </c>
      <c r="O18" s="202" t="s">
        <v>32</v>
      </c>
      <c r="P18" s="179"/>
      <c r="Q18" s="179"/>
      <c r="R18" s="179"/>
      <c r="S18" s="13" t="s">
        <v>27</v>
      </c>
    </row>
    <row r="19" spans="1:19">
      <c r="A19" s="167" t="s">
        <v>20</v>
      </c>
      <c r="B19" s="184" t="s">
        <v>77</v>
      </c>
      <c r="C19" s="167" t="s">
        <v>65</v>
      </c>
      <c r="D19" s="178" t="s">
        <v>78</v>
      </c>
      <c r="E19" s="167"/>
      <c r="F19" s="183" t="s">
        <v>67</v>
      </c>
      <c r="G19" s="171">
        <v>1</v>
      </c>
      <c r="H19" s="172" t="s">
        <v>68</v>
      </c>
      <c r="I19" s="173"/>
      <c r="J19" s="174"/>
      <c r="K19" s="174" t="str">
        <f>VLOOKUP(B19,电搭接情况统计!$B$2:$H$423,7,0)</f>
        <v>静电放电器复材底座</v>
      </c>
      <c r="L19" s="175"/>
      <c r="M19" s="167" t="s">
        <v>51</v>
      </c>
      <c r="N19" s="202" t="s">
        <v>32</v>
      </c>
      <c r="O19" s="202" t="s">
        <v>32</v>
      </c>
      <c r="P19" s="179"/>
      <c r="Q19" s="179"/>
      <c r="R19" s="179"/>
      <c r="S19" s="13" t="s">
        <v>27</v>
      </c>
    </row>
    <row r="20" spans="1:19">
      <c r="A20" s="167" t="s">
        <v>20</v>
      </c>
      <c r="B20" s="184" t="s">
        <v>79</v>
      </c>
      <c r="C20" s="167" t="s">
        <v>65</v>
      </c>
      <c r="D20" s="178" t="s">
        <v>80</v>
      </c>
      <c r="E20" s="167"/>
      <c r="F20" s="183" t="s">
        <v>81</v>
      </c>
      <c r="G20" s="171">
        <v>1</v>
      </c>
      <c r="H20" s="172" t="s">
        <v>68</v>
      </c>
      <c r="I20" s="173"/>
      <c r="J20" s="174"/>
      <c r="K20" s="174" t="str">
        <f>VLOOKUP(B20,电搭接情况统计!$B$2:$H$423,7,0)</f>
        <v>静电放电器复材底座</v>
      </c>
      <c r="L20" s="175"/>
      <c r="M20" s="167" t="s">
        <v>51</v>
      </c>
      <c r="N20" s="202" t="s">
        <v>32</v>
      </c>
      <c r="O20" s="202" t="s">
        <v>32</v>
      </c>
      <c r="P20" s="179"/>
      <c r="Q20" s="179"/>
      <c r="R20" s="179"/>
      <c r="S20" s="13" t="s">
        <v>27</v>
      </c>
    </row>
    <row r="21" spans="1:19">
      <c r="A21" s="167" t="s">
        <v>20</v>
      </c>
      <c r="B21" s="184" t="s">
        <v>82</v>
      </c>
      <c r="C21" s="167" t="s">
        <v>65</v>
      </c>
      <c r="D21" s="178" t="s">
        <v>83</v>
      </c>
      <c r="E21" s="167"/>
      <c r="F21" s="183" t="s">
        <v>81</v>
      </c>
      <c r="G21" s="171">
        <v>1</v>
      </c>
      <c r="H21" s="172" t="s">
        <v>68</v>
      </c>
      <c r="I21" s="173"/>
      <c r="J21" s="174"/>
      <c r="K21" s="174" t="str">
        <f>VLOOKUP(B21,电搭接情况统计!$B$2:$H$423,7,0)</f>
        <v>静电放电器复材底座</v>
      </c>
      <c r="L21" s="175"/>
      <c r="M21" s="167" t="s">
        <v>51</v>
      </c>
      <c r="N21" s="202" t="s">
        <v>32</v>
      </c>
      <c r="O21" s="202" t="s">
        <v>32</v>
      </c>
      <c r="P21" s="179"/>
      <c r="Q21" s="179"/>
      <c r="R21" s="179"/>
      <c r="S21" s="13" t="s">
        <v>27</v>
      </c>
    </row>
    <row r="22" spans="1:19">
      <c r="A22" s="167" t="s">
        <v>20</v>
      </c>
      <c r="B22" s="184" t="s">
        <v>84</v>
      </c>
      <c r="C22" s="167" t="s">
        <v>65</v>
      </c>
      <c r="D22" s="178" t="s">
        <v>85</v>
      </c>
      <c r="E22" s="167"/>
      <c r="F22" s="183" t="s">
        <v>81</v>
      </c>
      <c r="G22" s="171">
        <v>1</v>
      </c>
      <c r="H22" s="172" t="s">
        <v>68</v>
      </c>
      <c r="I22" s="173"/>
      <c r="J22" s="174"/>
      <c r="K22" s="174" t="str">
        <f>VLOOKUP(B22,电搭接情况统计!$B$2:$H$423,7,0)</f>
        <v>静电放电器复材底座</v>
      </c>
      <c r="L22" s="175"/>
      <c r="M22" s="167" t="s">
        <v>51</v>
      </c>
      <c r="N22" s="202" t="s">
        <v>32</v>
      </c>
      <c r="O22" s="202" t="s">
        <v>32</v>
      </c>
      <c r="P22" s="179"/>
      <c r="Q22" s="179"/>
      <c r="R22" s="179"/>
      <c r="S22" s="13" t="s">
        <v>27</v>
      </c>
    </row>
    <row r="23" spans="1:19">
      <c r="A23" s="167" t="s">
        <v>20</v>
      </c>
      <c r="B23" s="184" t="s">
        <v>86</v>
      </c>
      <c r="C23" s="167" t="s">
        <v>65</v>
      </c>
      <c r="D23" s="178" t="s">
        <v>87</v>
      </c>
      <c r="E23" s="167"/>
      <c r="F23" s="183" t="s">
        <v>81</v>
      </c>
      <c r="G23" s="171">
        <v>1</v>
      </c>
      <c r="H23" s="172" t="s">
        <v>68</v>
      </c>
      <c r="I23" s="173"/>
      <c r="J23" s="174"/>
      <c r="K23" s="174" t="str">
        <f>VLOOKUP(B23,电搭接情况统计!$B$2:$H$423,7,0)</f>
        <v>静电放电器复材底座</v>
      </c>
      <c r="L23" s="175"/>
      <c r="M23" s="167" t="s">
        <v>51</v>
      </c>
      <c r="N23" s="202" t="s">
        <v>32</v>
      </c>
      <c r="O23" s="202" t="s">
        <v>32</v>
      </c>
      <c r="P23" s="179"/>
      <c r="Q23" s="179"/>
      <c r="R23" s="179"/>
      <c r="S23" s="13" t="s">
        <v>27</v>
      </c>
    </row>
    <row r="24" spans="1:19">
      <c r="A24" s="167" t="s">
        <v>20</v>
      </c>
      <c r="B24" s="184" t="s">
        <v>88</v>
      </c>
      <c r="C24" s="167" t="s">
        <v>65</v>
      </c>
      <c r="D24" s="178" t="s">
        <v>89</v>
      </c>
      <c r="E24" s="167"/>
      <c r="F24" s="183" t="s">
        <v>81</v>
      </c>
      <c r="G24" s="171">
        <v>1</v>
      </c>
      <c r="H24" s="172" t="s">
        <v>68</v>
      </c>
      <c r="I24" s="173"/>
      <c r="J24" s="174"/>
      <c r="K24" s="174" t="str">
        <f>VLOOKUP(B24,电搭接情况统计!$B$2:$H$423,7,0)</f>
        <v>静电放电器复材底座</v>
      </c>
      <c r="L24" s="175"/>
      <c r="M24" s="167" t="s">
        <v>51</v>
      </c>
      <c r="N24" s="202" t="s">
        <v>32</v>
      </c>
      <c r="O24" s="202" t="s">
        <v>32</v>
      </c>
      <c r="P24" s="179"/>
      <c r="Q24" s="179"/>
      <c r="R24" s="179"/>
      <c r="S24" s="13" t="s">
        <v>27</v>
      </c>
    </row>
    <row r="25" spans="1:19">
      <c r="A25" s="167" t="s">
        <v>20</v>
      </c>
      <c r="B25" s="184" t="s">
        <v>90</v>
      </c>
      <c r="C25" s="167" t="s">
        <v>65</v>
      </c>
      <c r="D25" s="178" t="s">
        <v>91</v>
      </c>
      <c r="E25" s="167"/>
      <c r="F25" s="183" t="s">
        <v>81</v>
      </c>
      <c r="G25" s="171">
        <v>1</v>
      </c>
      <c r="H25" s="172" t="s">
        <v>68</v>
      </c>
      <c r="I25" s="173"/>
      <c r="J25" s="174"/>
      <c r="K25" s="174" t="str">
        <f>VLOOKUP(B25,电搭接情况统计!$B$2:$H$423,7,0)</f>
        <v>静电放电器复材底座</v>
      </c>
      <c r="L25" s="175"/>
      <c r="M25" s="167" t="s">
        <v>51</v>
      </c>
      <c r="N25" s="202" t="s">
        <v>32</v>
      </c>
      <c r="O25" s="202" t="s">
        <v>32</v>
      </c>
      <c r="P25" s="179"/>
      <c r="Q25" s="179"/>
      <c r="R25" s="179"/>
      <c r="S25" s="13" t="s">
        <v>27</v>
      </c>
    </row>
    <row r="26" spans="1:19">
      <c r="A26" s="167" t="s">
        <v>20</v>
      </c>
      <c r="B26" s="184" t="s">
        <v>92</v>
      </c>
      <c r="C26" s="167" t="s">
        <v>65</v>
      </c>
      <c r="D26" s="178" t="s">
        <v>93</v>
      </c>
      <c r="E26" s="167"/>
      <c r="F26" s="183" t="s">
        <v>94</v>
      </c>
      <c r="G26" s="171">
        <v>1</v>
      </c>
      <c r="H26" s="172" t="s">
        <v>68</v>
      </c>
      <c r="I26" s="173"/>
      <c r="J26" s="174"/>
      <c r="K26" s="174" t="str">
        <f>VLOOKUP(B26,电搭接情况统计!$B$2:$H$423,7,0)</f>
        <v>静电放电器复材底座</v>
      </c>
      <c r="L26" s="175"/>
      <c r="M26" s="167" t="s">
        <v>51</v>
      </c>
      <c r="N26" s="202" t="s">
        <v>32</v>
      </c>
      <c r="O26" s="202" t="s">
        <v>32</v>
      </c>
      <c r="P26" s="179"/>
      <c r="Q26" s="179"/>
      <c r="R26" s="179"/>
      <c r="S26" s="13" t="s">
        <v>27</v>
      </c>
    </row>
    <row r="27" spans="1:19">
      <c r="A27" s="167" t="s">
        <v>20</v>
      </c>
      <c r="B27" s="184" t="s">
        <v>95</v>
      </c>
      <c r="C27" s="167" t="s">
        <v>65</v>
      </c>
      <c r="D27" s="178" t="s">
        <v>96</v>
      </c>
      <c r="E27" s="167"/>
      <c r="F27" s="183" t="s">
        <v>94</v>
      </c>
      <c r="G27" s="171">
        <v>1</v>
      </c>
      <c r="H27" s="172" t="s">
        <v>68</v>
      </c>
      <c r="I27" s="173"/>
      <c r="J27" s="174"/>
      <c r="K27" s="174" t="str">
        <f>VLOOKUP(B27,电搭接情况统计!$B$2:$H$423,7,0)</f>
        <v>静电放电器复材底座</v>
      </c>
      <c r="L27" s="175"/>
      <c r="M27" s="167" t="s">
        <v>51</v>
      </c>
      <c r="N27" s="202" t="s">
        <v>32</v>
      </c>
      <c r="O27" s="202" t="s">
        <v>32</v>
      </c>
      <c r="P27" s="179"/>
      <c r="Q27" s="179"/>
      <c r="R27" s="179"/>
      <c r="S27" s="13" t="s">
        <v>27</v>
      </c>
    </row>
    <row r="28" spans="1:19">
      <c r="A28" s="167" t="s">
        <v>20</v>
      </c>
      <c r="B28" s="184" t="s">
        <v>97</v>
      </c>
      <c r="C28" s="167" t="s">
        <v>65</v>
      </c>
      <c r="D28" s="178" t="s">
        <v>98</v>
      </c>
      <c r="E28" s="167"/>
      <c r="F28" s="183" t="s">
        <v>94</v>
      </c>
      <c r="G28" s="171">
        <v>1</v>
      </c>
      <c r="H28" s="172" t="s">
        <v>68</v>
      </c>
      <c r="I28" s="173"/>
      <c r="J28" s="174"/>
      <c r="K28" s="174" t="str">
        <f>VLOOKUP(B28,电搭接情况统计!$B$2:$H$423,7,0)</f>
        <v>静电放电器复材底座</v>
      </c>
      <c r="L28" s="175"/>
      <c r="M28" s="167" t="s">
        <v>51</v>
      </c>
      <c r="N28" s="202" t="s">
        <v>32</v>
      </c>
      <c r="O28" s="202" t="s">
        <v>32</v>
      </c>
      <c r="P28" s="179"/>
      <c r="Q28" s="179"/>
      <c r="R28" s="179"/>
      <c r="S28" s="13" t="s">
        <v>27</v>
      </c>
    </row>
    <row r="29" spans="1:19">
      <c r="A29" s="167" t="s">
        <v>20</v>
      </c>
      <c r="B29" s="146" t="s">
        <v>99</v>
      </c>
      <c r="C29" s="167" t="s">
        <v>100</v>
      </c>
      <c r="D29" s="186" t="s">
        <v>101</v>
      </c>
      <c r="E29" s="167"/>
      <c r="F29" s="187" t="s">
        <v>102</v>
      </c>
      <c r="G29" s="171">
        <v>2</v>
      </c>
      <c r="H29" s="172"/>
      <c r="I29" s="182" t="str">
        <f>VLOOKUP($B29,设备架接口信息!$A$1:$G$69,4,0)</f>
        <v>4MCU托架安装，C类锁紧器，托架下方安装风扇</v>
      </c>
      <c r="J29" s="175" t="str">
        <f>VLOOKUP($B29,设备架接口信息!$A$1:$G$69,5,0)</f>
        <v>面搭接</v>
      </c>
      <c r="K29" s="174" t="str">
        <f>VLOOKUP(B29,电搭接情况统计!$B$2:$H$423,7,0)</f>
        <v>R类</v>
      </c>
      <c r="L29" s="175">
        <f>VLOOKUP($B29,设备架接口信息!$A$1:$G$69,6,0)</f>
        <v>10.081134</v>
      </c>
      <c r="M29" s="167" t="s">
        <v>25</v>
      </c>
      <c r="N29" s="202" t="s">
        <v>26</v>
      </c>
      <c r="O29" s="202" t="s">
        <v>32</v>
      </c>
      <c r="P29" s="179"/>
      <c r="Q29" s="179"/>
      <c r="R29" s="179"/>
      <c r="S29" s="67" t="s">
        <v>37</v>
      </c>
    </row>
    <row r="30" spans="1:19">
      <c r="A30" s="167" t="s">
        <v>20</v>
      </c>
      <c r="B30" s="146" t="s">
        <v>103</v>
      </c>
      <c r="C30" s="167" t="s">
        <v>104</v>
      </c>
      <c r="D30" s="217" t="s">
        <v>105</v>
      </c>
      <c r="E30" s="167"/>
      <c r="F30" s="187" t="s">
        <v>102</v>
      </c>
      <c r="G30" s="171">
        <v>2</v>
      </c>
      <c r="H30" s="172" t="s">
        <v>106</v>
      </c>
      <c r="I30" s="182" t="str">
        <f>VLOOKUP($B30,设备架接口信息!$A$1:$G$69,4,0)</f>
        <v>六角螺栓安装</v>
      </c>
      <c r="J30" s="175" t="str">
        <f>VLOOKUP($B30,设备架接口信息!$A$1:$G$69,5,0)</f>
        <v>线搭接</v>
      </c>
      <c r="K30" s="174" t="str">
        <f>VLOOKUP(B30,电搭接情况统计!$B$2:$H$423,7,0)</f>
        <v>R类</v>
      </c>
      <c r="L30" s="175">
        <f>VLOOKUP($B30,设备架接口信息!$A$1:$G$69,6,0)</f>
        <v>3.869881</v>
      </c>
      <c r="M30" s="167" t="s">
        <v>25</v>
      </c>
      <c r="N30" s="202" t="s">
        <v>26</v>
      </c>
      <c r="O30" s="202" t="s">
        <v>32</v>
      </c>
      <c r="P30" s="179"/>
      <c r="Q30" s="179"/>
      <c r="R30" s="179"/>
    </row>
    <row r="31" spans="1:19">
      <c r="A31" s="167" t="s">
        <v>20</v>
      </c>
      <c r="B31" s="146" t="s">
        <v>107</v>
      </c>
      <c r="C31" s="167" t="s">
        <v>108</v>
      </c>
      <c r="D31" s="178" t="s">
        <v>109</v>
      </c>
      <c r="E31" s="167"/>
      <c r="F31" s="183" t="s">
        <v>110</v>
      </c>
      <c r="G31" s="171">
        <v>2</v>
      </c>
      <c r="H31" s="172"/>
      <c r="I31" s="173"/>
      <c r="J31" s="174"/>
      <c r="K31" s="174" t="str">
        <f>VLOOKUP(B31,电搭接情况统计!$B$2:$H$423,7,0)</f>
        <v>A类</v>
      </c>
      <c r="L31" s="175"/>
      <c r="M31" s="167" t="s">
        <v>25</v>
      </c>
      <c r="N31" s="202" t="s">
        <v>26</v>
      </c>
      <c r="O31" s="202" t="s">
        <v>32</v>
      </c>
      <c r="P31" s="179"/>
      <c r="Q31" s="179"/>
      <c r="R31" s="179"/>
      <c r="S31" s="13" t="s">
        <v>27</v>
      </c>
    </row>
    <row r="32" spans="1:19">
      <c r="A32" s="167" t="s">
        <v>20</v>
      </c>
      <c r="B32" s="146" t="s">
        <v>111</v>
      </c>
      <c r="C32" s="167" t="s">
        <v>112</v>
      </c>
      <c r="D32" s="217" t="s">
        <v>113</v>
      </c>
      <c r="E32" s="167"/>
      <c r="F32" s="183" t="s">
        <v>114</v>
      </c>
      <c r="G32" s="171">
        <v>2</v>
      </c>
      <c r="H32" s="172" t="s">
        <v>106</v>
      </c>
      <c r="I32" s="182" t="str">
        <f>VLOOKUP($B32,设备架接口信息!$A$1:$G$69,4,0)</f>
        <v>四角螺栓安装</v>
      </c>
      <c r="J32" s="175" t="str">
        <f>VLOOKUP($B32,设备架接口信息!$A$1:$G$69,5,0)</f>
        <v>线搭接</v>
      </c>
      <c r="K32" s="174" t="str">
        <f>VLOOKUP(B32,电搭接情况统计!$B$2:$H$423,7,0)</f>
        <v>C类</v>
      </c>
      <c r="L32" s="175">
        <f>VLOOKUP($B32,设备架接口信息!$A$1:$G$69,6,0)</f>
        <v>6.386789</v>
      </c>
      <c r="M32" s="167" t="s">
        <v>25</v>
      </c>
      <c r="N32" s="202" t="s">
        <v>26</v>
      </c>
      <c r="O32" s="202" t="s">
        <v>26</v>
      </c>
      <c r="P32" s="179"/>
      <c r="Q32" s="179"/>
      <c r="R32" s="179"/>
    </row>
    <row r="33" spans="1:20">
      <c r="A33" s="167" t="s">
        <v>115</v>
      </c>
      <c r="B33" s="184" t="s">
        <v>116</v>
      </c>
      <c r="C33" s="167" t="s">
        <v>117</v>
      </c>
      <c r="D33" s="178" t="s">
        <v>118</v>
      </c>
      <c r="E33" s="167"/>
      <c r="F33" s="183" t="s">
        <v>119</v>
      </c>
      <c r="G33" s="171">
        <v>1</v>
      </c>
      <c r="H33" s="172"/>
      <c r="I33" s="173"/>
      <c r="J33" s="174"/>
      <c r="K33" s="174" t="str">
        <f>VLOOKUP(B33,电搭接情况统计!$B$2:$H$423,7,0)</f>
        <v>双线制
R H S类，壳体搭接；</v>
      </c>
      <c r="L33" s="175">
        <v>98</v>
      </c>
      <c r="M33" s="167" t="s">
        <v>25</v>
      </c>
      <c r="N33" s="202" t="s">
        <v>26</v>
      </c>
      <c r="O33" s="202" t="s">
        <v>26</v>
      </c>
      <c r="P33" s="179"/>
      <c r="Q33" s="179"/>
      <c r="R33" s="179"/>
      <c r="S33" s="174" t="s">
        <v>120</v>
      </c>
    </row>
    <row r="34" spans="1:20">
      <c r="A34" s="167" t="s">
        <v>115</v>
      </c>
      <c r="B34" s="184" t="s">
        <v>121</v>
      </c>
      <c r="C34" s="167" t="s">
        <v>122</v>
      </c>
      <c r="D34" s="178" t="s">
        <v>123</v>
      </c>
      <c r="E34" s="167"/>
      <c r="F34" s="183" t="s">
        <v>124</v>
      </c>
      <c r="G34" s="171">
        <v>1</v>
      </c>
      <c r="H34" s="172"/>
      <c r="I34" s="173"/>
      <c r="J34" s="174"/>
      <c r="K34" s="174" t="str">
        <f>VLOOKUP(B34,电搭接情况统计!$B$2:$H$423,7,0)</f>
        <v>双线制
R H S类，壳体搭接；</v>
      </c>
      <c r="L34" s="175">
        <v>192.4</v>
      </c>
      <c r="M34" s="167" t="s">
        <v>25</v>
      </c>
      <c r="N34" s="202" t="s">
        <v>26</v>
      </c>
      <c r="O34" s="202" t="s">
        <v>26</v>
      </c>
      <c r="P34" s="179"/>
      <c r="Q34" s="179"/>
      <c r="R34" s="179"/>
      <c r="S34" s="174" t="s">
        <v>120</v>
      </c>
    </row>
    <row r="35" spans="1:20">
      <c r="A35" s="167" t="s">
        <v>115</v>
      </c>
      <c r="B35" s="190" t="s">
        <v>125</v>
      </c>
      <c r="C35" s="167" t="s">
        <v>126</v>
      </c>
      <c r="D35" s="178" t="s">
        <v>127</v>
      </c>
      <c r="E35" s="167"/>
      <c r="F35" s="183" t="s">
        <v>119</v>
      </c>
      <c r="G35" s="171">
        <v>1</v>
      </c>
      <c r="H35" s="172"/>
      <c r="I35" s="173"/>
      <c r="J35" s="174"/>
      <c r="K35" s="174" t="e">
        <f>VLOOKUP(B35,电搭接情况统计!$B$2:$H$423,7,0)</f>
        <v>#N/A</v>
      </c>
      <c r="L35" s="175">
        <v>18.8</v>
      </c>
      <c r="M35" s="167" t="s">
        <v>25</v>
      </c>
      <c r="N35" s="202" t="s">
        <v>26</v>
      </c>
      <c r="O35" s="202" t="s">
        <v>26</v>
      </c>
      <c r="P35" s="179"/>
      <c r="Q35" s="179"/>
      <c r="R35" s="179"/>
      <c r="S35" s="174" t="s">
        <v>120</v>
      </c>
    </row>
    <row r="36" spans="1:20">
      <c r="A36" s="167" t="s">
        <v>115</v>
      </c>
      <c r="B36" s="146" t="s">
        <v>128</v>
      </c>
      <c r="C36" s="167"/>
      <c r="D36" s="178"/>
      <c r="E36" s="167"/>
      <c r="F36" s="183"/>
      <c r="G36" s="171"/>
      <c r="H36" s="172"/>
      <c r="I36" s="173"/>
      <c r="J36" s="174"/>
      <c r="K36" s="174"/>
      <c r="L36" s="175"/>
      <c r="M36" s="167"/>
      <c r="N36" s="202"/>
      <c r="O36" s="202"/>
      <c r="P36" s="179"/>
      <c r="Q36" s="179"/>
      <c r="R36" s="179"/>
      <c r="S36" s="174"/>
      <c r="T36" s="8" t="s">
        <v>129</v>
      </c>
    </row>
    <row r="37" spans="1:20">
      <c r="A37" s="167" t="s">
        <v>115</v>
      </c>
      <c r="B37" s="184" t="s">
        <v>130</v>
      </c>
      <c r="C37" s="167" t="s">
        <v>131</v>
      </c>
      <c r="D37" s="178" t="s">
        <v>132</v>
      </c>
      <c r="E37" s="167" t="s">
        <v>133</v>
      </c>
      <c r="F37" s="183" t="s">
        <v>114</v>
      </c>
      <c r="G37" s="171">
        <v>1</v>
      </c>
      <c r="H37" s="172" t="s">
        <v>134</v>
      </c>
      <c r="I37" s="182" t="s">
        <v>135</v>
      </c>
      <c r="J37" s="175" t="str">
        <f>VLOOKUP($B37,设备架接口信息!$A$1:$G$69,5,0)</f>
        <v>线搭接</v>
      </c>
      <c r="K37" s="174" t="str">
        <f>VLOOKUP(B37,电搭接情况统计!$B$2:$H$423,7,0)</f>
        <v>C 类
R H S类，壳体搭接；</v>
      </c>
      <c r="L37" s="175">
        <f>VLOOKUP($B37,设备架接口信息!$A$1:$G$69,6,0)</f>
        <v>18</v>
      </c>
      <c r="M37" s="167" t="s">
        <v>25</v>
      </c>
      <c r="N37" s="202" t="s">
        <v>26</v>
      </c>
      <c r="O37" s="202" t="s">
        <v>26</v>
      </c>
      <c r="P37" s="179"/>
      <c r="Q37" s="179"/>
      <c r="R37" s="179"/>
      <c r="S37" s="13" t="s">
        <v>136</v>
      </c>
    </row>
    <row r="38" spans="1:20">
      <c r="A38" s="167" t="s">
        <v>115</v>
      </c>
      <c r="B38" s="184" t="s">
        <v>137</v>
      </c>
      <c r="C38" s="167" t="s">
        <v>138</v>
      </c>
      <c r="D38" s="178" t="s">
        <v>139</v>
      </c>
      <c r="E38" s="167" t="s">
        <v>133</v>
      </c>
      <c r="F38" s="183" t="s">
        <v>114</v>
      </c>
      <c r="G38" s="171">
        <v>1</v>
      </c>
      <c r="H38" s="172" t="s">
        <v>134</v>
      </c>
      <c r="I38" s="182" t="s">
        <v>135</v>
      </c>
      <c r="J38" s="175" t="str">
        <f>VLOOKUP($B38,设备架接口信息!$A$1:$G$69,5,0)</f>
        <v>线搭接</v>
      </c>
      <c r="K38" s="174" t="str">
        <f>VLOOKUP(B38,电搭接情况统计!$B$2:$H$423,7,0)</f>
        <v>C 类
R H S类，壳体搭接；</v>
      </c>
      <c r="L38" s="175">
        <f>VLOOKUP($B38,设备架接口信息!$A$1:$G$69,6,0)</f>
        <v>18</v>
      </c>
      <c r="M38" s="167" t="s">
        <v>25</v>
      </c>
      <c r="N38" s="202" t="s">
        <v>26</v>
      </c>
      <c r="O38" s="202" t="s">
        <v>26</v>
      </c>
      <c r="P38" s="179"/>
      <c r="Q38" s="179"/>
      <c r="R38" s="179"/>
      <c r="S38" s="13" t="s">
        <v>136</v>
      </c>
    </row>
    <row r="39" spans="1:20">
      <c r="A39" s="167" t="s">
        <v>115</v>
      </c>
      <c r="B39" s="184" t="s">
        <v>140</v>
      </c>
      <c r="C39" s="167" t="s">
        <v>141</v>
      </c>
      <c r="D39" s="178" t="s">
        <v>142</v>
      </c>
      <c r="E39" s="167" t="s">
        <v>143</v>
      </c>
      <c r="F39" s="183" t="s">
        <v>40</v>
      </c>
      <c r="G39" s="171">
        <v>1</v>
      </c>
      <c r="H39" s="172" t="s">
        <v>134</v>
      </c>
      <c r="I39" s="182" t="s">
        <v>135</v>
      </c>
      <c r="J39" s="175" t="str">
        <f>VLOOKUP($B39,设备架接口信息!$A$1:$G$69,5,0)</f>
        <v>线搭接</v>
      </c>
      <c r="K39" s="174" t="str">
        <f>VLOOKUP(B39,电搭接情况统计!$B$2:$H$423,7,0)</f>
        <v>C 类
R H S类，壳体搭接；</v>
      </c>
      <c r="L39" s="175">
        <f>VLOOKUP($B39,设备架接口信息!$A$1:$G$69,6,0)</f>
        <v>18</v>
      </c>
      <c r="M39" s="167" t="s">
        <v>25</v>
      </c>
      <c r="N39" s="202" t="s">
        <v>26</v>
      </c>
      <c r="O39" s="202" t="s">
        <v>26</v>
      </c>
      <c r="P39" s="179"/>
      <c r="Q39" s="179"/>
      <c r="R39" s="179"/>
      <c r="S39" s="13" t="s">
        <v>136</v>
      </c>
    </row>
    <row r="40" ht="40.5" spans="1:20">
      <c r="A40" s="167" t="s">
        <v>115</v>
      </c>
      <c r="B40" s="184" t="s">
        <v>144</v>
      </c>
      <c r="C40" s="167" t="s">
        <v>145</v>
      </c>
      <c r="D40" s="217" t="s">
        <v>146</v>
      </c>
      <c r="E40" s="167"/>
      <c r="F40" s="183" t="s">
        <v>40</v>
      </c>
      <c r="G40" s="171">
        <v>1</v>
      </c>
      <c r="H40" s="172" t="s">
        <v>147</v>
      </c>
      <c r="I40" s="182" t="str">
        <f>VLOOKUP($B40,设备架接口信息!$A$1:$G$69,4,0)</f>
        <v>四角螺栓安装</v>
      </c>
      <c r="J40" s="175" t="str">
        <f>VLOOKUP($B40,设备架接口信息!$A$1:$G$69,5,0)</f>
        <v>线搭接</v>
      </c>
      <c r="K40" s="174" t="str">
        <f>VLOOKUP(B40,电搭接情况统计!$B$2:$H$423,7,0)</f>
        <v>C 类
R H S类，壳体搭接；</v>
      </c>
      <c r="L40" s="175">
        <v>7.6</v>
      </c>
      <c r="M40" s="167" t="s">
        <v>25</v>
      </c>
      <c r="N40" s="202" t="s">
        <v>26</v>
      </c>
      <c r="O40" s="202" t="s">
        <v>26</v>
      </c>
      <c r="P40" s="179"/>
      <c r="Q40" s="179"/>
      <c r="R40" s="179"/>
      <c r="S40" s="94" t="s">
        <v>148</v>
      </c>
    </row>
    <row r="41" ht="40.5" spans="1:20">
      <c r="A41" s="167" t="s">
        <v>115</v>
      </c>
      <c r="B41" s="184" t="s">
        <v>149</v>
      </c>
      <c r="C41" s="167" t="s">
        <v>150</v>
      </c>
      <c r="D41" s="217" t="s">
        <v>151</v>
      </c>
      <c r="E41" s="167"/>
      <c r="F41" s="192" t="s">
        <v>152</v>
      </c>
      <c r="G41" s="171">
        <v>1</v>
      </c>
      <c r="H41" s="172" t="s">
        <v>147</v>
      </c>
      <c r="I41" s="182" t="str">
        <f>VLOOKUP($B41,设备架接口信息!$A$1:$G$69,4,0)</f>
        <v>四角螺栓安装</v>
      </c>
      <c r="J41" s="175" t="str">
        <f>VLOOKUP($B41,设备架接口信息!$A$1:$G$69,5,0)</f>
        <v>线搭接</v>
      </c>
      <c r="K41" s="174" t="str">
        <f>VLOOKUP(B41,电搭接情况统计!$B$2:$H$423,7,0)</f>
        <v>C 类
R H S类，壳体搭接；</v>
      </c>
      <c r="L41" s="175">
        <v>7.6</v>
      </c>
      <c r="M41" s="167" t="s">
        <v>25</v>
      </c>
      <c r="N41" s="202" t="s">
        <v>26</v>
      </c>
      <c r="O41" s="202" t="s">
        <v>26</v>
      </c>
      <c r="P41" s="179"/>
      <c r="Q41" s="179"/>
      <c r="R41" s="179"/>
      <c r="S41" s="94" t="s">
        <v>148</v>
      </c>
    </row>
    <row r="42" ht="40.5" spans="1:20">
      <c r="A42" s="167" t="s">
        <v>115</v>
      </c>
      <c r="B42" s="184" t="s">
        <v>153</v>
      </c>
      <c r="C42" s="167" t="s">
        <v>154</v>
      </c>
      <c r="D42" s="217" t="s">
        <v>155</v>
      </c>
      <c r="E42" s="167"/>
      <c r="F42" s="192" t="s">
        <v>156</v>
      </c>
      <c r="G42" s="171">
        <v>1</v>
      </c>
      <c r="H42" s="172" t="s">
        <v>147</v>
      </c>
      <c r="I42" s="182" t="str">
        <f>VLOOKUP($B42,设备架接口信息!$A$1:$G$69,4,0)</f>
        <v>四角螺栓安装</v>
      </c>
      <c r="J42" s="175" t="str">
        <f>VLOOKUP($B42,设备架接口信息!$A$1:$G$69,5,0)</f>
        <v>线搭接</v>
      </c>
      <c r="K42" s="174" t="str">
        <f>VLOOKUP(B42,电搭接情况统计!$B$2:$H$423,7,0)</f>
        <v>C 类
R H S类，壳体搭接；</v>
      </c>
      <c r="L42" s="175">
        <v>7.6</v>
      </c>
      <c r="M42" s="167" t="s">
        <v>25</v>
      </c>
      <c r="N42" s="202" t="s">
        <v>26</v>
      </c>
      <c r="O42" s="202" t="s">
        <v>26</v>
      </c>
      <c r="P42" s="179"/>
      <c r="Q42" s="179"/>
      <c r="R42" s="179"/>
      <c r="S42" s="94" t="s">
        <v>148</v>
      </c>
    </row>
    <row r="43" ht="40.5" spans="1:20">
      <c r="A43" s="167" t="s">
        <v>115</v>
      </c>
      <c r="B43" s="184" t="s">
        <v>157</v>
      </c>
      <c r="C43" s="167" t="s">
        <v>158</v>
      </c>
      <c r="D43" s="217" t="s">
        <v>159</v>
      </c>
      <c r="E43" s="167"/>
      <c r="F43" s="192" t="s">
        <v>160</v>
      </c>
      <c r="G43" s="171">
        <v>1</v>
      </c>
      <c r="H43" s="172" t="s">
        <v>147</v>
      </c>
      <c r="I43" s="182" t="s">
        <v>161</v>
      </c>
      <c r="J43" s="175" t="str">
        <f>VLOOKUP($B43,设备架接口信息!$A$1:$G$69,5,0)</f>
        <v>线搭接</v>
      </c>
      <c r="K43" s="174" t="str">
        <f>VLOOKUP(B43,电搭接情况统计!$B$2:$H$423,7,0)</f>
        <v>C 类
R H S类，壳体搭接；</v>
      </c>
      <c r="L43" s="175">
        <v>4.5</v>
      </c>
      <c r="M43" s="167" t="s">
        <v>25</v>
      </c>
      <c r="N43" s="202" t="s">
        <v>26</v>
      </c>
      <c r="O43" s="202" t="s">
        <v>26</v>
      </c>
      <c r="P43" s="179"/>
      <c r="Q43" s="179"/>
      <c r="R43" s="179"/>
      <c r="S43" s="94" t="s">
        <v>148</v>
      </c>
    </row>
    <row r="44" spans="1:20">
      <c r="A44" s="167" t="s">
        <v>115</v>
      </c>
      <c r="B44" s="184" t="s">
        <v>162</v>
      </c>
      <c r="C44" s="167" t="s">
        <v>163</v>
      </c>
      <c r="D44" s="217" t="s">
        <v>164</v>
      </c>
      <c r="E44" s="167"/>
      <c r="F44" s="192" t="s">
        <v>156</v>
      </c>
      <c r="G44" s="171">
        <v>1</v>
      </c>
      <c r="H44" s="172"/>
      <c r="I44" s="182" t="str">
        <f>VLOOKUP($B44,设备架接口信息!$A$1:$G$69,4,0)</f>
        <v>四角螺栓安装</v>
      </c>
      <c r="J44" s="175" t="str">
        <f>VLOOKUP($B44,设备架接口信息!$A$1:$G$69,5,0)</f>
        <v>线搭接</v>
      </c>
      <c r="K44" s="174" t="str">
        <f>VLOOKUP(B44,电搭接情况统计!$B$2:$H$423,7,0)</f>
        <v>双线制
R H S类，壳体搭接；</v>
      </c>
      <c r="L44" s="175">
        <f>VLOOKUP($B44,设备架接口信息!$A$1:$G$69,6,0)</f>
        <v>6.5</v>
      </c>
      <c r="M44" s="167" t="s">
        <v>25</v>
      </c>
      <c r="N44" s="202" t="s">
        <v>26</v>
      </c>
      <c r="O44" s="202" t="s">
        <v>26</v>
      </c>
      <c r="P44" s="179"/>
      <c r="Q44" s="179"/>
      <c r="R44" s="179"/>
      <c r="S44" s="13" t="s">
        <v>27</v>
      </c>
    </row>
    <row r="45" spans="1:20">
      <c r="A45" s="167" t="s">
        <v>115</v>
      </c>
      <c r="B45" s="184" t="s">
        <v>165</v>
      </c>
      <c r="C45" s="167" t="s">
        <v>163</v>
      </c>
      <c r="D45" s="217" t="s">
        <v>166</v>
      </c>
      <c r="E45" s="167"/>
      <c r="F45" s="192" t="s">
        <v>160</v>
      </c>
      <c r="G45" s="171">
        <v>1</v>
      </c>
      <c r="H45" s="172"/>
      <c r="I45" s="182" t="str">
        <f>VLOOKUP($B45,设备架接口信息!$A$1:$G$69,4,0)</f>
        <v>四角螺栓安装</v>
      </c>
      <c r="J45" s="175" t="str">
        <f>VLOOKUP($B45,设备架接口信息!$A$1:$G$69,5,0)</f>
        <v>线搭接</v>
      </c>
      <c r="K45" s="174" t="str">
        <f>VLOOKUP(B45,电搭接情况统计!$B$2:$H$423,7,0)</f>
        <v>双线制
R H S类，壳体搭接；</v>
      </c>
      <c r="L45" s="175">
        <f>VLOOKUP($B45,设备架接口信息!$A$1:$G$69,6,0)</f>
        <v>6.5</v>
      </c>
      <c r="M45" s="167" t="s">
        <v>25</v>
      </c>
      <c r="N45" s="202" t="s">
        <v>26</v>
      </c>
      <c r="O45" s="202" t="s">
        <v>26</v>
      </c>
      <c r="P45" s="179"/>
      <c r="Q45" s="179"/>
      <c r="R45" s="179"/>
      <c r="S45" s="13" t="s">
        <v>27</v>
      </c>
    </row>
    <row r="46" spans="1:20">
      <c r="A46" s="167" t="s">
        <v>115</v>
      </c>
      <c r="B46" s="184" t="s">
        <v>167</v>
      </c>
      <c r="C46" s="167" t="s">
        <v>168</v>
      </c>
      <c r="D46" s="178" t="s">
        <v>169</v>
      </c>
      <c r="E46" s="167"/>
      <c r="F46" s="183" t="s">
        <v>40</v>
      </c>
      <c r="G46" s="171">
        <v>1</v>
      </c>
      <c r="H46" s="172"/>
      <c r="I46" s="182" t="str">
        <f>VLOOKUP($B46,设备架接口信息!$A$1:$G$69,4,0)</f>
        <v>四角螺栓安装</v>
      </c>
      <c r="J46" s="175" t="str">
        <f>VLOOKUP($B46,设备架接口信息!$A$1:$G$69,5,0)</f>
        <v>线搭接</v>
      </c>
      <c r="K46" s="174" t="str">
        <f>VLOOKUP(B46,电搭接情况统计!$B$2:$H$423,7,0)</f>
        <v>双线制
R H S类，壳体搭接；</v>
      </c>
      <c r="L46" s="175">
        <f>VLOOKUP($B46,设备架接口信息!$A$1:$G$69,6,0)</f>
        <v>6.5</v>
      </c>
      <c r="M46" s="167" t="s">
        <v>25</v>
      </c>
      <c r="N46" s="202" t="s">
        <v>26</v>
      </c>
      <c r="O46" s="202" t="s">
        <v>26</v>
      </c>
      <c r="P46" s="179"/>
      <c r="Q46" s="179"/>
      <c r="R46" s="179"/>
      <c r="S46" s="13" t="s">
        <v>27</v>
      </c>
    </row>
    <row r="47" spans="1:20">
      <c r="A47" s="167" t="s">
        <v>170</v>
      </c>
      <c r="B47" s="184" t="s">
        <v>171</v>
      </c>
      <c r="C47" s="167" t="s">
        <v>172</v>
      </c>
      <c r="D47" s="178" t="s">
        <v>173</v>
      </c>
      <c r="E47" s="167"/>
      <c r="F47" s="183" t="s">
        <v>44</v>
      </c>
      <c r="G47" s="171">
        <v>2</v>
      </c>
      <c r="H47" s="172"/>
      <c r="I47" s="173"/>
      <c r="J47" s="174"/>
      <c r="K47" s="174" t="str">
        <f>VLOOKUP(B47,电搭接情况统计!$B$2:$H$423,7,0)</f>
        <v>S类，面搭接</v>
      </c>
      <c r="L47" s="175"/>
      <c r="M47" s="167" t="s">
        <v>25</v>
      </c>
      <c r="N47" s="202" t="s">
        <v>26</v>
      </c>
      <c r="O47" s="202" t="s">
        <v>26</v>
      </c>
      <c r="P47" s="179"/>
      <c r="Q47" s="179"/>
      <c r="R47" s="179"/>
      <c r="S47" s="13" t="s">
        <v>27</v>
      </c>
    </row>
    <row r="48" spans="1:20">
      <c r="A48" s="167" t="s">
        <v>170</v>
      </c>
      <c r="B48" s="146" t="s">
        <v>174</v>
      </c>
      <c r="C48" s="167" t="s">
        <v>175</v>
      </c>
      <c r="D48" s="178" t="s">
        <v>176</v>
      </c>
      <c r="E48" s="167"/>
      <c r="F48" s="183" t="s">
        <v>44</v>
      </c>
      <c r="G48" s="171">
        <v>2</v>
      </c>
      <c r="H48" s="172"/>
      <c r="I48" s="173"/>
      <c r="J48" s="174"/>
      <c r="K48" s="174" t="str">
        <f>VLOOKUP(B48,电搭接情况统计!$B$2:$H$423,7,0)</f>
        <v>S类，面搭接</v>
      </c>
      <c r="L48" s="175"/>
      <c r="M48" s="167" t="s">
        <v>25</v>
      </c>
      <c r="N48" s="202" t="s">
        <v>26</v>
      </c>
      <c r="O48" s="202" t="s">
        <v>26</v>
      </c>
      <c r="P48" s="179"/>
      <c r="Q48" s="179"/>
      <c r="R48" s="179"/>
      <c r="S48" s="13" t="s">
        <v>27</v>
      </c>
    </row>
    <row r="49" spans="1:19">
      <c r="A49" s="167" t="s">
        <v>170</v>
      </c>
      <c r="B49" s="184" t="s">
        <v>177</v>
      </c>
      <c r="C49" s="167" t="s">
        <v>178</v>
      </c>
      <c r="D49" s="178" t="s">
        <v>179</v>
      </c>
      <c r="E49" s="167"/>
      <c r="F49" s="183" t="s">
        <v>44</v>
      </c>
      <c r="G49" s="171">
        <v>1</v>
      </c>
      <c r="H49" s="172"/>
      <c r="I49" s="173"/>
      <c r="J49" s="174"/>
      <c r="K49" s="174" t="str">
        <f>VLOOKUP(B49,电搭接情况统计!$B$2:$H$423,7,0)</f>
        <v>S类，面搭接</v>
      </c>
      <c r="L49" s="175"/>
      <c r="M49" s="167" t="s">
        <v>25</v>
      </c>
      <c r="N49" s="202" t="s">
        <v>26</v>
      </c>
      <c r="O49" s="202" t="s">
        <v>26</v>
      </c>
      <c r="P49" s="179"/>
      <c r="Q49" s="179"/>
      <c r="R49" s="179"/>
      <c r="S49" s="13" t="s">
        <v>27</v>
      </c>
    </row>
    <row r="50" spans="1:19">
      <c r="A50" s="167" t="s">
        <v>170</v>
      </c>
      <c r="B50" s="146" t="s">
        <v>180</v>
      </c>
      <c r="C50" s="167" t="s">
        <v>181</v>
      </c>
      <c r="D50" s="178" t="s">
        <v>182</v>
      </c>
      <c r="E50" s="167"/>
      <c r="F50" s="183" t="s">
        <v>44</v>
      </c>
      <c r="G50" s="171">
        <v>2</v>
      </c>
      <c r="H50" s="172"/>
      <c r="I50" s="173"/>
      <c r="J50" s="174"/>
      <c r="K50" s="174"/>
      <c r="L50" s="175"/>
      <c r="M50" s="167" t="s">
        <v>25</v>
      </c>
      <c r="N50" s="202" t="s">
        <v>26</v>
      </c>
      <c r="O50" s="202" t="s">
        <v>26</v>
      </c>
      <c r="P50" s="179"/>
      <c r="Q50" s="179"/>
      <c r="R50" s="179"/>
      <c r="S50" s="13" t="s">
        <v>27</v>
      </c>
    </row>
    <row r="51" spans="1:19">
      <c r="A51" s="167" t="s">
        <v>170</v>
      </c>
      <c r="B51" s="146" t="s">
        <v>183</v>
      </c>
      <c r="C51" s="167" t="s">
        <v>184</v>
      </c>
      <c r="D51" s="178" t="s">
        <v>185</v>
      </c>
      <c r="E51" s="167"/>
      <c r="F51" s="183" t="s">
        <v>186</v>
      </c>
      <c r="G51" s="171">
        <v>2</v>
      </c>
      <c r="H51" s="172"/>
      <c r="I51" s="173"/>
      <c r="J51" s="174"/>
      <c r="K51" s="174"/>
      <c r="L51" s="175"/>
      <c r="M51" s="167" t="s">
        <v>51</v>
      </c>
      <c r="N51" s="202" t="s">
        <v>32</v>
      </c>
      <c r="O51" s="202" t="s">
        <v>32</v>
      </c>
      <c r="P51" s="179"/>
      <c r="Q51" s="179"/>
      <c r="R51" s="179"/>
      <c r="S51" s="13" t="s">
        <v>27</v>
      </c>
    </row>
    <row r="52" spans="1:19">
      <c r="A52" s="167" t="s">
        <v>170</v>
      </c>
      <c r="B52" s="146" t="s">
        <v>187</v>
      </c>
      <c r="C52" s="167" t="s">
        <v>188</v>
      </c>
      <c r="D52" s="178" t="s">
        <v>189</v>
      </c>
      <c r="E52" s="167"/>
      <c r="F52" s="183" t="s">
        <v>186</v>
      </c>
      <c r="G52" s="171">
        <v>2</v>
      </c>
      <c r="H52" s="172"/>
      <c r="I52" s="173"/>
      <c r="J52" s="174"/>
      <c r="K52" s="174"/>
      <c r="L52" s="175"/>
      <c r="M52" s="167" t="s">
        <v>51</v>
      </c>
      <c r="N52" s="202" t="s">
        <v>32</v>
      </c>
      <c r="O52" s="202" t="s">
        <v>32</v>
      </c>
      <c r="P52" s="179"/>
      <c r="Q52" s="179"/>
      <c r="R52" s="179"/>
      <c r="S52" s="13" t="s">
        <v>27</v>
      </c>
    </row>
    <row r="53" spans="1:19">
      <c r="A53" s="167" t="s">
        <v>170</v>
      </c>
      <c r="B53" s="146" t="s">
        <v>190</v>
      </c>
      <c r="C53" s="167" t="s">
        <v>191</v>
      </c>
      <c r="D53" s="178" t="s">
        <v>192</v>
      </c>
      <c r="E53" s="167"/>
      <c r="F53" s="183" t="s">
        <v>50</v>
      </c>
      <c r="G53" s="171">
        <v>2</v>
      </c>
      <c r="H53" s="172"/>
      <c r="I53" s="173"/>
      <c r="J53" s="174"/>
      <c r="K53" s="174"/>
      <c r="L53" s="175"/>
      <c r="M53" s="167" t="s">
        <v>51</v>
      </c>
      <c r="N53" s="202" t="s">
        <v>32</v>
      </c>
      <c r="O53" s="202" t="s">
        <v>32</v>
      </c>
      <c r="P53" s="179"/>
      <c r="Q53" s="179"/>
      <c r="R53" s="179"/>
      <c r="S53" s="13" t="s">
        <v>27</v>
      </c>
    </row>
    <row r="54" spans="1:19">
      <c r="A54" s="167" t="s">
        <v>170</v>
      </c>
      <c r="B54" s="146" t="s">
        <v>193</v>
      </c>
      <c r="C54" s="167" t="s">
        <v>194</v>
      </c>
      <c r="D54" s="178" t="s">
        <v>195</v>
      </c>
      <c r="E54" s="167"/>
      <c r="F54" s="183" t="s">
        <v>50</v>
      </c>
      <c r="G54" s="171">
        <v>2</v>
      </c>
      <c r="H54" s="172"/>
      <c r="I54" s="173"/>
      <c r="J54" s="174"/>
      <c r="K54" s="174"/>
      <c r="L54" s="175"/>
      <c r="M54" s="167" t="s">
        <v>51</v>
      </c>
      <c r="N54" s="202" t="s">
        <v>32</v>
      </c>
      <c r="O54" s="202" t="s">
        <v>32</v>
      </c>
      <c r="P54" s="179"/>
      <c r="Q54" s="179"/>
      <c r="R54" s="179"/>
      <c r="S54" s="13" t="s">
        <v>27</v>
      </c>
    </row>
    <row r="55" spans="1:19">
      <c r="A55" s="167" t="s">
        <v>170</v>
      </c>
      <c r="B55" s="146" t="s">
        <v>196</v>
      </c>
      <c r="C55" s="167" t="s">
        <v>197</v>
      </c>
      <c r="D55" s="178" t="s">
        <v>198</v>
      </c>
      <c r="E55" s="167"/>
      <c r="F55" s="183" t="s">
        <v>50</v>
      </c>
      <c r="G55" s="171">
        <v>2</v>
      </c>
      <c r="H55" s="172"/>
      <c r="I55" s="173"/>
      <c r="J55" s="174"/>
      <c r="K55" s="174"/>
      <c r="L55" s="175"/>
      <c r="M55" s="167" t="s">
        <v>51</v>
      </c>
      <c r="N55" s="202" t="s">
        <v>32</v>
      </c>
      <c r="O55" s="202" t="s">
        <v>32</v>
      </c>
      <c r="P55" s="179"/>
      <c r="Q55" s="179"/>
      <c r="R55" s="179"/>
      <c r="S55" s="13" t="s">
        <v>27</v>
      </c>
    </row>
    <row r="56" spans="1:19">
      <c r="A56" s="167" t="s">
        <v>170</v>
      </c>
      <c r="B56" s="146" t="s">
        <v>199</v>
      </c>
      <c r="C56" s="167" t="s">
        <v>200</v>
      </c>
      <c r="D56" s="178" t="s">
        <v>201</v>
      </c>
      <c r="E56" s="167"/>
      <c r="F56" s="183" t="s">
        <v>50</v>
      </c>
      <c r="G56" s="171">
        <v>2</v>
      </c>
      <c r="H56" s="172"/>
      <c r="I56" s="173"/>
      <c r="J56" s="174"/>
      <c r="K56" s="174"/>
      <c r="L56" s="175"/>
      <c r="M56" s="167" t="s">
        <v>51</v>
      </c>
      <c r="N56" s="202" t="s">
        <v>32</v>
      </c>
      <c r="O56" s="202" t="s">
        <v>32</v>
      </c>
      <c r="P56" s="179"/>
      <c r="Q56" s="179"/>
      <c r="R56" s="179"/>
      <c r="S56" s="13" t="s">
        <v>27</v>
      </c>
    </row>
    <row r="57" spans="1:19">
      <c r="A57" s="167" t="s">
        <v>170</v>
      </c>
      <c r="B57" s="146" t="s">
        <v>202</v>
      </c>
      <c r="C57" s="167" t="s">
        <v>203</v>
      </c>
      <c r="D57" s="178" t="s">
        <v>204</v>
      </c>
      <c r="E57" s="167"/>
      <c r="F57" s="183" t="s">
        <v>50</v>
      </c>
      <c r="G57" s="171">
        <v>2</v>
      </c>
      <c r="H57" s="172"/>
      <c r="I57" s="173"/>
      <c r="J57" s="174"/>
      <c r="K57" s="174"/>
      <c r="L57" s="175"/>
      <c r="M57" s="167" t="s">
        <v>51</v>
      </c>
      <c r="N57" s="202" t="s">
        <v>32</v>
      </c>
      <c r="O57" s="202" t="s">
        <v>32</v>
      </c>
      <c r="P57" s="179"/>
      <c r="Q57" s="179"/>
      <c r="R57" s="179"/>
      <c r="S57" s="13" t="s">
        <v>27</v>
      </c>
    </row>
    <row r="58" spans="1:19">
      <c r="A58" s="167" t="s">
        <v>170</v>
      </c>
      <c r="B58" s="146" t="s">
        <v>205</v>
      </c>
      <c r="C58" s="167" t="s">
        <v>206</v>
      </c>
      <c r="D58" s="178" t="s">
        <v>207</v>
      </c>
      <c r="E58" s="167"/>
      <c r="F58" s="183" t="s">
        <v>50</v>
      </c>
      <c r="G58" s="171">
        <v>2</v>
      </c>
      <c r="H58" s="172"/>
      <c r="I58" s="173"/>
      <c r="J58" s="174"/>
      <c r="K58" s="174"/>
      <c r="L58" s="175"/>
      <c r="M58" s="167" t="s">
        <v>51</v>
      </c>
      <c r="N58" s="202" t="s">
        <v>32</v>
      </c>
      <c r="O58" s="202" t="s">
        <v>32</v>
      </c>
      <c r="P58" s="179"/>
      <c r="Q58" s="179"/>
      <c r="R58" s="179"/>
      <c r="S58" s="13" t="s">
        <v>27</v>
      </c>
    </row>
    <row r="59" spans="1:19">
      <c r="A59" s="167" t="s">
        <v>170</v>
      </c>
      <c r="B59" s="146" t="s">
        <v>208</v>
      </c>
      <c r="C59" s="167" t="s">
        <v>209</v>
      </c>
      <c r="D59" s="178" t="s">
        <v>210</v>
      </c>
      <c r="E59" s="167"/>
      <c r="F59" s="183" t="s">
        <v>186</v>
      </c>
      <c r="G59" s="171">
        <v>2</v>
      </c>
      <c r="H59" s="172"/>
      <c r="I59" s="173"/>
      <c r="J59" s="174"/>
      <c r="K59" s="174"/>
      <c r="L59" s="175"/>
      <c r="M59" s="167" t="s">
        <v>51</v>
      </c>
      <c r="N59" s="202" t="s">
        <v>32</v>
      </c>
      <c r="O59" s="202" t="s">
        <v>32</v>
      </c>
      <c r="P59" s="179"/>
      <c r="Q59" s="179"/>
      <c r="R59" s="179"/>
      <c r="S59" s="13" t="s">
        <v>27</v>
      </c>
    </row>
    <row r="60" spans="1:19">
      <c r="A60" s="167" t="s">
        <v>170</v>
      </c>
      <c r="B60" s="146" t="s">
        <v>211</v>
      </c>
      <c r="C60" s="167" t="s">
        <v>212</v>
      </c>
      <c r="D60" s="178" t="s">
        <v>213</v>
      </c>
      <c r="E60" s="167"/>
      <c r="F60" s="183" t="s">
        <v>186</v>
      </c>
      <c r="G60" s="171">
        <v>2</v>
      </c>
      <c r="H60" s="172"/>
      <c r="I60" s="173"/>
      <c r="J60" s="174"/>
      <c r="K60" s="174"/>
      <c r="L60" s="175"/>
      <c r="M60" s="167" t="s">
        <v>51</v>
      </c>
      <c r="N60" s="202" t="s">
        <v>32</v>
      </c>
      <c r="O60" s="202" t="s">
        <v>32</v>
      </c>
      <c r="P60" s="179"/>
      <c r="Q60" s="179"/>
      <c r="R60" s="179"/>
      <c r="S60" s="13" t="s">
        <v>27</v>
      </c>
    </row>
    <row r="61" spans="1:19">
      <c r="A61" s="167" t="s">
        <v>170</v>
      </c>
      <c r="B61" s="146" t="s">
        <v>214</v>
      </c>
      <c r="C61" s="167" t="s">
        <v>215</v>
      </c>
      <c r="D61" s="178" t="s">
        <v>216</v>
      </c>
      <c r="E61" s="167"/>
      <c r="F61" s="183" t="s">
        <v>186</v>
      </c>
      <c r="G61" s="171">
        <v>2</v>
      </c>
      <c r="H61" s="172"/>
      <c r="I61" s="173"/>
      <c r="J61" s="174"/>
      <c r="K61" s="174"/>
      <c r="L61" s="175"/>
      <c r="M61" s="167" t="s">
        <v>51</v>
      </c>
      <c r="N61" s="202" t="s">
        <v>32</v>
      </c>
      <c r="O61" s="202" t="s">
        <v>32</v>
      </c>
      <c r="P61" s="179"/>
      <c r="Q61" s="179"/>
      <c r="R61" s="179"/>
      <c r="S61" s="13" t="s">
        <v>27</v>
      </c>
    </row>
    <row r="62" spans="1:19">
      <c r="A62" s="167" t="s">
        <v>170</v>
      </c>
      <c r="B62" s="146" t="s">
        <v>217</v>
      </c>
      <c r="C62" s="167" t="s">
        <v>218</v>
      </c>
      <c r="D62" s="178" t="s">
        <v>219</v>
      </c>
      <c r="E62" s="167"/>
      <c r="F62" s="183" t="s">
        <v>186</v>
      </c>
      <c r="G62" s="171">
        <v>2</v>
      </c>
      <c r="H62" s="172"/>
      <c r="I62" s="173"/>
      <c r="J62" s="174"/>
      <c r="K62" s="174"/>
      <c r="L62" s="175"/>
      <c r="M62" s="167" t="s">
        <v>51</v>
      </c>
      <c r="N62" s="202" t="s">
        <v>32</v>
      </c>
      <c r="O62" s="202" t="s">
        <v>32</v>
      </c>
      <c r="P62" s="179"/>
      <c r="Q62" s="179"/>
      <c r="R62" s="179"/>
      <c r="S62" s="13" t="s">
        <v>27</v>
      </c>
    </row>
    <row r="63" spans="1:19">
      <c r="A63" s="167" t="s">
        <v>170</v>
      </c>
      <c r="B63" s="146" t="s">
        <v>220</v>
      </c>
      <c r="C63" s="167" t="s">
        <v>221</v>
      </c>
      <c r="D63" s="178" t="s">
        <v>222</v>
      </c>
      <c r="E63" s="167"/>
      <c r="F63" s="183" t="s">
        <v>186</v>
      </c>
      <c r="G63" s="171">
        <v>2</v>
      </c>
      <c r="H63" s="172"/>
      <c r="I63" s="173"/>
      <c r="J63" s="174"/>
      <c r="K63" s="174"/>
      <c r="L63" s="175"/>
      <c r="M63" s="167" t="s">
        <v>51</v>
      </c>
      <c r="N63" s="202" t="s">
        <v>32</v>
      </c>
      <c r="O63" s="202" t="s">
        <v>32</v>
      </c>
      <c r="P63" s="179"/>
      <c r="Q63" s="179"/>
      <c r="R63" s="179"/>
      <c r="S63" s="13" t="s">
        <v>27</v>
      </c>
    </row>
    <row r="64" spans="1:19">
      <c r="A64" s="167" t="s">
        <v>170</v>
      </c>
      <c r="B64" s="146" t="s">
        <v>223</v>
      </c>
      <c r="C64" s="167" t="s">
        <v>224</v>
      </c>
      <c r="D64" s="178" t="s">
        <v>225</v>
      </c>
      <c r="E64" s="167"/>
      <c r="F64" s="183" t="s">
        <v>44</v>
      </c>
      <c r="G64" s="171">
        <v>2</v>
      </c>
      <c r="H64" s="172"/>
      <c r="I64" s="173"/>
      <c r="J64" s="174"/>
      <c r="K64" s="174"/>
      <c r="L64" s="175"/>
      <c r="M64" s="167" t="s">
        <v>51</v>
      </c>
      <c r="N64" s="202" t="s">
        <v>32</v>
      </c>
      <c r="O64" s="202" t="s">
        <v>32</v>
      </c>
      <c r="P64" s="179"/>
      <c r="Q64" s="179"/>
      <c r="R64" s="179"/>
      <c r="S64" s="13" t="s">
        <v>27</v>
      </c>
    </row>
    <row r="65" spans="1:19">
      <c r="A65" s="167" t="s">
        <v>170</v>
      </c>
      <c r="B65" s="146" t="s">
        <v>226</v>
      </c>
      <c r="C65" s="167" t="s">
        <v>227</v>
      </c>
      <c r="D65" s="178" t="s">
        <v>228</v>
      </c>
      <c r="E65" s="167"/>
      <c r="F65" s="183" t="s">
        <v>50</v>
      </c>
      <c r="G65" s="171">
        <v>2</v>
      </c>
      <c r="H65" s="172"/>
      <c r="I65" s="173"/>
      <c r="J65" s="174"/>
      <c r="K65" s="174"/>
      <c r="L65" s="175"/>
      <c r="M65" s="167" t="s">
        <v>51</v>
      </c>
      <c r="N65" s="202" t="s">
        <v>32</v>
      </c>
      <c r="O65" s="202" t="s">
        <v>32</v>
      </c>
      <c r="P65" s="179"/>
      <c r="Q65" s="179"/>
      <c r="R65" s="179"/>
      <c r="S65" s="13" t="s">
        <v>27</v>
      </c>
    </row>
    <row r="66" spans="1:19">
      <c r="A66" s="167" t="s">
        <v>170</v>
      </c>
      <c r="B66" s="146" t="s">
        <v>229</v>
      </c>
      <c r="C66" s="167" t="s">
        <v>230</v>
      </c>
      <c r="D66" s="178" t="s">
        <v>231</v>
      </c>
      <c r="E66" s="167"/>
      <c r="F66" s="183" t="s">
        <v>186</v>
      </c>
      <c r="G66" s="171">
        <v>2</v>
      </c>
      <c r="H66" s="172"/>
      <c r="I66" s="173"/>
      <c r="J66" s="174"/>
      <c r="K66" s="174"/>
      <c r="L66" s="175"/>
      <c r="M66" s="167" t="s">
        <v>51</v>
      </c>
      <c r="N66" s="202" t="s">
        <v>32</v>
      </c>
      <c r="O66" s="202" t="s">
        <v>32</v>
      </c>
      <c r="P66" s="179"/>
      <c r="Q66" s="179"/>
      <c r="R66" s="179"/>
      <c r="S66" s="13" t="s">
        <v>27</v>
      </c>
    </row>
    <row r="67" spans="1:19">
      <c r="A67" s="167" t="s">
        <v>170</v>
      </c>
      <c r="B67" s="146" t="s">
        <v>232</v>
      </c>
      <c r="C67" s="167" t="s">
        <v>233</v>
      </c>
      <c r="D67" s="178" t="s">
        <v>234</v>
      </c>
      <c r="E67" s="167"/>
      <c r="F67" s="183" t="s">
        <v>186</v>
      </c>
      <c r="G67" s="171">
        <v>2</v>
      </c>
      <c r="H67" s="172"/>
      <c r="I67" s="173"/>
      <c r="J67" s="174"/>
      <c r="K67" s="174"/>
      <c r="L67" s="175"/>
      <c r="M67" s="167" t="s">
        <v>51</v>
      </c>
      <c r="N67" s="202" t="s">
        <v>32</v>
      </c>
      <c r="O67" s="202" t="s">
        <v>32</v>
      </c>
      <c r="P67" s="179"/>
      <c r="Q67" s="179"/>
      <c r="R67" s="179"/>
      <c r="S67" s="13" t="s">
        <v>27</v>
      </c>
    </row>
    <row r="68" spans="1:19">
      <c r="A68" s="167" t="s">
        <v>170</v>
      </c>
      <c r="B68" s="146" t="s">
        <v>235</v>
      </c>
      <c r="C68" s="167" t="s">
        <v>236</v>
      </c>
      <c r="D68" s="178" t="s">
        <v>237</v>
      </c>
      <c r="E68" s="167"/>
      <c r="F68" s="183" t="s">
        <v>186</v>
      </c>
      <c r="G68" s="171">
        <v>2</v>
      </c>
      <c r="H68" s="172"/>
      <c r="I68" s="173"/>
      <c r="J68" s="174"/>
      <c r="K68" s="174"/>
      <c r="L68" s="175"/>
      <c r="M68" s="167" t="s">
        <v>51</v>
      </c>
      <c r="N68" s="202" t="s">
        <v>32</v>
      </c>
      <c r="O68" s="202" t="s">
        <v>32</v>
      </c>
      <c r="P68" s="179"/>
      <c r="Q68" s="179"/>
      <c r="R68" s="179"/>
      <c r="S68" s="13" t="s">
        <v>27</v>
      </c>
    </row>
    <row r="69" spans="1:19">
      <c r="A69" s="167" t="s">
        <v>170</v>
      </c>
      <c r="B69" s="146" t="s">
        <v>238</v>
      </c>
      <c r="C69" s="167" t="s">
        <v>239</v>
      </c>
      <c r="D69" s="178" t="s">
        <v>240</v>
      </c>
      <c r="E69" s="167"/>
      <c r="F69" s="183" t="s">
        <v>186</v>
      </c>
      <c r="G69" s="171">
        <v>2</v>
      </c>
      <c r="H69" s="172"/>
      <c r="I69" s="173"/>
      <c r="J69" s="174"/>
      <c r="K69" s="174"/>
      <c r="L69" s="175"/>
      <c r="M69" s="167" t="s">
        <v>51</v>
      </c>
      <c r="N69" s="202" t="s">
        <v>32</v>
      </c>
      <c r="O69" s="202" t="s">
        <v>32</v>
      </c>
      <c r="P69" s="179"/>
      <c r="Q69" s="179"/>
      <c r="R69" s="179"/>
      <c r="S69" s="13" t="s">
        <v>27</v>
      </c>
    </row>
    <row r="70" spans="1:19">
      <c r="A70" s="167" t="s">
        <v>241</v>
      </c>
      <c r="B70" s="146" t="s">
        <v>242</v>
      </c>
      <c r="C70" s="167"/>
      <c r="D70" s="178"/>
      <c r="E70" s="167"/>
      <c r="F70" s="183"/>
      <c r="G70" s="171"/>
      <c r="H70" s="172"/>
      <c r="I70" s="173"/>
      <c r="J70" s="174"/>
      <c r="K70" s="174"/>
      <c r="L70" s="175"/>
      <c r="M70" s="167"/>
      <c r="N70" s="202"/>
      <c r="O70" s="202"/>
      <c r="P70" s="179"/>
      <c r="Q70" s="179"/>
      <c r="R70" s="179"/>
    </row>
    <row r="71" spans="1:19">
      <c r="A71" s="167" t="s">
        <v>241</v>
      </c>
      <c r="B71" s="146" t="s">
        <v>243</v>
      </c>
      <c r="C71" s="167"/>
      <c r="D71" s="178"/>
      <c r="E71" s="167"/>
      <c r="F71" s="183"/>
      <c r="G71" s="171"/>
      <c r="H71" s="172"/>
      <c r="I71" s="173"/>
      <c r="J71" s="174"/>
      <c r="K71" s="174"/>
      <c r="L71" s="175"/>
      <c r="M71" s="167"/>
      <c r="N71" s="202"/>
      <c r="O71" s="202"/>
      <c r="P71" s="179"/>
      <c r="Q71" s="179"/>
      <c r="R71" s="179"/>
    </row>
    <row r="72" spans="1:19">
      <c r="A72" s="167" t="s">
        <v>241</v>
      </c>
      <c r="B72" s="146" t="s">
        <v>244</v>
      </c>
      <c r="C72" s="167"/>
      <c r="D72" s="178"/>
      <c r="E72" s="167"/>
      <c r="F72" s="183"/>
      <c r="G72" s="171"/>
      <c r="H72" s="172"/>
      <c r="I72" s="173"/>
      <c r="J72" s="174"/>
      <c r="K72" s="174"/>
      <c r="L72" s="175"/>
      <c r="M72" s="167"/>
      <c r="N72" s="202"/>
      <c r="O72" s="202"/>
      <c r="P72" s="179"/>
      <c r="Q72" s="179"/>
      <c r="R72" s="179"/>
    </row>
    <row r="73" spans="1:19">
      <c r="A73" s="167" t="s">
        <v>241</v>
      </c>
      <c r="B73" s="146" t="s">
        <v>245</v>
      </c>
      <c r="C73" s="167"/>
      <c r="D73" s="178"/>
      <c r="E73" s="167"/>
      <c r="F73" s="183"/>
      <c r="G73" s="171"/>
      <c r="H73" s="172"/>
      <c r="I73" s="173"/>
      <c r="J73" s="174"/>
      <c r="K73" s="174"/>
      <c r="L73" s="175"/>
      <c r="M73" s="167"/>
      <c r="N73" s="202"/>
      <c r="O73" s="202"/>
      <c r="P73" s="179"/>
      <c r="Q73" s="179"/>
      <c r="R73" s="179"/>
    </row>
    <row r="74" spans="1:19">
      <c r="A74" s="167" t="s">
        <v>241</v>
      </c>
      <c r="B74" s="146" t="s">
        <v>246</v>
      </c>
      <c r="C74" s="167"/>
      <c r="D74" s="178"/>
      <c r="E74" s="167"/>
      <c r="F74" s="183"/>
      <c r="G74" s="171"/>
      <c r="H74" s="172"/>
      <c r="I74" s="173"/>
      <c r="J74" s="174"/>
      <c r="K74" s="174"/>
      <c r="L74" s="175"/>
      <c r="M74" s="167"/>
      <c r="N74" s="202"/>
      <c r="O74" s="202"/>
      <c r="P74" s="179"/>
      <c r="Q74" s="179"/>
      <c r="R74" s="179"/>
    </row>
    <row r="75" spans="1:19">
      <c r="A75" s="167" t="s">
        <v>241</v>
      </c>
      <c r="B75" s="146" t="s">
        <v>247</v>
      </c>
      <c r="C75" s="167"/>
      <c r="D75" s="178"/>
      <c r="E75" s="167"/>
      <c r="F75" s="183"/>
      <c r="G75" s="171"/>
      <c r="H75" s="172"/>
      <c r="I75" s="173"/>
      <c r="J75" s="174"/>
      <c r="K75" s="174"/>
      <c r="L75" s="175"/>
      <c r="M75" s="167"/>
      <c r="N75" s="202"/>
      <c r="O75" s="202"/>
      <c r="P75" s="179"/>
      <c r="Q75" s="179"/>
      <c r="R75" s="179"/>
    </row>
    <row r="76" spans="1:19">
      <c r="A76" s="167" t="s">
        <v>241</v>
      </c>
      <c r="B76" s="146" t="s">
        <v>248</v>
      </c>
      <c r="C76" s="167"/>
      <c r="D76" s="178"/>
      <c r="E76" s="167"/>
      <c r="F76" s="183"/>
      <c r="G76" s="171"/>
      <c r="H76" s="172"/>
      <c r="I76" s="173"/>
      <c r="J76" s="174"/>
      <c r="K76" s="174"/>
      <c r="L76" s="175"/>
      <c r="M76" s="167"/>
      <c r="N76" s="202"/>
      <c r="O76" s="202"/>
      <c r="P76" s="179"/>
      <c r="Q76" s="179"/>
      <c r="R76" s="179"/>
    </row>
    <row r="77" spans="1:19">
      <c r="A77" s="167" t="s">
        <v>241</v>
      </c>
      <c r="B77" s="146" t="s">
        <v>249</v>
      </c>
      <c r="C77" s="167"/>
      <c r="D77" s="178"/>
      <c r="E77" s="167"/>
      <c r="F77" s="183"/>
      <c r="G77" s="171"/>
      <c r="H77" s="172"/>
      <c r="I77" s="173"/>
      <c r="J77" s="174"/>
      <c r="K77" s="174"/>
      <c r="L77" s="175"/>
      <c r="M77" s="167"/>
      <c r="N77" s="202"/>
      <c r="O77" s="202"/>
      <c r="P77" s="179"/>
      <c r="Q77" s="179"/>
      <c r="R77" s="179"/>
    </row>
    <row r="78" spans="1:19">
      <c r="A78" s="167" t="s">
        <v>241</v>
      </c>
      <c r="B78" s="185" t="s">
        <v>250</v>
      </c>
      <c r="C78" s="167"/>
      <c r="D78" s="178"/>
      <c r="E78" s="167"/>
      <c r="F78" s="183"/>
      <c r="G78" s="171"/>
      <c r="H78" s="172"/>
      <c r="I78" s="173"/>
      <c r="J78" s="174"/>
      <c r="K78" s="174"/>
      <c r="L78" s="175"/>
      <c r="M78" s="167"/>
      <c r="N78" s="202"/>
      <c r="O78" s="202"/>
      <c r="P78" s="179"/>
      <c r="Q78" s="179"/>
      <c r="R78" s="179"/>
    </row>
    <row r="79" spans="1:19">
      <c r="A79" s="167" t="s">
        <v>241</v>
      </c>
      <c r="B79" s="146" t="s">
        <v>251</v>
      </c>
      <c r="C79" s="167"/>
      <c r="D79" s="178"/>
      <c r="E79" s="167"/>
      <c r="F79" s="183"/>
      <c r="G79" s="171"/>
      <c r="H79" s="172"/>
      <c r="I79" s="173"/>
      <c r="J79" s="174"/>
      <c r="K79" s="174"/>
      <c r="L79" s="175"/>
      <c r="M79" s="167"/>
      <c r="N79" s="202"/>
      <c r="O79" s="202"/>
      <c r="P79" s="179"/>
      <c r="Q79" s="179"/>
      <c r="R79" s="179"/>
    </row>
    <row r="80" spans="1:19">
      <c r="A80" s="167" t="s">
        <v>252</v>
      </c>
      <c r="B80" s="184" t="s">
        <v>253</v>
      </c>
      <c r="C80" s="167" t="s">
        <v>254</v>
      </c>
      <c r="D80" s="178" t="s">
        <v>255</v>
      </c>
      <c r="E80" s="167"/>
      <c r="F80" s="183" t="s">
        <v>67</v>
      </c>
      <c r="G80" s="171">
        <v>1</v>
      </c>
      <c r="H80" s="172"/>
      <c r="I80" s="173"/>
      <c r="J80" s="174"/>
      <c r="K80" s="174" t="str">
        <f>VLOOKUP(B80,电搭接情况统计!$B$2:$H$423,7,0)</f>
        <v>R类，壳体线搭接</v>
      </c>
      <c r="L80" s="175"/>
      <c r="M80" s="167" t="s">
        <v>25</v>
      </c>
      <c r="N80" s="202" t="s">
        <v>26</v>
      </c>
      <c r="O80" s="202" t="s">
        <v>26</v>
      </c>
      <c r="P80" s="179"/>
      <c r="Q80" s="179"/>
      <c r="R80" s="179"/>
      <c r="S80" s="13" t="s">
        <v>27</v>
      </c>
    </row>
    <row r="81" spans="1:19">
      <c r="A81" s="167" t="s">
        <v>252</v>
      </c>
      <c r="B81" s="184" t="s">
        <v>256</v>
      </c>
      <c r="C81" s="167" t="s">
        <v>254</v>
      </c>
      <c r="D81" s="178" t="s">
        <v>257</v>
      </c>
      <c r="E81" s="167"/>
      <c r="F81" s="183" t="s">
        <v>67</v>
      </c>
      <c r="G81" s="171">
        <v>1</v>
      </c>
      <c r="H81" s="172"/>
      <c r="I81" s="173"/>
      <c r="J81" s="174"/>
      <c r="K81" s="174" t="str">
        <f>VLOOKUP(B81,电搭接情况统计!$B$2:$H$423,7,0)</f>
        <v>R类，壳体线搭接</v>
      </c>
      <c r="L81" s="175"/>
      <c r="M81" s="167" t="s">
        <v>25</v>
      </c>
      <c r="N81" s="202" t="s">
        <v>26</v>
      </c>
      <c r="O81" s="202" t="s">
        <v>26</v>
      </c>
      <c r="P81" s="179"/>
      <c r="Q81" s="179"/>
      <c r="R81" s="179"/>
      <c r="S81" s="13" t="s">
        <v>27</v>
      </c>
    </row>
    <row r="82" spans="1:19">
      <c r="A82" s="167" t="s">
        <v>252</v>
      </c>
      <c r="B82" s="184" t="s">
        <v>258</v>
      </c>
      <c r="C82" s="167" t="s">
        <v>254</v>
      </c>
      <c r="D82" s="178" t="s">
        <v>259</v>
      </c>
      <c r="E82" s="167"/>
      <c r="F82" s="183" t="s">
        <v>67</v>
      </c>
      <c r="G82" s="171">
        <v>1</v>
      </c>
      <c r="H82" s="172"/>
      <c r="I82" s="173"/>
      <c r="J82" s="174"/>
      <c r="K82" s="174" t="str">
        <f>VLOOKUP(B82,电搭接情况统计!$B$2:$H$423,7,0)</f>
        <v>R类，壳体线搭接</v>
      </c>
      <c r="L82" s="175"/>
      <c r="M82" s="167" t="s">
        <v>25</v>
      </c>
      <c r="N82" s="202" t="s">
        <v>26</v>
      </c>
      <c r="O82" s="202" t="s">
        <v>26</v>
      </c>
      <c r="P82" s="179"/>
      <c r="Q82" s="179"/>
      <c r="R82" s="179"/>
      <c r="S82" s="13" t="s">
        <v>27</v>
      </c>
    </row>
    <row r="83" spans="1:19">
      <c r="A83" s="167" t="s">
        <v>252</v>
      </c>
      <c r="B83" s="184" t="s">
        <v>260</v>
      </c>
      <c r="C83" s="167" t="s">
        <v>254</v>
      </c>
      <c r="D83" s="178" t="s">
        <v>261</v>
      </c>
      <c r="E83" s="167"/>
      <c r="F83" s="183" t="s">
        <v>67</v>
      </c>
      <c r="G83" s="171">
        <v>1</v>
      </c>
      <c r="H83" s="172"/>
      <c r="I83" s="173"/>
      <c r="J83" s="174"/>
      <c r="K83" s="174" t="str">
        <f>VLOOKUP(B83,电搭接情况统计!$B$2:$H$423,7,0)</f>
        <v>R类，壳体线搭接</v>
      </c>
      <c r="L83" s="175"/>
      <c r="M83" s="167" t="s">
        <v>25</v>
      </c>
      <c r="N83" s="202" t="s">
        <v>26</v>
      </c>
      <c r="O83" s="202" t="s">
        <v>26</v>
      </c>
      <c r="P83" s="179"/>
      <c r="Q83" s="179"/>
      <c r="R83" s="179"/>
      <c r="S83" s="13" t="s">
        <v>27</v>
      </c>
    </row>
    <row r="84" spans="1:19">
      <c r="A84" s="167" t="s">
        <v>252</v>
      </c>
      <c r="B84" s="146" t="s">
        <v>262</v>
      </c>
      <c r="C84" s="167" t="s">
        <v>263</v>
      </c>
      <c r="D84" s="178" t="s">
        <v>264</v>
      </c>
      <c r="E84" s="167"/>
      <c r="F84" s="183" t="s">
        <v>44</v>
      </c>
      <c r="G84" s="171">
        <v>2</v>
      </c>
      <c r="H84" s="172"/>
      <c r="I84" s="173"/>
      <c r="J84" s="174"/>
      <c r="K84" s="174" t="str">
        <f>VLOOKUP(B84,电搭接情况统计!$B$2:$H$423,7,0)</f>
        <v>S类，壳体搭接</v>
      </c>
      <c r="L84" s="175"/>
      <c r="M84" s="167" t="s">
        <v>25</v>
      </c>
      <c r="N84" s="202" t="s">
        <v>26</v>
      </c>
      <c r="O84" s="202" t="s">
        <v>26</v>
      </c>
      <c r="P84" s="179"/>
      <c r="Q84" s="179"/>
      <c r="R84" s="179"/>
      <c r="S84" s="13" t="s">
        <v>27</v>
      </c>
    </row>
    <row r="85" spans="1:19">
      <c r="A85" s="167" t="s">
        <v>252</v>
      </c>
      <c r="B85" s="146" t="s">
        <v>265</v>
      </c>
      <c r="C85" s="167" t="s">
        <v>266</v>
      </c>
      <c r="D85" s="178" t="s">
        <v>267</v>
      </c>
      <c r="E85" s="167"/>
      <c r="F85" s="183" t="s">
        <v>44</v>
      </c>
      <c r="G85" s="171">
        <v>2</v>
      </c>
      <c r="H85" s="172"/>
      <c r="I85" s="173"/>
      <c r="J85" s="174"/>
      <c r="K85" s="174" t="str">
        <f>VLOOKUP(B85,电搭接情况统计!$B$2:$H$423,7,0)</f>
        <v>S类，壳体搭接</v>
      </c>
      <c r="L85" s="175"/>
      <c r="M85" s="167" t="s">
        <v>25</v>
      </c>
      <c r="N85" s="202" t="s">
        <v>26</v>
      </c>
      <c r="O85" s="202" t="s">
        <v>26</v>
      </c>
      <c r="P85" s="179"/>
      <c r="Q85" s="179"/>
      <c r="R85" s="179"/>
      <c r="S85" s="13" t="s">
        <v>27</v>
      </c>
    </row>
    <row r="86" spans="1:19">
      <c r="A86" s="167" t="s">
        <v>252</v>
      </c>
      <c r="B86" s="184" t="s">
        <v>268</v>
      </c>
      <c r="C86" s="167" t="s">
        <v>269</v>
      </c>
      <c r="D86" s="178" t="s">
        <v>270</v>
      </c>
      <c r="E86" s="167"/>
      <c r="F86" s="183" t="s">
        <v>94</v>
      </c>
      <c r="G86" s="171">
        <v>1</v>
      </c>
      <c r="H86" s="172"/>
      <c r="I86" s="173"/>
      <c r="J86" s="174"/>
      <c r="K86" s="174" t="str">
        <f>VLOOKUP(B86,电搭接情况统计!$B$2:$H$423,7,0)</f>
        <v>R类，壳体线搭接</v>
      </c>
      <c r="L86" s="175"/>
      <c r="M86" s="167" t="s">
        <v>25</v>
      </c>
      <c r="N86" s="202" t="s">
        <v>26</v>
      </c>
      <c r="O86" s="202" t="s">
        <v>26</v>
      </c>
      <c r="P86" s="179"/>
      <c r="Q86" s="179"/>
      <c r="R86" s="179"/>
      <c r="S86" s="13" t="s">
        <v>27</v>
      </c>
    </row>
    <row r="87" spans="1:19">
      <c r="A87" s="167" t="s">
        <v>252</v>
      </c>
      <c r="B87" s="184" t="s">
        <v>271</v>
      </c>
      <c r="C87" s="167" t="s">
        <v>269</v>
      </c>
      <c r="D87" s="178" t="s">
        <v>272</v>
      </c>
      <c r="E87" s="167"/>
      <c r="F87" s="183" t="s">
        <v>94</v>
      </c>
      <c r="G87" s="171">
        <v>1</v>
      </c>
      <c r="H87" s="172"/>
      <c r="I87" s="173"/>
      <c r="J87" s="174"/>
      <c r="K87" s="174" t="str">
        <f>VLOOKUP(B87,电搭接情况统计!$B$2:$H$423,7,0)</f>
        <v>R类，壳体线搭接</v>
      </c>
      <c r="L87" s="175"/>
      <c r="M87" s="167" t="s">
        <v>25</v>
      </c>
      <c r="N87" s="202" t="s">
        <v>26</v>
      </c>
      <c r="O87" s="202" t="s">
        <v>26</v>
      </c>
      <c r="P87" s="179"/>
      <c r="Q87" s="179"/>
      <c r="R87" s="179"/>
      <c r="S87" s="13" t="s">
        <v>27</v>
      </c>
    </row>
    <row r="88" spans="1:19">
      <c r="A88" s="167" t="s">
        <v>252</v>
      </c>
      <c r="B88" s="184" t="s">
        <v>273</v>
      </c>
      <c r="C88" s="167" t="s">
        <v>274</v>
      </c>
      <c r="D88" s="178" t="s">
        <v>275</v>
      </c>
      <c r="E88" s="167"/>
      <c r="F88" s="183" t="s">
        <v>186</v>
      </c>
      <c r="G88" s="171">
        <v>2</v>
      </c>
      <c r="H88" s="172"/>
      <c r="I88" s="173"/>
      <c r="J88" s="174"/>
      <c r="K88" s="174" t="str">
        <f>VLOOKUP(B88,电搭接情况统计!$B$2:$H$423,7,0)</f>
        <v>C类</v>
      </c>
      <c r="L88" s="175"/>
      <c r="M88" s="167" t="s">
        <v>25</v>
      </c>
      <c r="N88" s="202" t="s">
        <v>26</v>
      </c>
      <c r="O88" s="202" t="s">
        <v>26</v>
      </c>
      <c r="P88" s="179"/>
      <c r="Q88" s="179"/>
      <c r="R88" s="179"/>
      <c r="S88" s="13" t="s">
        <v>27</v>
      </c>
    </row>
    <row r="89" spans="1:19">
      <c r="A89" s="167" t="s">
        <v>252</v>
      </c>
      <c r="B89" s="184" t="s">
        <v>276</v>
      </c>
      <c r="C89" s="167" t="s">
        <v>277</v>
      </c>
      <c r="D89" s="178" t="s">
        <v>278</v>
      </c>
      <c r="E89" s="167"/>
      <c r="F89" s="183" t="s">
        <v>81</v>
      </c>
      <c r="G89" s="171">
        <v>1</v>
      </c>
      <c r="H89" s="172"/>
      <c r="I89" s="173"/>
      <c r="J89" s="174"/>
      <c r="K89" s="174" t="str">
        <f>VLOOKUP(B89,电搭接情况统计!$B$2:$H$423,7,0)</f>
        <v>R类，壳体线搭接</v>
      </c>
      <c r="L89" s="175"/>
      <c r="M89" s="167" t="s">
        <v>25</v>
      </c>
      <c r="N89" s="202" t="s">
        <v>26</v>
      </c>
      <c r="O89" s="202" t="s">
        <v>26</v>
      </c>
      <c r="P89" s="179"/>
      <c r="Q89" s="179"/>
      <c r="R89" s="179"/>
      <c r="S89" s="13" t="s">
        <v>27</v>
      </c>
    </row>
    <row r="90" spans="1:19">
      <c r="A90" s="167" t="s">
        <v>252</v>
      </c>
      <c r="B90" s="184" t="s">
        <v>279</v>
      </c>
      <c r="C90" s="167" t="s">
        <v>277</v>
      </c>
      <c r="D90" s="178" t="s">
        <v>280</v>
      </c>
      <c r="E90" s="167"/>
      <c r="F90" s="183" t="s">
        <v>81</v>
      </c>
      <c r="G90" s="171">
        <v>1</v>
      </c>
      <c r="H90" s="172"/>
      <c r="I90" s="173"/>
      <c r="J90" s="174"/>
      <c r="K90" s="174" t="str">
        <f>VLOOKUP(B90,电搭接情况统计!$B$2:$H$423,7,0)</f>
        <v>R类，壳体线搭接</v>
      </c>
      <c r="L90" s="175"/>
      <c r="M90" s="167" t="s">
        <v>25</v>
      </c>
      <c r="N90" s="202" t="s">
        <v>26</v>
      </c>
      <c r="O90" s="202" t="s">
        <v>26</v>
      </c>
      <c r="P90" s="179"/>
      <c r="Q90" s="179"/>
      <c r="R90" s="179"/>
      <c r="S90" s="13" t="s">
        <v>27</v>
      </c>
    </row>
    <row r="91" spans="1:19">
      <c r="A91" s="167" t="s">
        <v>252</v>
      </c>
      <c r="B91" s="184" t="s">
        <v>281</v>
      </c>
      <c r="C91" s="167" t="s">
        <v>277</v>
      </c>
      <c r="D91" s="178" t="s">
        <v>282</v>
      </c>
      <c r="E91" s="167"/>
      <c r="F91" s="183" t="s">
        <v>81</v>
      </c>
      <c r="G91" s="171">
        <v>1</v>
      </c>
      <c r="H91" s="172"/>
      <c r="I91" s="173"/>
      <c r="J91" s="174"/>
      <c r="K91" s="174" t="str">
        <f>VLOOKUP(B91,电搭接情况统计!$B$2:$H$423,7,0)</f>
        <v>R类，壳体线搭接</v>
      </c>
      <c r="L91" s="175"/>
      <c r="M91" s="167" t="s">
        <v>25</v>
      </c>
      <c r="N91" s="202" t="s">
        <v>26</v>
      </c>
      <c r="O91" s="202" t="s">
        <v>26</v>
      </c>
      <c r="P91" s="179"/>
      <c r="Q91" s="179"/>
      <c r="R91" s="179"/>
      <c r="S91" s="13" t="s">
        <v>27</v>
      </c>
    </row>
    <row r="92" spans="1:19">
      <c r="A92" s="167" t="s">
        <v>252</v>
      </c>
      <c r="B92" s="184" t="s">
        <v>283</v>
      </c>
      <c r="C92" s="167" t="s">
        <v>277</v>
      </c>
      <c r="D92" s="178" t="s">
        <v>284</v>
      </c>
      <c r="E92" s="167"/>
      <c r="F92" s="183" t="s">
        <v>81</v>
      </c>
      <c r="G92" s="171">
        <v>1</v>
      </c>
      <c r="H92" s="172"/>
      <c r="I92" s="173"/>
      <c r="J92" s="174"/>
      <c r="K92" s="174" t="str">
        <f>VLOOKUP(B92,电搭接情况统计!$B$2:$H$423,7,0)</f>
        <v>R类，壳体线搭接</v>
      </c>
      <c r="L92" s="175"/>
      <c r="M92" s="167" t="s">
        <v>25</v>
      </c>
      <c r="N92" s="202" t="s">
        <v>26</v>
      </c>
      <c r="O92" s="202" t="s">
        <v>26</v>
      </c>
      <c r="P92" s="179"/>
      <c r="Q92" s="179"/>
      <c r="R92" s="179"/>
      <c r="S92" s="13" t="s">
        <v>27</v>
      </c>
    </row>
    <row r="93" spans="1:19">
      <c r="A93" s="167" t="s">
        <v>252</v>
      </c>
      <c r="B93" s="184" t="s">
        <v>285</v>
      </c>
      <c r="C93" s="167" t="s">
        <v>286</v>
      </c>
      <c r="D93" s="178" t="s">
        <v>287</v>
      </c>
      <c r="E93" s="167"/>
      <c r="F93" s="183" t="s">
        <v>67</v>
      </c>
      <c r="G93" s="171">
        <v>1</v>
      </c>
      <c r="H93" s="172" t="s">
        <v>288</v>
      </c>
      <c r="I93" s="173"/>
      <c r="J93" s="174"/>
      <c r="K93" s="174" t="str">
        <f>VLOOKUP(B93,电搭接情况统计!$B$2:$H$423,7,0)</f>
        <v>R类，壳体线搭接</v>
      </c>
      <c r="L93" s="175"/>
      <c r="M93" s="167" t="s">
        <v>25</v>
      </c>
      <c r="N93" s="202" t="s">
        <v>26</v>
      </c>
      <c r="O93" s="202" t="s">
        <v>26</v>
      </c>
      <c r="P93" s="179"/>
      <c r="Q93" s="179"/>
      <c r="R93" s="179"/>
      <c r="S93" s="13" t="s">
        <v>289</v>
      </c>
    </row>
    <row r="94" spans="1:19">
      <c r="A94" s="167" t="s">
        <v>252</v>
      </c>
      <c r="B94" s="184" t="s">
        <v>290</v>
      </c>
      <c r="C94" s="167" t="s">
        <v>286</v>
      </c>
      <c r="D94" s="178" t="s">
        <v>291</v>
      </c>
      <c r="E94" s="167"/>
      <c r="F94" s="183" t="s">
        <v>67</v>
      </c>
      <c r="G94" s="171">
        <v>1</v>
      </c>
      <c r="H94" s="172" t="s">
        <v>288</v>
      </c>
      <c r="I94" s="173"/>
      <c r="J94" s="174"/>
      <c r="K94" s="174" t="str">
        <f>VLOOKUP(B94,电搭接情况统计!$B$2:$H$423,7,0)</f>
        <v>R类，壳体线搭接</v>
      </c>
      <c r="L94" s="175"/>
      <c r="M94" s="167" t="s">
        <v>25</v>
      </c>
      <c r="N94" s="202" t="s">
        <v>26</v>
      </c>
      <c r="O94" s="202" t="s">
        <v>26</v>
      </c>
      <c r="P94" s="179"/>
      <c r="Q94" s="179"/>
      <c r="R94" s="179"/>
      <c r="S94" s="13" t="s">
        <v>289</v>
      </c>
    </row>
    <row r="95" spans="1:19">
      <c r="A95" s="167" t="s">
        <v>252</v>
      </c>
      <c r="B95" s="184" t="s">
        <v>292</v>
      </c>
      <c r="C95" s="167" t="s">
        <v>293</v>
      </c>
      <c r="D95" s="178" t="s">
        <v>294</v>
      </c>
      <c r="E95" s="167"/>
      <c r="F95" s="183" t="s">
        <v>67</v>
      </c>
      <c r="G95" s="171">
        <v>1</v>
      </c>
      <c r="H95" s="172" t="s">
        <v>288</v>
      </c>
      <c r="I95" s="173"/>
      <c r="J95" s="174"/>
      <c r="K95" s="174" t="str">
        <f>VLOOKUP(B95,电搭接情况统计!$B$2:$H$423,7,0)</f>
        <v>R类，壳体线搭接</v>
      </c>
      <c r="L95" s="175"/>
      <c r="M95" s="167" t="s">
        <v>25</v>
      </c>
      <c r="N95" s="202" t="s">
        <v>26</v>
      </c>
      <c r="O95" s="202" t="s">
        <v>26</v>
      </c>
      <c r="P95" s="179"/>
      <c r="Q95" s="179"/>
      <c r="R95" s="179"/>
      <c r="S95" s="13" t="s">
        <v>289</v>
      </c>
    </row>
    <row r="96" spans="1:19">
      <c r="A96" s="167" t="s">
        <v>252</v>
      </c>
      <c r="B96" s="184" t="s">
        <v>295</v>
      </c>
      <c r="C96" s="167" t="s">
        <v>293</v>
      </c>
      <c r="D96" s="178" t="s">
        <v>296</v>
      </c>
      <c r="E96" s="167"/>
      <c r="F96" s="183" t="s">
        <v>67</v>
      </c>
      <c r="G96" s="171">
        <v>1</v>
      </c>
      <c r="H96" s="172" t="s">
        <v>288</v>
      </c>
      <c r="I96" s="173"/>
      <c r="J96" s="174"/>
      <c r="K96" s="174" t="str">
        <f>VLOOKUP(B96,电搭接情况统计!$B$2:$H$423,7,0)</f>
        <v>R类，壳体线搭接</v>
      </c>
      <c r="L96" s="175"/>
      <c r="M96" s="167" t="s">
        <v>25</v>
      </c>
      <c r="N96" s="202" t="s">
        <v>26</v>
      </c>
      <c r="O96" s="202" t="s">
        <v>26</v>
      </c>
      <c r="P96" s="179"/>
      <c r="Q96" s="179"/>
      <c r="R96" s="179"/>
      <c r="S96" s="13" t="s">
        <v>289</v>
      </c>
    </row>
    <row r="97" spans="1:19">
      <c r="A97" s="167" t="s">
        <v>252</v>
      </c>
      <c r="B97" s="184" t="s">
        <v>297</v>
      </c>
      <c r="C97" s="167" t="s">
        <v>298</v>
      </c>
      <c r="D97" s="178" t="s">
        <v>299</v>
      </c>
      <c r="E97" s="167"/>
      <c r="F97" s="183" t="s">
        <v>300</v>
      </c>
      <c r="G97" s="171">
        <v>1</v>
      </c>
      <c r="H97" s="172"/>
      <c r="I97" s="182" t="str">
        <f>VLOOKUP($B97,设备架接口信息!$A$1:$G$69,4,0)</f>
        <v>3MCU托架安装，A类锁紧器</v>
      </c>
      <c r="J97" s="175" t="str">
        <f>VLOOKUP($B97,设备架接口信息!$A$1:$G$69,5,0)</f>
        <v>面搭接</v>
      </c>
      <c r="K97" s="174" t="str">
        <f>VLOOKUP(B97,电搭接情况统计!$B$2:$H$423,7,0)</f>
        <v>C类</v>
      </c>
      <c r="L97" s="175">
        <f>VLOOKUP($B97,设备架接口信息!$A$1:$G$69,6,0)</f>
        <v>5.126831</v>
      </c>
      <c r="M97" s="167" t="s">
        <v>25</v>
      </c>
      <c r="N97" s="202" t="s">
        <v>26</v>
      </c>
      <c r="O97" s="202" t="s">
        <v>26</v>
      </c>
      <c r="P97" s="179"/>
      <c r="Q97" s="179"/>
      <c r="R97" s="179"/>
      <c r="S97" s="67" t="s">
        <v>37</v>
      </c>
    </row>
    <row r="98" spans="1:19">
      <c r="A98" s="167" t="s">
        <v>252</v>
      </c>
      <c r="B98" s="184" t="s">
        <v>301</v>
      </c>
      <c r="C98" s="167" t="s">
        <v>298</v>
      </c>
      <c r="D98" s="178" t="s">
        <v>302</v>
      </c>
      <c r="E98" s="167"/>
      <c r="F98" s="183" t="s">
        <v>303</v>
      </c>
      <c r="G98" s="171">
        <v>1</v>
      </c>
      <c r="H98" s="172"/>
      <c r="I98" s="182" t="str">
        <f>VLOOKUP($B98,设备架接口信息!$A$1:$G$69,4,0)</f>
        <v>3MCU托架安装，A类锁紧器</v>
      </c>
      <c r="J98" s="175" t="str">
        <f>VLOOKUP($B98,设备架接口信息!$A$1:$G$69,5,0)</f>
        <v>面搭接</v>
      </c>
      <c r="K98" s="174" t="str">
        <f>VLOOKUP(B98,电搭接情况统计!$B$2:$H$423,7,0)</f>
        <v>C类</v>
      </c>
      <c r="L98" s="175">
        <f>VLOOKUP($B98,设备架接口信息!$A$1:$G$69,6,0)</f>
        <v>5.006831</v>
      </c>
      <c r="M98" s="167" t="s">
        <v>25</v>
      </c>
      <c r="N98" s="202" t="s">
        <v>26</v>
      </c>
      <c r="O98" s="202" t="s">
        <v>26</v>
      </c>
      <c r="P98" s="179"/>
      <c r="Q98" s="179"/>
      <c r="R98" s="179"/>
      <c r="S98" s="67" t="s">
        <v>37</v>
      </c>
    </row>
    <row r="99" spans="1:19">
      <c r="A99" s="167" t="s">
        <v>252</v>
      </c>
      <c r="B99" s="184" t="s">
        <v>304</v>
      </c>
      <c r="C99" s="167" t="s">
        <v>298</v>
      </c>
      <c r="D99" s="178" t="s">
        <v>305</v>
      </c>
      <c r="E99" s="167"/>
      <c r="F99" s="183" t="s">
        <v>40</v>
      </c>
      <c r="G99" s="171">
        <v>1</v>
      </c>
      <c r="H99" s="172"/>
      <c r="I99" s="182" t="str">
        <f>VLOOKUP($B99,设备架接口信息!$A$1:$G$69,4,0)</f>
        <v>3MCU托架安装，A类锁紧器</v>
      </c>
      <c r="J99" s="175" t="str">
        <f>VLOOKUP($B99,设备架接口信息!$A$1:$G$69,5,0)</f>
        <v>面搭接</v>
      </c>
      <c r="K99" s="174" t="str">
        <f>VLOOKUP(B99,电搭接情况统计!$B$2:$H$423,7,0)</f>
        <v>C类</v>
      </c>
      <c r="L99" s="175">
        <f>VLOOKUP($B99,设备架接口信息!$A$1:$G$69,6,0)</f>
        <v>5.057831</v>
      </c>
      <c r="M99" s="167" t="s">
        <v>25</v>
      </c>
      <c r="N99" s="202" t="s">
        <v>26</v>
      </c>
      <c r="O99" s="202" t="s">
        <v>26</v>
      </c>
      <c r="P99" s="179"/>
      <c r="Q99" s="179"/>
      <c r="R99" s="179"/>
      <c r="S99" s="67" t="s">
        <v>37</v>
      </c>
    </row>
    <row r="100" spans="1:19">
      <c r="A100" s="167" t="s">
        <v>252</v>
      </c>
      <c r="B100" s="146" t="s">
        <v>306</v>
      </c>
      <c r="C100" s="167" t="s">
        <v>307</v>
      </c>
      <c r="D100" s="178" t="s">
        <v>308</v>
      </c>
      <c r="E100" s="167"/>
      <c r="F100" s="183" t="s">
        <v>36</v>
      </c>
      <c r="G100" s="171">
        <v>2</v>
      </c>
      <c r="H100" s="172"/>
      <c r="I100" s="182" t="str">
        <f>VLOOKUP($B100,设备架接口信息!$A$1:$G$69,4,0)</f>
        <v>3MCU托架安装，A类锁紧器</v>
      </c>
      <c r="J100" s="175" t="str">
        <f>VLOOKUP($B100,设备架接口信息!$A$1:$G$69,5,0)</f>
        <v>线搭接</v>
      </c>
      <c r="K100" s="174" t="str">
        <f>VLOOKUP(B100,电搭接情况统计!$B$2:$H$423,7,0)</f>
        <v>C类</v>
      </c>
      <c r="L100" s="175">
        <f>VLOOKUP($B100,设备架接口信息!$A$1:$G$69,6,0)</f>
        <v>6.177486</v>
      </c>
      <c r="M100" s="167" t="s">
        <v>25</v>
      </c>
      <c r="N100" s="202" t="s">
        <v>26</v>
      </c>
      <c r="O100" s="202" t="s">
        <v>26</v>
      </c>
      <c r="P100" s="179"/>
      <c r="Q100" s="179"/>
      <c r="R100" s="179"/>
      <c r="S100" s="67" t="s">
        <v>37</v>
      </c>
    </row>
    <row r="101" spans="1:19">
      <c r="A101" s="167" t="s">
        <v>252</v>
      </c>
      <c r="B101" s="184" t="s">
        <v>309</v>
      </c>
      <c r="C101" s="167" t="s">
        <v>310</v>
      </c>
      <c r="D101" s="217" t="s">
        <v>311</v>
      </c>
      <c r="E101" s="167"/>
      <c r="F101" s="183" t="s">
        <v>40</v>
      </c>
      <c r="G101" s="171">
        <v>5</v>
      </c>
      <c r="H101" s="172"/>
      <c r="I101" s="182" t="str">
        <f>VLOOKUP($B101,设备架接口信息!$A$1:$G$69,4,0)</f>
        <v>四角螺栓安装</v>
      </c>
      <c r="J101" s="175" t="str">
        <f>VLOOKUP($B101,设备架接口信息!$A$1:$G$69,5,0)</f>
        <v>线搭接</v>
      </c>
      <c r="K101" s="174" t="str">
        <f>VLOOKUP(B101,电搭接情况统计!$B$2:$H$423,7,0)</f>
        <v>C类</v>
      </c>
      <c r="L101" s="175">
        <f>VLOOKUP($B101,设备架接口信息!$A$1:$G$69,6,0)</f>
        <v>2.116</v>
      </c>
      <c r="M101" s="167" t="s">
        <v>25</v>
      </c>
      <c r="N101" s="202" t="s">
        <v>26</v>
      </c>
      <c r="O101" s="202" t="s">
        <v>26</v>
      </c>
      <c r="P101" s="179"/>
      <c r="Q101" s="179"/>
      <c r="R101" s="179"/>
      <c r="S101" s="67" t="s">
        <v>312</v>
      </c>
    </row>
    <row r="102" spans="1:19">
      <c r="A102" s="167" t="s">
        <v>252</v>
      </c>
      <c r="B102" s="184" t="s">
        <v>313</v>
      </c>
      <c r="C102" s="167" t="s">
        <v>310</v>
      </c>
      <c r="D102" s="178" t="s">
        <v>314</v>
      </c>
      <c r="E102" s="167"/>
      <c r="F102" s="183" t="s">
        <v>315</v>
      </c>
      <c r="G102" s="171">
        <v>5</v>
      </c>
      <c r="H102" s="172"/>
      <c r="I102" s="173"/>
      <c r="J102" s="174"/>
      <c r="K102" s="174" t="str">
        <f>VLOOKUP(B102,电搭接情况统计!$B$2:$H$423,7,0)</f>
        <v>C类</v>
      </c>
      <c r="L102" s="175"/>
      <c r="M102" s="167" t="s">
        <v>25</v>
      </c>
      <c r="N102" s="202" t="s">
        <v>26</v>
      </c>
      <c r="O102" s="202" t="s">
        <v>26</v>
      </c>
      <c r="P102" s="179"/>
      <c r="Q102" s="179"/>
      <c r="R102" s="179"/>
      <c r="S102" s="13" t="s">
        <v>316</v>
      </c>
    </row>
    <row r="103" spans="1:19">
      <c r="A103" s="167" t="s">
        <v>252</v>
      </c>
      <c r="B103" s="184" t="s">
        <v>317</v>
      </c>
      <c r="C103" s="167" t="s">
        <v>318</v>
      </c>
      <c r="D103" s="217" t="s">
        <v>319</v>
      </c>
      <c r="E103" s="167"/>
      <c r="F103" s="196" t="s">
        <v>320</v>
      </c>
      <c r="G103" s="171">
        <v>1</v>
      </c>
      <c r="H103" s="172" t="s">
        <v>321</v>
      </c>
      <c r="I103" s="182" t="str">
        <f>VLOOKUP($B103,设备架接口信息!$A$1:$G$69,4,0)</f>
        <v>四角螺栓安装</v>
      </c>
      <c r="J103" s="175" t="str">
        <f>VLOOKUP($B103,设备架接口信息!$A$1:$G$69,5,0)</f>
        <v>面搭接</v>
      </c>
      <c r="K103" s="174" t="str">
        <f>VLOOKUP(B103,电搭接情况统计!$B$2:$H$423,7,0)</f>
        <v>C类，28V负极通过ERN回流；
R类，壳体线搭接</v>
      </c>
      <c r="L103" s="175">
        <f>VLOOKUP($B103,设备架接口信息!$A$1:$G$69,6,0)</f>
        <v>4.42</v>
      </c>
      <c r="M103" s="167" t="s">
        <v>25</v>
      </c>
      <c r="N103" s="202" t="s">
        <v>26</v>
      </c>
      <c r="O103" s="202" t="s">
        <v>26</v>
      </c>
      <c r="P103" s="179"/>
      <c r="Q103" s="179"/>
      <c r="R103" s="179"/>
      <c r="S103" s="13" t="s">
        <v>322</v>
      </c>
    </row>
    <row r="104" spans="1:19">
      <c r="A104" s="167" t="s">
        <v>252</v>
      </c>
      <c r="B104" s="184" t="s">
        <v>323</v>
      </c>
      <c r="C104" s="167" t="s">
        <v>318</v>
      </c>
      <c r="D104" s="178" t="s">
        <v>324</v>
      </c>
      <c r="E104" s="167"/>
      <c r="F104" s="183" t="s">
        <v>300</v>
      </c>
      <c r="G104" s="171">
        <v>1</v>
      </c>
      <c r="H104" s="172" t="s">
        <v>321</v>
      </c>
      <c r="I104" s="182" t="str">
        <f>VLOOKUP($B104,设备架接口信息!$A$1:$G$69,4,0)</f>
        <v>四角螺栓安装</v>
      </c>
      <c r="J104" s="175" t="str">
        <f>VLOOKUP($B104,设备架接口信息!$A$1:$G$69,5,0)</f>
        <v>面搭接</v>
      </c>
      <c r="K104" s="174" t="str">
        <f>VLOOKUP(B104,电搭接情况统计!$B$2:$H$423,7,0)</f>
        <v>C类，28V负极通过ERN回流；
R类，壳体线搭接</v>
      </c>
      <c r="L104" s="175">
        <f>VLOOKUP($B104,设备架接口信息!$A$1:$G$69,6,0)</f>
        <v>4.42</v>
      </c>
      <c r="M104" s="167" t="s">
        <v>25</v>
      </c>
      <c r="N104" s="202" t="s">
        <v>26</v>
      </c>
      <c r="O104" s="202" t="s">
        <v>26</v>
      </c>
      <c r="P104" s="179"/>
      <c r="Q104" s="179"/>
      <c r="R104" s="179"/>
      <c r="S104" s="13" t="s">
        <v>322</v>
      </c>
    </row>
    <row r="105" spans="1:19">
      <c r="A105" s="167" t="s">
        <v>252</v>
      </c>
      <c r="B105" s="184" t="s">
        <v>325</v>
      </c>
      <c r="C105" s="167" t="s">
        <v>318</v>
      </c>
      <c r="D105" s="178" t="s">
        <v>326</v>
      </c>
      <c r="E105" s="167"/>
      <c r="F105" s="183" t="s">
        <v>303</v>
      </c>
      <c r="G105" s="171">
        <v>1</v>
      </c>
      <c r="H105" s="172" t="s">
        <v>321</v>
      </c>
      <c r="I105" s="182" t="str">
        <f>VLOOKUP($B105,设备架接口信息!$A$1:$G$69,4,0)</f>
        <v>四角螺栓安装</v>
      </c>
      <c r="J105" s="175" t="str">
        <f>VLOOKUP($B105,设备架接口信息!$A$1:$G$69,5,0)</f>
        <v>面搭接</v>
      </c>
      <c r="K105" s="174" t="str">
        <f>VLOOKUP(B105,电搭接情况统计!$B$2:$H$423,7,0)</f>
        <v>C类，28V负极通过ERN回流；
R类，壳体线搭接</v>
      </c>
      <c r="L105" s="175">
        <f>VLOOKUP($B105,设备架接口信息!$A$1:$G$69,6,0)</f>
        <v>4.42</v>
      </c>
      <c r="M105" s="167" t="s">
        <v>25</v>
      </c>
      <c r="N105" s="202" t="s">
        <v>26</v>
      </c>
      <c r="O105" s="202" t="s">
        <v>26</v>
      </c>
      <c r="P105" s="179"/>
      <c r="Q105" s="179"/>
      <c r="R105" s="179"/>
      <c r="S105" s="13" t="s">
        <v>322</v>
      </c>
    </row>
    <row r="106" spans="1:19">
      <c r="A106" s="167" t="s">
        <v>252</v>
      </c>
      <c r="B106" s="184" t="s">
        <v>327</v>
      </c>
      <c r="C106" s="167" t="s">
        <v>318</v>
      </c>
      <c r="D106" s="178" t="s">
        <v>328</v>
      </c>
      <c r="E106" s="167"/>
      <c r="F106" s="183" t="s">
        <v>303</v>
      </c>
      <c r="G106" s="171">
        <v>1</v>
      </c>
      <c r="H106" s="172" t="s">
        <v>321</v>
      </c>
      <c r="I106" s="182" t="str">
        <f>VLOOKUP($B106,设备架接口信息!$A$1:$G$69,4,0)</f>
        <v>四角螺栓安装</v>
      </c>
      <c r="J106" s="175" t="str">
        <f>VLOOKUP($B106,设备架接口信息!$A$1:$G$69,5,0)</f>
        <v>面搭接</v>
      </c>
      <c r="K106" s="174" t="str">
        <f>VLOOKUP(B106,电搭接情况统计!$B$2:$H$423,7,0)</f>
        <v>C类，28V负极通过ERN回流；
R类，壳体线搭接</v>
      </c>
      <c r="L106" s="175">
        <f>VLOOKUP($B106,设备架接口信息!$A$1:$G$69,6,0)</f>
        <v>4.42</v>
      </c>
      <c r="M106" s="167" t="s">
        <v>25</v>
      </c>
      <c r="N106" s="202" t="s">
        <v>26</v>
      </c>
      <c r="O106" s="202" t="s">
        <v>26</v>
      </c>
      <c r="P106" s="179"/>
      <c r="Q106" s="179"/>
      <c r="R106" s="179"/>
      <c r="S106" s="13" t="s">
        <v>322</v>
      </c>
    </row>
    <row r="107" spans="1:19">
      <c r="A107" s="167" t="s">
        <v>252</v>
      </c>
      <c r="B107" s="184" t="s">
        <v>329</v>
      </c>
      <c r="C107" s="167" t="s">
        <v>330</v>
      </c>
      <c r="D107" s="178" t="s">
        <v>331</v>
      </c>
      <c r="E107" s="167"/>
      <c r="F107" s="183" t="s">
        <v>300</v>
      </c>
      <c r="G107" s="171">
        <v>1</v>
      </c>
      <c r="H107" s="172" t="s">
        <v>321</v>
      </c>
      <c r="I107" s="182" t="str">
        <f>VLOOKUP($B107,设备架接口信息!$A$1:$G$69,4,0)</f>
        <v>四角螺栓安装</v>
      </c>
      <c r="J107" s="175" t="str">
        <f>VLOOKUP($B107,设备架接口信息!$A$1:$G$69,5,0)</f>
        <v>面搭接</v>
      </c>
      <c r="K107" s="174" t="str">
        <f>VLOOKUP(B107,电搭接情况统计!$B$2:$H$423,7,0)</f>
        <v>C类，28V负极通过ERN回流；
R类，壳体线搭接</v>
      </c>
      <c r="L107" s="175">
        <f>VLOOKUP($B107,设备架接口信息!$A$1:$G$69,6,0)</f>
        <v>3.32</v>
      </c>
      <c r="M107" s="167" t="s">
        <v>25</v>
      </c>
      <c r="N107" s="202" t="s">
        <v>26</v>
      </c>
      <c r="O107" s="202" t="s">
        <v>26</v>
      </c>
      <c r="P107" s="179"/>
      <c r="Q107" s="179"/>
      <c r="R107" s="179"/>
      <c r="S107" s="13" t="s">
        <v>322</v>
      </c>
    </row>
    <row r="108" spans="1:19">
      <c r="A108" s="167" t="s">
        <v>252</v>
      </c>
      <c r="B108" s="184" t="s">
        <v>332</v>
      </c>
      <c r="C108" s="167" t="s">
        <v>330</v>
      </c>
      <c r="D108" s="217" t="s">
        <v>333</v>
      </c>
      <c r="E108" s="167"/>
      <c r="F108" s="196" t="s">
        <v>334</v>
      </c>
      <c r="G108" s="171">
        <v>1</v>
      </c>
      <c r="H108" s="172" t="s">
        <v>321</v>
      </c>
      <c r="I108" s="182" t="str">
        <f>VLOOKUP($B108,设备架接口信息!$A$1:$G$69,4,0)</f>
        <v>四角螺栓安装</v>
      </c>
      <c r="J108" s="175" t="str">
        <f>VLOOKUP($B108,设备架接口信息!$A$1:$G$69,5,0)</f>
        <v>面搭接</v>
      </c>
      <c r="K108" s="174" t="str">
        <f>VLOOKUP(B108,电搭接情况统计!$B$2:$H$423,7,0)</f>
        <v>C类，28V负极通过ERN回流；
R类，壳体线搭接</v>
      </c>
      <c r="L108" s="175">
        <f>VLOOKUP($B108,设备架接口信息!$A$1:$G$69,6,0)</f>
        <v>3.32</v>
      </c>
      <c r="M108" s="167" t="s">
        <v>25</v>
      </c>
      <c r="N108" s="202" t="s">
        <v>26</v>
      </c>
      <c r="O108" s="202" t="s">
        <v>26</v>
      </c>
      <c r="P108" s="179"/>
      <c r="Q108" s="179"/>
      <c r="R108" s="179"/>
      <c r="S108" s="13" t="s">
        <v>322</v>
      </c>
    </row>
    <row r="109" spans="1:19">
      <c r="A109" s="167" t="s">
        <v>252</v>
      </c>
      <c r="B109" s="184" t="s">
        <v>335</v>
      </c>
      <c r="C109" s="167" t="s">
        <v>336</v>
      </c>
      <c r="D109" s="217" t="s">
        <v>337</v>
      </c>
      <c r="E109" s="167"/>
      <c r="F109" s="192" t="s">
        <v>338</v>
      </c>
      <c r="G109" s="171">
        <v>1</v>
      </c>
      <c r="H109" s="172" t="s">
        <v>321</v>
      </c>
      <c r="I109" s="182" t="str">
        <f>VLOOKUP($B109,设备架接口信息!$A$1:$G$69,4,0)</f>
        <v>四角螺栓安装</v>
      </c>
      <c r="J109" s="175" t="str">
        <f>VLOOKUP($B109,设备架接口信息!$A$1:$G$69,5,0)</f>
        <v>线搭接</v>
      </c>
      <c r="K109" s="174" t="str">
        <f>VLOOKUP(B109,电搭接情况统计!$B$2:$H$423,7,0)</f>
        <v>C类，28V负极通过ERN回流；
R类，壳体线搭接</v>
      </c>
      <c r="L109" s="175">
        <f>VLOOKUP($B109,设备架接口信息!$A$1:$G$69,6,0)</f>
        <v>4.65</v>
      </c>
      <c r="M109" s="167" t="s">
        <v>25</v>
      </c>
      <c r="N109" s="202" t="s">
        <v>26</v>
      </c>
      <c r="O109" s="202" t="s">
        <v>26</v>
      </c>
      <c r="P109" s="179"/>
      <c r="Q109" s="179"/>
      <c r="R109" s="179"/>
      <c r="S109" s="13" t="s">
        <v>322</v>
      </c>
    </row>
    <row r="110" spans="1:19">
      <c r="A110" s="167" t="s">
        <v>252</v>
      </c>
      <c r="B110" s="184" t="s">
        <v>339</v>
      </c>
      <c r="C110" s="167" t="s">
        <v>336</v>
      </c>
      <c r="D110" s="217" t="s">
        <v>340</v>
      </c>
      <c r="E110" s="167"/>
      <c r="F110" s="192" t="s">
        <v>338</v>
      </c>
      <c r="G110" s="171">
        <v>1</v>
      </c>
      <c r="H110" s="172" t="s">
        <v>321</v>
      </c>
      <c r="I110" s="182" t="str">
        <f>VLOOKUP($B110,设备架接口信息!$A$1:$G$69,4,0)</f>
        <v>四角螺栓安装</v>
      </c>
      <c r="J110" s="175" t="str">
        <f>VLOOKUP($B110,设备架接口信息!$A$1:$G$69,5,0)</f>
        <v>线搭接</v>
      </c>
      <c r="K110" s="174" t="str">
        <f>VLOOKUP(B110,电搭接情况统计!$B$2:$H$423,7,0)</f>
        <v>C类，28V负极通过ERN回流；
R类，壳体线搭接</v>
      </c>
      <c r="L110" s="175">
        <f>VLOOKUP($B110,设备架接口信息!$A$1:$G$69,6,0)</f>
        <v>4.86</v>
      </c>
      <c r="M110" s="167" t="s">
        <v>25</v>
      </c>
      <c r="N110" s="202" t="s">
        <v>26</v>
      </c>
      <c r="O110" s="202" t="s">
        <v>26</v>
      </c>
      <c r="P110" s="179"/>
      <c r="Q110" s="179"/>
      <c r="R110" s="179"/>
      <c r="S110" s="13" t="s">
        <v>322</v>
      </c>
    </row>
    <row r="111" spans="1:19">
      <c r="A111" s="167" t="s">
        <v>252</v>
      </c>
      <c r="B111" s="184" t="s">
        <v>341</v>
      </c>
      <c r="C111" s="167" t="s">
        <v>342</v>
      </c>
      <c r="D111" s="178" t="s">
        <v>343</v>
      </c>
      <c r="E111" s="167"/>
      <c r="F111" s="183" t="s">
        <v>67</v>
      </c>
      <c r="G111" s="171">
        <v>1</v>
      </c>
      <c r="H111" s="172"/>
      <c r="I111" s="173"/>
      <c r="J111" s="174"/>
      <c r="K111" s="174" t="str">
        <f>VLOOKUP(B111,电搭接情况统计!$B$2:$H$423,7,0)</f>
        <v>R类，壳体线搭接</v>
      </c>
      <c r="L111" s="175"/>
      <c r="M111" s="167" t="s">
        <v>25</v>
      </c>
      <c r="N111" s="202" t="s">
        <v>26</v>
      </c>
      <c r="O111" s="202" t="s">
        <v>26</v>
      </c>
      <c r="P111" s="179"/>
      <c r="Q111" s="179"/>
      <c r="R111" s="179"/>
      <c r="S111" s="13" t="s">
        <v>27</v>
      </c>
    </row>
    <row r="112" spans="1:19">
      <c r="A112" s="167" t="s">
        <v>252</v>
      </c>
      <c r="B112" s="184" t="s">
        <v>344</v>
      </c>
      <c r="C112" s="167" t="s">
        <v>342</v>
      </c>
      <c r="D112" s="178" t="s">
        <v>345</v>
      </c>
      <c r="E112" s="167"/>
      <c r="F112" s="183" t="s">
        <v>67</v>
      </c>
      <c r="G112" s="171">
        <v>1</v>
      </c>
      <c r="H112" s="172"/>
      <c r="I112" s="173"/>
      <c r="J112" s="174"/>
      <c r="K112" s="174" t="str">
        <f>VLOOKUP(B112,电搭接情况统计!$B$2:$H$423,7,0)</f>
        <v>R类，壳体线搭接</v>
      </c>
      <c r="L112" s="175"/>
      <c r="M112" s="167" t="s">
        <v>25</v>
      </c>
      <c r="N112" s="202" t="s">
        <v>26</v>
      </c>
      <c r="O112" s="202" t="s">
        <v>26</v>
      </c>
      <c r="P112" s="179"/>
      <c r="Q112" s="179"/>
      <c r="R112" s="179"/>
      <c r="S112" s="13" t="s">
        <v>27</v>
      </c>
    </row>
    <row r="113" spans="1:19">
      <c r="A113" s="167" t="s">
        <v>252</v>
      </c>
      <c r="B113" s="184" t="s">
        <v>346</v>
      </c>
      <c r="C113" s="167" t="s">
        <v>347</v>
      </c>
      <c r="D113" s="178" t="s">
        <v>348</v>
      </c>
      <c r="E113" s="167"/>
      <c r="F113" s="183" t="s">
        <v>67</v>
      </c>
      <c r="G113" s="171">
        <v>1</v>
      </c>
      <c r="H113" s="172"/>
      <c r="I113" s="173"/>
      <c r="J113" s="174"/>
      <c r="K113" s="174" t="str">
        <f>VLOOKUP(B113,电搭接情况统计!$B$2:$H$423,7,0)</f>
        <v>R类，壳体线搭接</v>
      </c>
      <c r="L113" s="175"/>
      <c r="M113" s="167" t="s">
        <v>25</v>
      </c>
      <c r="N113" s="202" t="s">
        <v>26</v>
      </c>
      <c r="O113" s="202" t="s">
        <v>26</v>
      </c>
      <c r="P113" s="179"/>
      <c r="Q113" s="179"/>
      <c r="R113" s="179"/>
      <c r="S113" s="13" t="s">
        <v>27</v>
      </c>
    </row>
    <row r="114" spans="1:19">
      <c r="A114" s="167" t="s">
        <v>252</v>
      </c>
      <c r="B114" s="184" t="s">
        <v>349</v>
      </c>
      <c r="C114" s="167" t="s">
        <v>347</v>
      </c>
      <c r="D114" s="178" t="s">
        <v>350</v>
      </c>
      <c r="E114" s="167"/>
      <c r="F114" s="183" t="s">
        <v>67</v>
      </c>
      <c r="G114" s="171">
        <v>1</v>
      </c>
      <c r="H114" s="172"/>
      <c r="I114" s="173"/>
      <c r="J114" s="174"/>
      <c r="K114" s="174" t="str">
        <f>VLOOKUP(B114,电搭接情况统计!$B$2:$H$423,7,0)</f>
        <v>R类，壳体线搭接</v>
      </c>
      <c r="L114" s="175"/>
      <c r="M114" s="167" t="s">
        <v>25</v>
      </c>
      <c r="N114" s="202" t="s">
        <v>26</v>
      </c>
      <c r="O114" s="202" t="s">
        <v>26</v>
      </c>
      <c r="P114" s="179"/>
      <c r="Q114" s="179"/>
      <c r="R114" s="179"/>
      <c r="S114" s="13" t="s">
        <v>27</v>
      </c>
    </row>
    <row r="115" spans="1:19">
      <c r="A115" s="167" t="s">
        <v>252</v>
      </c>
      <c r="B115" s="184" t="s">
        <v>351</v>
      </c>
      <c r="C115" s="167" t="s">
        <v>352</v>
      </c>
      <c r="D115" s="178" t="s">
        <v>353</v>
      </c>
      <c r="E115" s="167"/>
      <c r="F115" s="183" t="s">
        <v>67</v>
      </c>
      <c r="G115" s="171">
        <v>1</v>
      </c>
      <c r="H115" s="172"/>
      <c r="I115" s="173"/>
      <c r="J115" s="174"/>
      <c r="K115" s="174" t="str">
        <f>VLOOKUP(B115,电搭接情况统计!$B$2:$H$423,7,0)</f>
        <v>R类，壳体线搭接</v>
      </c>
      <c r="L115" s="175"/>
      <c r="M115" s="167" t="s">
        <v>25</v>
      </c>
      <c r="N115" s="202" t="s">
        <v>26</v>
      </c>
      <c r="O115" s="202" t="s">
        <v>26</v>
      </c>
      <c r="P115" s="179"/>
      <c r="Q115" s="179"/>
      <c r="R115" s="179"/>
      <c r="S115" s="13" t="s">
        <v>27</v>
      </c>
    </row>
    <row r="116" spans="1:19">
      <c r="A116" s="167" t="s">
        <v>252</v>
      </c>
      <c r="B116" s="184" t="s">
        <v>354</v>
      </c>
      <c r="C116" s="167" t="s">
        <v>352</v>
      </c>
      <c r="D116" s="178" t="s">
        <v>355</v>
      </c>
      <c r="E116" s="167"/>
      <c r="F116" s="183" t="s">
        <v>67</v>
      </c>
      <c r="G116" s="171">
        <v>1</v>
      </c>
      <c r="H116" s="172"/>
      <c r="I116" s="173"/>
      <c r="J116" s="174"/>
      <c r="K116" s="174" t="str">
        <f>VLOOKUP(B116,电搭接情况统计!$B$2:$H$423,7,0)</f>
        <v>R类，壳体线搭接</v>
      </c>
      <c r="L116" s="175"/>
      <c r="M116" s="167" t="s">
        <v>25</v>
      </c>
      <c r="N116" s="202" t="s">
        <v>26</v>
      </c>
      <c r="O116" s="202" t="s">
        <v>26</v>
      </c>
      <c r="P116" s="179"/>
      <c r="Q116" s="179"/>
      <c r="R116" s="179"/>
      <c r="S116" s="13" t="s">
        <v>27</v>
      </c>
    </row>
    <row r="117" spans="1:19">
      <c r="A117" s="167" t="s">
        <v>252</v>
      </c>
      <c r="B117" s="184" t="s">
        <v>356</v>
      </c>
      <c r="C117" s="167" t="s">
        <v>357</v>
      </c>
      <c r="D117" s="178" t="s">
        <v>358</v>
      </c>
      <c r="E117" s="167"/>
      <c r="F117" s="183" t="s">
        <v>67</v>
      </c>
      <c r="G117" s="171">
        <v>1</v>
      </c>
      <c r="H117" s="172"/>
      <c r="I117" s="173"/>
      <c r="J117" s="174"/>
      <c r="K117" s="174" t="str">
        <f>VLOOKUP(B117,电搭接情况统计!$B$2:$H$423,7,0)</f>
        <v>R类，壳体线搭接</v>
      </c>
      <c r="L117" s="175"/>
      <c r="M117" s="167" t="s">
        <v>25</v>
      </c>
      <c r="N117" s="202" t="s">
        <v>26</v>
      </c>
      <c r="O117" s="202" t="s">
        <v>26</v>
      </c>
      <c r="P117" s="179"/>
      <c r="Q117" s="179"/>
      <c r="R117" s="179"/>
      <c r="S117" s="13" t="s">
        <v>27</v>
      </c>
    </row>
    <row r="118" spans="1:19">
      <c r="A118" s="167" t="s">
        <v>252</v>
      </c>
      <c r="B118" s="184" t="s">
        <v>359</v>
      </c>
      <c r="C118" s="167" t="s">
        <v>357</v>
      </c>
      <c r="D118" s="178" t="s">
        <v>360</v>
      </c>
      <c r="E118" s="167"/>
      <c r="F118" s="183" t="s">
        <v>67</v>
      </c>
      <c r="G118" s="171">
        <v>1</v>
      </c>
      <c r="H118" s="172"/>
      <c r="I118" s="173"/>
      <c r="J118" s="174"/>
      <c r="K118" s="174" t="str">
        <f>VLOOKUP(B118,电搭接情况统计!$B$2:$H$423,7,0)</f>
        <v>R类，壳体线搭接</v>
      </c>
      <c r="L118" s="175"/>
      <c r="M118" s="167" t="s">
        <v>25</v>
      </c>
      <c r="N118" s="202" t="s">
        <v>26</v>
      </c>
      <c r="O118" s="202" t="s">
        <v>26</v>
      </c>
      <c r="P118" s="179"/>
      <c r="Q118" s="179"/>
      <c r="R118" s="179"/>
      <c r="S118" s="13" t="s">
        <v>27</v>
      </c>
    </row>
    <row r="119" spans="1:19">
      <c r="A119" s="167" t="s">
        <v>252</v>
      </c>
      <c r="B119" s="184" t="s">
        <v>361</v>
      </c>
      <c r="C119" s="167" t="s">
        <v>362</v>
      </c>
      <c r="D119" s="178" t="s">
        <v>363</v>
      </c>
      <c r="E119" s="167"/>
      <c r="F119" s="183" t="s">
        <v>364</v>
      </c>
      <c r="G119" s="171">
        <v>2</v>
      </c>
      <c r="H119" s="172"/>
      <c r="I119" s="173"/>
      <c r="J119" s="174"/>
      <c r="K119" s="174" t="str">
        <f>VLOOKUP(B119,电搭接情况统计!$B$2:$H$423,7,0)</f>
        <v>C类</v>
      </c>
      <c r="L119" s="175"/>
      <c r="M119" s="167" t="s">
        <v>25</v>
      </c>
      <c r="N119" s="202" t="s">
        <v>26</v>
      </c>
      <c r="O119" s="202" t="s">
        <v>26</v>
      </c>
      <c r="P119" s="179"/>
      <c r="Q119" s="179"/>
      <c r="R119" s="179"/>
      <c r="S119" s="13" t="s">
        <v>27</v>
      </c>
    </row>
    <row r="120" spans="1:19">
      <c r="A120" s="167" t="s">
        <v>365</v>
      </c>
      <c r="B120" s="146" t="s">
        <v>366</v>
      </c>
      <c r="C120" s="167" t="s">
        <v>367</v>
      </c>
      <c r="D120" s="217" t="s">
        <v>368</v>
      </c>
      <c r="E120" s="167" t="s">
        <v>369</v>
      </c>
      <c r="F120" s="183" t="s">
        <v>119</v>
      </c>
      <c r="G120" s="171">
        <v>2</v>
      </c>
      <c r="H120" s="172" t="s">
        <v>370</v>
      </c>
      <c r="I120" s="173" t="s">
        <v>371</v>
      </c>
      <c r="J120" s="174" t="s">
        <v>372</v>
      </c>
      <c r="K120" s="174"/>
      <c r="L120" s="175">
        <v>2.7</v>
      </c>
      <c r="M120" s="167" t="s">
        <v>25</v>
      </c>
      <c r="N120" s="202" t="s">
        <v>26</v>
      </c>
      <c r="O120" s="202" t="s">
        <v>26</v>
      </c>
      <c r="P120" s="179"/>
      <c r="Q120" s="179"/>
      <c r="R120" s="179"/>
    </row>
    <row r="121" spans="1:19">
      <c r="A121" s="167" t="s">
        <v>365</v>
      </c>
      <c r="B121" s="146" t="s">
        <v>373</v>
      </c>
      <c r="C121" s="167" t="s">
        <v>374</v>
      </c>
      <c r="D121" s="217" t="s">
        <v>375</v>
      </c>
      <c r="E121" s="167" t="s">
        <v>369</v>
      </c>
      <c r="F121" s="183" t="s">
        <v>119</v>
      </c>
      <c r="G121" s="171">
        <v>2</v>
      </c>
      <c r="H121" s="172" t="s">
        <v>370</v>
      </c>
      <c r="I121" s="173" t="s">
        <v>371</v>
      </c>
      <c r="J121" s="174" t="s">
        <v>372</v>
      </c>
      <c r="K121" s="174"/>
      <c r="L121" s="175">
        <v>2.7</v>
      </c>
      <c r="M121" s="167" t="s">
        <v>25</v>
      </c>
      <c r="N121" s="202" t="s">
        <v>26</v>
      </c>
      <c r="O121" s="202" t="s">
        <v>26</v>
      </c>
      <c r="P121" s="179"/>
      <c r="Q121" s="179"/>
      <c r="R121" s="179"/>
    </row>
    <row r="122" spans="1:19">
      <c r="A122" s="167" t="s">
        <v>365</v>
      </c>
      <c r="B122" s="146" t="s">
        <v>376</v>
      </c>
      <c r="C122" s="167" t="s">
        <v>377</v>
      </c>
      <c r="D122" s="178" t="s">
        <v>378</v>
      </c>
      <c r="E122" s="167"/>
      <c r="F122" s="183" t="s">
        <v>379</v>
      </c>
      <c r="G122" s="171">
        <v>2</v>
      </c>
      <c r="H122" s="172"/>
      <c r="I122" s="173" t="s">
        <v>380</v>
      </c>
      <c r="J122" s="174"/>
      <c r="K122" s="174"/>
      <c r="L122" s="175">
        <v>0.669</v>
      </c>
      <c r="M122" s="218" t="s">
        <v>381</v>
      </c>
      <c r="N122" s="202" t="s">
        <v>32</v>
      </c>
      <c r="O122" s="202" t="s">
        <v>32</v>
      </c>
      <c r="P122" s="179"/>
      <c r="Q122" s="179"/>
      <c r="R122" s="179"/>
    </row>
    <row r="123" spans="1:19">
      <c r="A123" s="167" t="s">
        <v>365</v>
      </c>
      <c r="B123" s="146" t="s">
        <v>382</v>
      </c>
      <c r="C123" s="167" t="s">
        <v>383</v>
      </c>
      <c r="D123" s="178" t="s">
        <v>384</v>
      </c>
      <c r="E123" s="167"/>
      <c r="F123" s="183" t="s">
        <v>379</v>
      </c>
      <c r="G123" s="171">
        <v>2</v>
      </c>
      <c r="H123" s="172"/>
      <c r="I123" s="173" t="s">
        <v>380</v>
      </c>
      <c r="J123" s="174" t="s">
        <v>372</v>
      </c>
      <c r="K123" s="174"/>
      <c r="L123" s="175">
        <v>0.669</v>
      </c>
      <c r="M123" s="218" t="s">
        <v>381</v>
      </c>
      <c r="N123" s="202" t="s">
        <v>32</v>
      </c>
      <c r="O123" s="202" t="s">
        <v>32</v>
      </c>
      <c r="P123" s="179"/>
      <c r="Q123" s="179"/>
      <c r="R123" s="179"/>
    </row>
    <row r="124" spans="1:19">
      <c r="A124" s="167" t="s">
        <v>365</v>
      </c>
      <c r="B124" s="184" t="s">
        <v>385</v>
      </c>
      <c r="C124" s="167" t="s">
        <v>386</v>
      </c>
      <c r="D124" s="178" t="s">
        <v>387</v>
      </c>
      <c r="E124" s="167"/>
      <c r="F124" s="183" t="s">
        <v>388</v>
      </c>
      <c r="G124" s="171">
        <v>1</v>
      </c>
      <c r="H124" s="172"/>
      <c r="I124" s="173" t="s">
        <v>389</v>
      </c>
      <c r="J124" s="174" t="s">
        <v>372</v>
      </c>
      <c r="K124" s="174"/>
      <c r="L124" s="175">
        <v>3.32</v>
      </c>
      <c r="M124" s="167" t="s">
        <v>25</v>
      </c>
      <c r="N124" s="202" t="s">
        <v>26</v>
      </c>
      <c r="O124" s="202" t="s">
        <v>26</v>
      </c>
      <c r="P124" s="179"/>
      <c r="Q124" s="179"/>
      <c r="R124" s="179"/>
    </row>
    <row r="125" spans="1:19">
      <c r="A125" s="167" t="s">
        <v>365</v>
      </c>
      <c r="B125" s="184" t="s">
        <v>390</v>
      </c>
      <c r="C125" s="167" t="s">
        <v>391</v>
      </c>
      <c r="D125" s="178" t="s">
        <v>392</v>
      </c>
      <c r="E125" s="167"/>
      <c r="F125" s="183" t="s">
        <v>388</v>
      </c>
      <c r="G125" s="171">
        <v>1</v>
      </c>
      <c r="H125" s="172"/>
      <c r="I125" s="173" t="s">
        <v>389</v>
      </c>
      <c r="J125" s="174"/>
      <c r="K125" s="174"/>
      <c r="L125" s="175">
        <v>3.32</v>
      </c>
      <c r="M125" s="167" t="s">
        <v>25</v>
      </c>
      <c r="N125" s="202" t="s">
        <v>26</v>
      </c>
      <c r="O125" s="202" t="s">
        <v>26</v>
      </c>
      <c r="P125" s="179"/>
      <c r="Q125" s="179"/>
      <c r="R125" s="179"/>
      <c r="S125" s="13" t="s">
        <v>27</v>
      </c>
    </row>
    <row r="126" spans="1:19">
      <c r="A126" s="167" t="s">
        <v>365</v>
      </c>
      <c r="B126" s="146" t="s">
        <v>393</v>
      </c>
      <c r="C126" s="167" t="s">
        <v>394</v>
      </c>
      <c r="D126" s="178" t="s">
        <v>395</v>
      </c>
      <c r="E126" s="167"/>
      <c r="F126" s="183" t="s">
        <v>379</v>
      </c>
      <c r="G126" s="171">
        <v>2</v>
      </c>
      <c r="H126" s="172"/>
      <c r="I126" s="173" t="s">
        <v>380</v>
      </c>
      <c r="J126" s="174"/>
      <c r="K126" s="174"/>
      <c r="L126" s="175">
        <v>0.249</v>
      </c>
      <c r="M126" s="189" t="s">
        <v>381</v>
      </c>
      <c r="N126" s="202" t="s">
        <v>32</v>
      </c>
      <c r="O126" s="202" t="s">
        <v>32</v>
      </c>
      <c r="P126" s="179"/>
      <c r="Q126" s="179"/>
      <c r="R126" s="179"/>
      <c r="S126" s="13" t="s">
        <v>27</v>
      </c>
    </row>
    <row r="127" spans="1:19">
      <c r="A127" s="167" t="s">
        <v>365</v>
      </c>
      <c r="B127" s="146" t="s">
        <v>396</v>
      </c>
      <c r="C127" s="167" t="s">
        <v>397</v>
      </c>
      <c r="D127" s="178" t="s">
        <v>398</v>
      </c>
      <c r="E127" s="167"/>
      <c r="F127" s="183" t="s">
        <v>379</v>
      </c>
      <c r="G127" s="171">
        <v>2</v>
      </c>
      <c r="H127" s="172"/>
      <c r="I127" s="173" t="s">
        <v>380</v>
      </c>
      <c r="J127" s="174"/>
      <c r="K127" s="174"/>
      <c r="L127" s="175">
        <v>0.249</v>
      </c>
      <c r="M127" s="218" t="s">
        <v>381</v>
      </c>
      <c r="N127" s="202" t="s">
        <v>32</v>
      </c>
      <c r="O127" s="202" t="s">
        <v>32</v>
      </c>
      <c r="P127" s="179"/>
      <c r="Q127" s="179"/>
      <c r="R127" s="179"/>
      <c r="S127" s="13" t="s">
        <v>27</v>
      </c>
    </row>
    <row r="128" spans="1:19">
      <c r="A128" s="167" t="s">
        <v>365</v>
      </c>
      <c r="B128" s="146" t="s">
        <v>399</v>
      </c>
      <c r="C128" s="167" t="s">
        <v>400</v>
      </c>
      <c r="D128" s="178" t="s">
        <v>401</v>
      </c>
      <c r="E128" s="167"/>
      <c r="F128" s="183" t="s">
        <v>379</v>
      </c>
      <c r="G128" s="171">
        <v>2</v>
      </c>
      <c r="H128" s="172"/>
      <c r="I128" s="173" t="s">
        <v>402</v>
      </c>
      <c r="J128" s="174"/>
      <c r="K128" s="174"/>
      <c r="L128" s="175">
        <v>0.04</v>
      </c>
      <c r="M128" s="167" t="s">
        <v>25</v>
      </c>
      <c r="N128" s="202" t="s">
        <v>26</v>
      </c>
      <c r="O128" s="202" t="s">
        <v>26</v>
      </c>
      <c r="P128" s="179"/>
      <c r="Q128" s="179"/>
      <c r="R128" s="179"/>
      <c r="S128" s="13" t="s">
        <v>27</v>
      </c>
    </row>
    <row r="129" spans="1:20">
      <c r="A129" s="167" t="s">
        <v>365</v>
      </c>
      <c r="B129" s="184" t="s">
        <v>403</v>
      </c>
      <c r="C129" s="167" t="s">
        <v>404</v>
      </c>
      <c r="D129" s="178" t="s">
        <v>405</v>
      </c>
      <c r="E129" s="167"/>
      <c r="F129" s="183" t="s">
        <v>119</v>
      </c>
      <c r="G129" s="171">
        <v>3</v>
      </c>
      <c r="H129" s="172"/>
      <c r="I129" s="173" t="s">
        <v>380</v>
      </c>
      <c r="J129" s="174" t="s">
        <v>372</v>
      </c>
      <c r="K129" s="174"/>
      <c r="L129" s="175">
        <v>0.7</v>
      </c>
      <c r="M129" s="218" t="s">
        <v>406</v>
      </c>
      <c r="N129" s="202" t="s">
        <v>26</v>
      </c>
      <c r="O129" s="202" t="s">
        <v>26</v>
      </c>
      <c r="P129" s="179"/>
      <c r="Q129" s="179"/>
      <c r="R129" s="179"/>
      <c r="S129" s="13" t="s">
        <v>27</v>
      </c>
    </row>
    <row r="130" spans="1:20">
      <c r="A130" s="167" t="s">
        <v>365</v>
      </c>
      <c r="B130" s="184" t="s">
        <v>407</v>
      </c>
      <c r="C130" s="167" t="s">
        <v>408</v>
      </c>
      <c r="D130" s="178" t="s">
        <v>409</v>
      </c>
      <c r="E130" s="167"/>
      <c r="F130" s="183" t="s">
        <v>119</v>
      </c>
      <c r="G130" s="171">
        <v>3</v>
      </c>
      <c r="H130" s="172"/>
      <c r="I130" s="173" t="s">
        <v>380</v>
      </c>
      <c r="J130" s="174" t="s">
        <v>372</v>
      </c>
      <c r="K130" s="174"/>
      <c r="L130" s="175">
        <v>0.7</v>
      </c>
      <c r="M130" s="218" t="s">
        <v>406</v>
      </c>
      <c r="N130" s="202" t="s">
        <v>26</v>
      </c>
      <c r="O130" s="202" t="s">
        <v>26</v>
      </c>
      <c r="P130" s="179"/>
      <c r="Q130" s="179"/>
      <c r="R130" s="179"/>
      <c r="S130" s="13" t="s">
        <v>27</v>
      </c>
    </row>
    <row r="131" spans="1:20">
      <c r="A131" s="167" t="s">
        <v>365</v>
      </c>
      <c r="B131" s="146" t="s">
        <v>410</v>
      </c>
      <c r="C131" s="167" t="s">
        <v>411</v>
      </c>
      <c r="D131" s="178" t="s">
        <v>412</v>
      </c>
      <c r="E131" s="167"/>
      <c r="F131" s="183" t="s">
        <v>379</v>
      </c>
      <c r="G131" s="171">
        <v>3</v>
      </c>
      <c r="H131" s="172"/>
      <c r="I131" s="173" t="s">
        <v>380</v>
      </c>
      <c r="J131" s="174"/>
      <c r="K131" s="174"/>
      <c r="L131" s="175">
        <v>0.1</v>
      </c>
      <c r="M131" s="218" t="s">
        <v>406</v>
      </c>
      <c r="N131" s="202" t="s">
        <v>26</v>
      </c>
      <c r="O131" s="202" t="s">
        <v>26</v>
      </c>
      <c r="P131" s="179"/>
      <c r="Q131" s="179"/>
      <c r="R131" s="179"/>
      <c r="S131" s="13" t="s">
        <v>27</v>
      </c>
    </row>
    <row r="132" spans="1:20">
      <c r="A132" s="167" t="s">
        <v>365</v>
      </c>
      <c r="B132" s="184" t="s">
        <v>413</v>
      </c>
      <c r="C132" s="167" t="s">
        <v>414</v>
      </c>
      <c r="D132" s="178" t="s">
        <v>415</v>
      </c>
      <c r="E132" s="167"/>
      <c r="F132" s="183" t="s">
        <v>186</v>
      </c>
      <c r="G132" s="171">
        <v>1</v>
      </c>
      <c r="H132" s="172"/>
      <c r="I132" s="173"/>
      <c r="J132" s="174"/>
      <c r="K132" s="174"/>
      <c r="L132" s="175"/>
      <c r="M132" s="167" t="s">
        <v>25</v>
      </c>
      <c r="N132" s="202" t="s">
        <v>26</v>
      </c>
      <c r="O132" s="202" t="s">
        <v>26</v>
      </c>
      <c r="P132" s="179"/>
      <c r="Q132" s="179"/>
      <c r="R132" s="179"/>
      <c r="S132" s="13" t="s">
        <v>27</v>
      </c>
      <c r="T132" s="197" t="s">
        <v>416</v>
      </c>
    </row>
    <row r="133" spans="1:20">
      <c r="A133" s="167" t="s">
        <v>365</v>
      </c>
      <c r="B133" s="184" t="s">
        <v>417</v>
      </c>
      <c r="C133" s="167" t="s">
        <v>418</v>
      </c>
      <c r="D133" s="178" t="s">
        <v>419</v>
      </c>
      <c r="E133" s="167"/>
      <c r="F133" s="183" t="s">
        <v>186</v>
      </c>
      <c r="G133" s="171">
        <v>1</v>
      </c>
      <c r="H133" s="172"/>
      <c r="I133" s="173"/>
      <c r="J133" s="174"/>
      <c r="K133" s="174"/>
      <c r="L133" s="175"/>
      <c r="M133" s="167" t="s">
        <v>25</v>
      </c>
      <c r="N133" s="202" t="s">
        <v>26</v>
      </c>
      <c r="O133" s="202" t="s">
        <v>26</v>
      </c>
      <c r="P133" s="179"/>
      <c r="Q133" s="179"/>
      <c r="R133" s="179"/>
      <c r="S133" s="13" t="s">
        <v>27</v>
      </c>
      <c r="T133" s="197" t="s">
        <v>416</v>
      </c>
    </row>
    <row r="134" spans="1:20">
      <c r="A134" s="167" t="s">
        <v>420</v>
      </c>
      <c r="B134" s="146" t="s">
        <v>421</v>
      </c>
      <c r="C134" s="167" t="s">
        <v>422</v>
      </c>
      <c r="D134" s="178" t="s">
        <v>423</v>
      </c>
      <c r="E134" s="167"/>
      <c r="F134" s="183" t="s">
        <v>44</v>
      </c>
      <c r="G134" s="171">
        <v>2</v>
      </c>
      <c r="H134" s="172"/>
      <c r="I134" s="173"/>
      <c r="J134" s="174"/>
      <c r="K134" s="174" t="str">
        <f>VLOOKUP(B134,电搭接情况统计!$B$2:$H$423,7,0)</f>
        <v>C类</v>
      </c>
      <c r="L134" s="175"/>
      <c r="M134" s="167" t="s">
        <v>25</v>
      </c>
      <c r="N134" s="202" t="s">
        <v>26</v>
      </c>
      <c r="O134" s="202" t="s">
        <v>26</v>
      </c>
      <c r="P134" s="179"/>
      <c r="Q134" s="179"/>
      <c r="R134" s="179"/>
      <c r="S134" s="13" t="s">
        <v>136</v>
      </c>
    </row>
    <row r="135" spans="1:20">
      <c r="A135" s="167" t="s">
        <v>420</v>
      </c>
      <c r="B135" s="184" t="s">
        <v>424</v>
      </c>
      <c r="C135" s="167" t="s">
        <v>425</v>
      </c>
      <c r="D135" s="178" t="s">
        <v>426</v>
      </c>
      <c r="E135" s="167"/>
      <c r="F135" s="183" t="s">
        <v>364</v>
      </c>
      <c r="G135" s="171">
        <v>2</v>
      </c>
      <c r="H135" s="172"/>
      <c r="I135" s="173"/>
      <c r="J135" s="174"/>
      <c r="K135" s="174" t="str">
        <f>VLOOKUP(B135,电搭接情况统计!$B$2:$H$423,7,0)</f>
        <v>NA</v>
      </c>
      <c r="L135" s="175"/>
      <c r="M135" s="167" t="s">
        <v>25</v>
      </c>
      <c r="N135" s="202" t="s">
        <v>26</v>
      </c>
      <c r="O135" s="202" t="s">
        <v>26</v>
      </c>
      <c r="P135" s="179"/>
      <c r="Q135" s="179"/>
      <c r="R135" s="179"/>
      <c r="S135" s="13" t="s">
        <v>27</v>
      </c>
    </row>
    <row r="136" spans="1:20">
      <c r="A136" s="167" t="s">
        <v>420</v>
      </c>
      <c r="B136" s="146" t="s">
        <v>427</v>
      </c>
      <c r="C136" s="167" t="s">
        <v>428</v>
      </c>
      <c r="D136" s="178" t="s">
        <v>429</v>
      </c>
      <c r="E136" s="167"/>
      <c r="F136" s="183" t="s">
        <v>44</v>
      </c>
      <c r="G136" s="171">
        <v>2</v>
      </c>
      <c r="H136" s="172"/>
      <c r="I136" s="173"/>
      <c r="J136" s="174"/>
      <c r="K136" s="174" t="str">
        <f>VLOOKUP(B136,电搭接情况统计!$B$2:$H$423,7,0)</f>
        <v>C类</v>
      </c>
      <c r="L136" s="175"/>
      <c r="M136" s="167" t="s">
        <v>25</v>
      </c>
      <c r="N136" s="202" t="s">
        <v>26</v>
      </c>
      <c r="O136" s="202" t="s">
        <v>26</v>
      </c>
      <c r="P136" s="179"/>
      <c r="Q136" s="179"/>
      <c r="R136" s="179"/>
      <c r="S136" s="13" t="s">
        <v>27</v>
      </c>
    </row>
    <row r="137" spans="1:20">
      <c r="A137" s="167" t="s">
        <v>420</v>
      </c>
      <c r="B137" s="146" t="s">
        <v>430</v>
      </c>
      <c r="C137" s="167" t="s">
        <v>431</v>
      </c>
      <c r="D137" s="178" t="s">
        <v>432</v>
      </c>
      <c r="E137" s="167"/>
      <c r="F137" s="183" t="s">
        <v>44</v>
      </c>
      <c r="G137" s="171">
        <v>2</v>
      </c>
      <c r="H137" s="172"/>
      <c r="I137" s="173"/>
      <c r="J137" s="174"/>
      <c r="K137" s="174" t="str">
        <f>VLOOKUP(B137,电搭接情况统计!$B$2:$H$423,7,0)</f>
        <v>C类</v>
      </c>
      <c r="L137" s="175"/>
      <c r="M137" s="167" t="s">
        <v>25</v>
      </c>
      <c r="N137" s="202" t="s">
        <v>26</v>
      </c>
      <c r="O137" s="202" t="s">
        <v>26</v>
      </c>
      <c r="P137" s="179"/>
      <c r="Q137" s="179"/>
      <c r="R137" s="179"/>
      <c r="S137" s="13" t="s">
        <v>27</v>
      </c>
    </row>
    <row r="138" spans="1:20">
      <c r="A138" s="167" t="s">
        <v>420</v>
      </c>
      <c r="B138" s="184" t="s">
        <v>433</v>
      </c>
      <c r="C138" s="167" t="s">
        <v>434</v>
      </c>
      <c r="D138" s="217" t="s">
        <v>435</v>
      </c>
      <c r="E138" s="167"/>
      <c r="F138" s="183" t="s">
        <v>40</v>
      </c>
      <c r="G138" s="171">
        <v>1</v>
      </c>
      <c r="H138" s="172"/>
      <c r="I138" s="182" t="str">
        <f>VLOOKUP($B138,设备架接口信息!$A$1:$G$69,4,0)</f>
        <v>非标托架，C类锁紧器</v>
      </c>
      <c r="J138" s="175" t="str">
        <f>VLOOKUP($B138,设备架接口信息!$A$1:$G$69,5,0)</f>
        <v>线搭接</v>
      </c>
      <c r="K138" s="174" t="str">
        <f>VLOOKUP(B138,电搭接情况统计!$B$2:$H$423,7,0)</f>
        <v>C类</v>
      </c>
      <c r="L138" s="175">
        <f>VLOOKUP($B138,设备架接口信息!$A$1:$G$69,6,0)</f>
        <v>6.665</v>
      </c>
      <c r="M138" s="167" t="s">
        <v>25</v>
      </c>
      <c r="N138" s="202" t="s">
        <v>26</v>
      </c>
      <c r="O138" s="202" t="s">
        <v>26</v>
      </c>
      <c r="P138" s="179"/>
      <c r="Q138" s="179"/>
      <c r="R138" s="179"/>
      <c r="S138" s="67" t="s">
        <v>37</v>
      </c>
    </row>
    <row r="139" spans="1:20">
      <c r="A139" s="167" t="s">
        <v>420</v>
      </c>
      <c r="B139" s="184" t="s">
        <v>436</v>
      </c>
      <c r="C139" s="167" t="s">
        <v>434</v>
      </c>
      <c r="D139" s="217" t="s">
        <v>437</v>
      </c>
      <c r="E139" s="167"/>
      <c r="F139" s="183" t="s">
        <v>36</v>
      </c>
      <c r="G139" s="171">
        <v>1</v>
      </c>
      <c r="H139" s="172"/>
      <c r="I139" s="182" t="str">
        <f>VLOOKUP($B139,设备架接口信息!$A$1:$G$69,4,0)</f>
        <v>非标托架，C类锁紧器</v>
      </c>
      <c r="J139" s="175" t="str">
        <f>VLOOKUP($B139,设备架接口信息!$A$1:$G$69,5,0)</f>
        <v>面搭接</v>
      </c>
      <c r="K139" s="174" t="str">
        <f>VLOOKUP(B139,电搭接情况统计!$B$2:$H$423,7,0)</f>
        <v>C类</v>
      </c>
      <c r="L139" s="175">
        <f>VLOOKUP($B139,设备架接口信息!$A$1:$G$69,6,0)</f>
        <v>6.665</v>
      </c>
      <c r="M139" s="167" t="s">
        <v>25</v>
      </c>
      <c r="N139" s="202" t="s">
        <v>26</v>
      </c>
      <c r="O139" s="202" t="s">
        <v>26</v>
      </c>
      <c r="P139" s="179"/>
      <c r="Q139" s="179"/>
      <c r="R139" s="179"/>
      <c r="S139" s="67" t="s">
        <v>37</v>
      </c>
    </row>
    <row r="140" spans="1:20">
      <c r="A140" s="167" t="s">
        <v>438</v>
      </c>
      <c r="B140" s="184" t="s">
        <v>439</v>
      </c>
      <c r="C140" s="167" t="s">
        <v>440</v>
      </c>
      <c r="D140" s="178" t="s">
        <v>441</v>
      </c>
      <c r="E140" s="167"/>
      <c r="F140" s="183" t="s">
        <v>442</v>
      </c>
      <c r="G140" s="171">
        <v>1</v>
      </c>
      <c r="H140" s="172"/>
      <c r="I140" s="173"/>
      <c r="J140" s="174"/>
      <c r="K140" s="174" t="str">
        <f>VLOOKUP(B140,电搭接情况统计!$B$2:$H$423,7,0)</f>
        <v>CPS1330</v>
      </c>
      <c r="L140" s="175"/>
      <c r="M140" s="167"/>
      <c r="N140" s="202" t="s">
        <v>32</v>
      </c>
      <c r="O140" s="202" t="s">
        <v>32</v>
      </c>
      <c r="P140" s="179"/>
      <c r="Q140" s="179"/>
      <c r="R140" s="179"/>
      <c r="S140" s="13" t="s">
        <v>27</v>
      </c>
    </row>
    <row r="141" spans="1:20">
      <c r="A141" s="167" t="s">
        <v>438</v>
      </c>
      <c r="B141" s="198" t="s">
        <v>443</v>
      </c>
      <c r="C141" s="167" t="s">
        <v>440</v>
      </c>
      <c r="D141" s="178" t="s">
        <v>444</v>
      </c>
      <c r="E141" s="167"/>
      <c r="F141" s="183" t="s">
        <v>442</v>
      </c>
      <c r="G141" s="171">
        <v>1</v>
      </c>
      <c r="H141" s="172"/>
      <c r="I141" s="173"/>
      <c r="J141" s="174"/>
      <c r="K141" s="174" t="str">
        <f>VLOOKUP(B141,电搭接情况统计!$B$2:$H$423,7,0)</f>
        <v>CPS1330</v>
      </c>
      <c r="L141" s="175"/>
      <c r="M141" s="167"/>
      <c r="N141" s="202" t="s">
        <v>26</v>
      </c>
      <c r="O141" s="202" t="s">
        <v>32</v>
      </c>
      <c r="P141" s="179"/>
      <c r="Q141" s="179"/>
      <c r="R141" s="179"/>
      <c r="S141" s="13" t="s">
        <v>27</v>
      </c>
    </row>
    <row r="142" spans="1:20">
      <c r="A142" s="167" t="s">
        <v>438</v>
      </c>
      <c r="B142" s="198" t="s">
        <v>445</v>
      </c>
      <c r="C142" s="167" t="s">
        <v>440</v>
      </c>
      <c r="D142" s="178" t="s">
        <v>446</v>
      </c>
      <c r="E142" s="167"/>
      <c r="F142" s="183" t="s">
        <v>442</v>
      </c>
      <c r="G142" s="171">
        <v>1</v>
      </c>
      <c r="H142" s="172"/>
      <c r="I142" s="173"/>
      <c r="J142" s="174"/>
      <c r="K142" s="174" t="str">
        <f>VLOOKUP(B142,电搭接情况统计!$B$2:$H$423,7,0)</f>
        <v>CPS1330</v>
      </c>
      <c r="L142" s="175"/>
      <c r="M142" s="167"/>
      <c r="N142" s="202" t="s">
        <v>26</v>
      </c>
      <c r="O142" s="202" t="s">
        <v>32</v>
      </c>
      <c r="P142" s="179"/>
      <c r="Q142" s="179"/>
      <c r="R142" s="179"/>
      <c r="S142" s="13" t="s">
        <v>27</v>
      </c>
    </row>
    <row r="143" spans="1:20">
      <c r="A143" s="167" t="s">
        <v>438</v>
      </c>
      <c r="B143" s="198" t="s">
        <v>447</v>
      </c>
      <c r="C143" s="167" t="s">
        <v>440</v>
      </c>
      <c r="D143" s="178" t="s">
        <v>448</v>
      </c>
      <c r="E143" s="167"/>
      <c r="F143" s="183" t="s">
        <v>442</v>
      </c>
      <c r="G143" s="171">
        <v>1</v>
      </c>
      <c r="H143" s="172"/>
      <c r="I143" s="173"/>
      <c r="J143" s="174"/>
      <c r="K143" s="174" t="str">
        <f>VLOOKUP(B143,电搭接情况统计!$B$2:$H$423,7,0)</f>
        <v>CPS1330</v>
      </c>
      <c r="L143" s="175"/>
      <c r="M143" s="167"/>
      <c r="N143" s="202" t="s">
        <v>26</v>
      </c>
      <c r="O143" s="202" t="s">
        <v>32</v>
      </c>
      <c r="P143" s="179"/>
      <c r="Q143" s="179"/>
      <c r="R143" s="179"/>
      <c r="S143" s="13" t="s">
        <v>27</v>
      </c>
    </row>
    <row r="144" spans="1:20">
      <c r="A144" s="167" t="s">
        <v>438</v>
      </c>
      <c r="B144" s="198" t="s">
        <v>449</v>
      </c>
      <c r="C144" s="167" t="s">
        <v>440</v>
      </c>
      <c r="D144" s="178" t="s">
        <v>450</v>
      </c>
      <c r="E144" s="167"/>
      <c r="F144" s="183" t="s">
        <v>442</v>
      </c>
      <c r="G144" s="171">
        <v>1</v>
      </c>
      <c r="H144" s="172"/>
      <c r="I144" s="173"/>
      <c r="J144" s="174"/>
      <c r="K144" s="174" t="str">
        <f>VLOOKUP(B144,电搭接情况统计!$B$2:$H$423,7,0)</f>
        <v>CPS1330</v>
      </c>
      <c r="L144" s="175"/>
      <c r="M144" s="167"/>
      <c r="N144" s="202" t="s">
        <v>26</v>
      </c>
      <c r="O144" s="202" t="s">
        <v>32</v>
      </c>
      <c r="P144" s="179"/>
      <c r="Q144" s="179"/>
      <c r="R144" s="179"/>
      <c r="S144" s="13" t="s">
        <v>27</v>
      </c>
    </row>
    <row r="145" spans="1:19">
      <c r="A145" s="167" t="s">
        <v>438</v>
      </c>
      <c r="B145" s="184" t="s">
        <v>451</v>
      </c>
      <c r="C145" s="167" t="s">
        <v>452</v>
      </c>
      <c r="D145" s="178" t="s">
        <v>453</v>
      </c>
      <c r="E145" s="167"/>
      <c r="F145" s="183" t="s">
        <v>442</v>
      </c>
      <c r="G145" s="171">
        <v>1</v>
      </c>
      <c r="H145" s="172"/>
      <c r="I145" s="173"/>
      <c r="J145" s="174"/>
      <c r="K145" s="174" t="str">
        <f>VLOOKUP(B145,电搭接情况统计!$B$2:$H$423,7,0)</f>
        <v>CPS1330</v>
      </c>
      <c r="L145" s="175"/>
      <c r="M145" s="167"/>
      <c r="N145" s="202" t="s">
        <v>32</v>
      </c>
      <c r="O145" s="202" t="s">
        <v>32</v>
      </c>
      <c r="P145" s="179"/>
      <c r="Q145" s="179"/>
      <c r="R145" s="179"/>
      <c r="S145" s="13" t="s">
        <v>27</v>
      </c>
    </row>
    <row r="146" spans="1:19">
      <c r="A146" s="167" t="s">
        <v>438</v>
      </c>
      <c r="B146" s="184" t="s">
        <v>454</v>
      </c>
      <c r="C146" s="167" t="s">
        <v>455</v>
      </c>
      <c r="D146" s="178" t="s">
        <v>456</v>
      </c>
      <c r="E146" s="167"/>
      <c r="F146" s="183" t="s">
        <v>442</v>
      </c>
      <c r="G146" s="171">
        <v>1</v>
      </c>
      <c r="H146" s="172"/>
      <c r="I146" s="173"/>
      <c r="J146" s="174"/>
      <c r="K146" s="174" t="str">
        <f>VLOOKUP(B146,电搭接情况统计!$B$2:$H$423,7,0)</f>
        <v>CPS1330</v>
      </c>
      <c r="L146" s="175"/>
      <c r="M146" s="167"/>
      <c r="N146" s="202" t="s">
        <v>32</v>
      </c>
      <c r="O146" s="202" t="s">
        <v>32</v>
      </c>
      <c r="P146" s="179"/>
      <c r="Q146" s="179"/>
      <c r="R146" s="179"/>
      <c r="S146" s="13" t="s">
        <v>27</v>
      </c>
    </row>
    <row r="147" spans="1:19">
      <c r="A147" s="167" t="s">
        <v>438</v>
      </c>
      <c r="B147" s="184" t="s">
        <v>457</v>
      </c>
      <c r="C147" s="167" t="s">
        <v>455</v>
      </c>
      <c r="D147" s="178" t="s">
        <v>458</v>
      </c>
      <c r="E147" s="167"/>
      <c r="F147" s="183" t="s">
        <v>442</v>
      </c>
      <c r="G147" s="171">
        <v>1</v>
      </c>
      <c r="H147" s="172"/>
      <c r="I147" s="173"/>
      <c r="J147" s="174"/>
      <c r="K147" s="174" t="str">
        <f>VLOOKUP(B147,电搭接情况统计!$B$2:$H$423,7,0)</f>
        <v>CPS1330</v>
      </c>
      <c r="L147" s="175"/>
      <c r="M147" s="167"/>
      <c r="N147" s="202" t="s">
        <v>32</v>
      </c>
      <c r="O147" s="202" t="s">
        <v>32</v>
      </c>
      <c r="P147" s="179"/>
      <c r="Q147" s="179"/>
      <c r="R147" s="179"/>
      <c r="S147" s="13" t="s">
        <v>27</v>
      </c>
    </row>
    <row r="148" spans="1:19">
      <c r="A148" s="167" t="s">
        <v>438</v>
      </c>
      <c r="B148" s="184" t="s">
        <v>459</v>
      </c>
      <c r="C148" s="167" t="s">
        <v>460</v>
      </c>
      <c r="D148" s="178" t="s">
        <v>461</v>
      </c>
      <c r="E148" s="167"/>
      <c r="F148" s="183" t="s">
        <v>442</v>
      </c>
      <c r="G148" s="171">
        <v>1</v>
      </c>
      <c r="H148" s="172"/>
      <c r="I148" s="173"/>
      <c r="J148" s="174"/>
      <c r="K148" s="174" t="str">
        <f>VLOOKUP(B148,电搭接情况统计!$B$2:$H$423,7,0)</f>
        <v>CPS1330</v>
      </c>
      <c r="L148" s="175"/>
      <c r="M148" s="167"/>
      <c r="N148" s="202" t="s">
        <v>32</v>
      </c>
      <c r="O148" s="202" t="s">
        <v>32</v>
      </c>
      <c r="P148" s="179"/>
      <c r="Q148" s="179"/>
      <c r="R148" s="179"/>
      <c r="S148" s="13" t="s">
        <v>27</v>
      </c>
    </row>
    <row r="149" spans="1:19">
      <c r="A149" s="167" t="s">
        <v>438</v>
      </c>
      <c r="B149" s="184" t="s">
        <v>462</v>
      </c>
      <c r="C149" s="167" t="s">
        <v>460</v>
      </c>
      <c r="D149" s="178" t="s">
        <v>463</v>
      </c>
      <c r="E149" s="167"/>
      <c r="F149" s="183" t="s">
        <v>442</v>
      </c>
      <c r="G149" s="171">
        <v>1</v>
      </c>
      <c r="H149" s="172"/>
      <c r="I149" s="173"/>
      <c r="J149" s="174"/>
      <c r="K149" s="174" t="str">
        <f>VLOOKUP(B149,电搭接情况统计!$B$2:$H$423,7,0)</f>
        <v>CPS1330</v>
      </c>
      <c r="L149" s="175"/>
      <c r="M149" s="167"/>
      <c r="N149" s="202" t="s">
        <v>32</v>
      </c>
      <c r="O149" s="202" t="s">
        <v>32</v>
      </c>
      <c r="P149" s="179"/>
      <c r="Q149" s="179"/>
      <c r="R149" s="179"/>
      <c r="S149" s="13" t="s">
        <v>27</v>
      </c>
    </row>
    <row r="150" spans="1:19">
      <c r="A150" s="167" t="s">
        <v>438</v>
      </c>
      <c r="B150" s="146" t="s">
        <v>464</v>
      </c>
      <c r="C150" s="167" t="s">
        <v>465</v>
      </c>
      <c r="D150" s="178" t="s">
        <v>466</v>
      </c>
      <c r="E150" s="167"/>
      <c r="F150" s="183" t="s">
        <v>442</v>
      </c>
      <c r="G150" s="171">
        <v>1</v>
      </c>
      <c r="H150" s="172"/>
      <c r="I150" s="173"/>
      <c r="J150" s="174"/>
      <c r="K150" s="174" t="str">
        <f>VLOOKUP(B150,电搭接情况统计!$B$2:$H$423,7,0)</f>
        <v>CPS1330</v>
      </c>
      <c r="L150" s="175"/>
      <c r="M150" s="167"/>
      <c r="N150" s="202" t="s">
        <v>32</v>
      </c>
      <c r="O150" s="202" t="s">
        <v>32</v>
      </c>
      <c r="P150" s="179"/>
      <c r="Q150" s="179"/>
      <c r="R150" s="179"/>
      <c r="S150" s="13" t="s">
        <v>27</v>
      </c>
    </row>
    <row r="151" spans="1:19">
      <c r="A151" s="167" t="s">
        <v>438</v>
      </c>
      <c r="B151" s="146" t="s">
        <v>467</v>
      </c>
      <c r="C151" s="167" t="s">
        <v>468</v>
      </c>
      <c r="D151" s="178" t="s">
        <v>469</v>
      </c>
      <c r="E151" s="167"/>
      <c r="F151" s="183" t="s">
        <v>442</v>
      </c>
      <c r="G151" s="171">
        <v>1</v>
      </c>
      <c r="H151" s="172"/>
      <c r="I151" s="173"/>
      <c r="J151" s="174"/>
      <c r="K151" s="174" t="str">
        <f>VLOOKUP(B151,电搭接情况统计!$B$2:$H$423,7,0)</f>
        <v>CPS1330</v>
      </c>
      <c r="L151" s="175"/>
      <c r="M151" s="167"/>
      <c r="N151" s="202" t="s">
        <v>32</v>
      </c>
      <c r="O151" s="202" t="s">
        <v>32</v>
      </c>
      <c r="P151" s="179"/>
      <c r="Q151" s="179"/>
      <c r="R151" s="179"/>
      <c r="S151" s="13" t="s">
        <v>27</v>
      </c>
    </row>
    <row r="152" spans="1:19">
      <c r="A152" s="167" t="s">
        <v>438</v>
      </c>
      <c r="B152" s="184" t="s">
        <v>470</v>
      </c>
      <c r="C152" s="167" t="s">
        <v>471</v>
      </c>
      <c r="D152" s="178" t="s">
        <v>472</v>
      </c>
      <c r="E152" s="167"/>
      <c r="F152" s="183" t="s">
        <v>442</v>
      </c>
      <c r="G152" s="171">
        <v>1</v>
      </c>
      <c r="H152" s="172"/>
      <c r="I152" s="173"/>
      <c r="J152" s="174"/>
      <c r="K152" s="174" t="str">
        <f>VLOOKUP(B152,电搭接情况统计!$B$2:$H$423,7,0)</f>
        <v>CPS1330</v>
      </c>
      <c r="L152" s="175"/>
      <c r="M152" s="167"/>
      <c r="N152" s="202" t="s">
        <v>32</v>
      </c>
      <c r="O152" s="202" t="s">
        <v>32</v>
      </c>
      <c r="P152" s="179"/>
      <c r="Q152" s="179"/>
      <c r="R152" s="179"/>
      <c r="S152" s="13" t="s">
        <v>27</v>
      </c>
    </row>
    <row r="153" spans="1:19">
      <c r="A153" s="167" t="s">
        <v>438</v>
      </c>
      <c r="B153" s="184" t="s">
        <v>473</v>
      </c>
      <c r="C153" s="167" t="s">
        <v>471</v>
      </c>
      <c r="D153" s="178" t="s">
        <v>474</v>
      </c>
      <c r="E153" s="167"/>
      <c r="F153" s="183" t="s">
        <v>442</v>
      </c>
      <c r="G153" s="171">
        <v>1</v>
      </c>
      <c r="H153" s="172"/>
      <c r="I153" s="173"/>
      <c r="J153" s="174"/>
      <c r="K153" s="174" t="str">
        <f>VLOOKUP(B153,电搭接情况统计!$B$2:$H$423,7,0)</f>
        <v>CPS1330</v>
      </c>
      <c r="L153" s="175"/>
      <c r="M153" s="167"/>
      <c r="N153" s="202" t="s">
        <v>32</v>
      </c>
      <c r="O153" s="202" t="s">
        <v>32</v>
      </c>
      <c r="P153" s="179"/>
      <c r="Q153" s="179"/>
      <c r="R153" s="179"/>
      <c r="S153" s="13" t="s">
        <v>27</v>
      </c>
    </row>
    <row r="154" spans="1:19">
      <c r="A154" s="167" t="s">
        <v>438</v>
      </c>
      <c r="B154" s="184" t="s">
        <v>475</v>
      </c>
      <c r="C154" s="167" t="s">
        <v>476</v>
      </c>
      <c r="D154" s="178" t="s">
        <v>477</v>
      </c>
      <c r="E154" s="167"/>
      <c r="F154" s="183" t="s">
        <v>442</v>
      </c>
      <c r="G154" s="171">
        <v>1</v>
      </c>
      <c r="H154" s="172"/>
      <c r="I154" s="173"/>
      <c r="J154" s="174"/>
      <c r="K154" s="174" t="str">
        <f>VLOOKUP(B154,电搭接情况统计!$B$2:$H$423,7,0)</f>
        <v>CPS1330</v>
      </c>
      <c r="L154" s="175"/>
      <c r="M154" s="167"/>
      <c r="N154" s="202" t="s">
        <v>32</v>
      </c>
      <c r="O154" s="202" t="s">
        <v>32</v>
      </c>
      <c r="P154" s="179"/>
      <c r="Q154" s="179"/>
      <c r="R154" s="179"/>
      <c r="S154" s="13" t="s">
        <v>27</v>
      </c>
    </row>
    <row r="155" spans="1:19">
      <c r="A155" s="167" t="s">
        <v>438</v>
      </c>
      <c r="B155" s="198" t="s">
        <v>478</v>
      </c>
      <c r="C155" s="167" t="s">
        <v>476</v>
      </c>
      <c r="D155" s="178" t="s">
        <v>479</v>
      </c>
      <c r="E155" s="167"/>
      <c r="F155" s="183" t="s">
        <v>442</v>
      </c>
      <c r="G155" s="171">
        <v>1</v>
      </c>
      <c r="H155" s="172"/>
      <c r="I155" s="173"/>
      <c r="J155" s="174"/>
      <c r="K155" s="174" t="str">
        <f>VLOOKUP(B155,电搭接情况统计!$B$2:$H$423,7,0)</f>
        <v>CPS1330</v>
      </c>
      <c r="L155" s="175"/>
      <c r="M155" s="167"/>
      <c r="N155" s="202" t="s">
        <v>26</v>
      </c>
      <c r="O155" s="202" t="s">
        <v>32</v>
      </c>
      <c r="P155" s="179"/>
      <c r="Q155" s="179"/>
      <c r="R155" s="179"/>
      <c r="S155" s="13" t="s">
        <v>27</v>
      </c>
    </row>
    <row r="156" spans="1:19">
      <c r="A156" s="167" t="s">
        <v>438</v>
      </c>
      <c r="B156" s="198" t="s">
        <v>480</v>
      </c>
      <c r="C156" s="167" t="s">
        <v>476</v>
      </c>
      <c r="D156" s="178" t="s">
        <v>481</v>
      </c>
      <c r="E156" s="167"/>
      <c r="F156" s="183" t="s">
        <v>442</v>
      </c>
      <c r="G156" s="171">
        <v>1</v>
      </c>
      <c r="H156" s="172"/>
      <c r="I156" s="173"/>
      <c r="J156" s="174"/>
      <c r="K156" s="174" t="str">
        <f>VLOOKUP(B156,电搭接情况统计!$B$2:$H$423,7,0)</f>
        <v>CPS1330</v>
      </c>
      <c r="L156" s="175"/>
      <c r="M156" s="167"/>
      <c r="N156" s="202" t="s">
        <v>26</v>
      </c>
      <c r="O156" s="202" t="s">
        <v>32</v>
      </c>
      <c r="P156" s="179"/>
      <c r="Q156" s="179"/>
      <c r="R156" s="179"/>
      <c r="S156" s="13" t="s">
        <v>27</v>
      </c>
    </row>
    <row r="157" spans="1:19">
      <c r="A157" s="167" t="s">
        <v>438</v>
      </c>
      <c r="B157" s="184" t="s">
        <v>482</v>
      </c>
      <c r="C157" s="167" t="s">
        <v>483</v>
      </c>
      <c r="D157" s="178" t="s">
        <v>484</v>
      </c>
      <c r="E157" s="167"/>
      <c r="F157" s="183" t="s">
        <v>442</v>
      </c>
      <c r="G157" s="171">
        <v>1</v>
      </c>
      <c r="H157" s="172"/>
      <c r="I157" s="173"/>
      <c r="J157" s="174"/>
      <c r="K157" s="174" t="str">
        <f>VLOOKUP(B157,电搭接情况统计!$B$2:$H$423,7,0)</f>
        <v>CPS1330</v>
      </c>
      <c r="L157" s="175"/>
      <c r="M157" s="167"/>
      <c r="N157" s="202" t="s">
        <v>32</v>
      </c>
      <c r="O157" s="202" t="s">
        <v>32</v>
      </c>
      <c r="P157" s="179"/>
      <c r="Q157" s="179"/>
      <c r="R157" s="179"/>
      <c r="S157" s="13" t="s">
        <v>27</v>
      </c>
    </row>
    <row r="158" spans="1:19">
      <c r="A158" s="167" t="s">
        <v>438</v>
      </c>
      <c r="B158" s="198" t="s">
        <v>485</v>
      </c>
      <c r="C158" s="167" t="s">
        <v>483</v>
      </c>
      <c r="D158" s="178" t="s">
        <v>486</v>
      </c>
      <c r="E158" s="167"/>
      <c r="F158" s="183" t="s">
        <v>442</v>
      </c>
      <c r="G158" s="171">
        <v>1</v>
      </c>
      <c r="H158" s="172"/>
      <c r="I158" s="173"/>
      <c r="J158" s="174"/>
      <c r="K158" s="174" t="str">
        <f>VLOOKUP(B158,电搭接情况统计!$B$2:$H$423,7,0)</f>
        <v>CPS1330</v>
      </c>
      <c r="L158" s="175"/>
      <c r="M158" s="167"/>
      <c r="N158" s="202" t="s">
        <v>26</v>
      </c>
      <c r="O158" s="202" t="s">
        <v>32</v>
      </c>
      <c r="P158" s="179"/>
      <c r="Q158" s="179"/>
      <c r="R158" s="179"/>
      <c r="S158" s="13" t="s">
        <v>27</v>
      </c>
    </row>
    <row r="159" spans="1:19">
      <c r="A159" s="167" t="s">
        <v>438</v>
      </c>
      <c r="B159" s="198" t="s">
        <v>487</v>
      </c>
      <c r="C159" s="167" t="s">
        <v>483</v>
      </c>
      <c r="D159" s="178" t="s">
        <v>488</v>
      </c>
      <c r="E159" s="167"/>
      <c r="F159" s="183" t="s">
        <v>442</v>
      </c>
      <c r="G159" s="171">
        <v>1</v>
      </c>
      <c r="H159" s="172"/>
      <c r="I159" s="173"/>
      <c r="J159" s="174"/>
      <c r="K159" s="174" t="str">
        <f>VLOOKUP(B159,电搭接情况统计!$B$2:$H$423,7,0)</f>
        <v>CPS1330</v>
      </c>
      <c r="L159" s="175"/>
      <c r="M159" s="167"/>
      <c r="N159" s="202" t="s">
        <v>26</v>
      </c>
      <c r="O159" s="202" t="s">
        <v>32</v>
      </c>
      <c r="P159" s="179"/>
      <c r="Q159" s="179"/>
      <c r="R159" s="179"/>
      <c r="S159" s="13" t="s">
        <v>27</v>
      </c>
    </row>
    <row r="160" spans="1:19">
      <c r="A160" s="167" t="s">
        <v>438</v>
      </c>
      <c r="B160" s="184" t="s">
        <v>489</v>
      </c>
      <c r="C160" s="167" t="s">
        <v>490</v>
      </c>
      <c r="D160" s="178" t="s">
        <v>491</v>
      </c>
      <c r="E160" s="167"/>
      <c r="F160" s="183" t="s">
        <v>442</v>
      </c>
      <c r="G160" s="171">
        <v>1</v>
      </c>
      <c r="H160" s="172"/>
      <c r="I160" s="173"/>
      <c r="J160" s="174"/>
      <c r="K160" s="174" t="str">
        <f>VLOOKUP(B160,电搭接情况统计!$B$2:$H$423,7,0)</f>
        <v>CPS1330</v>
      </c>
      <c r="L160" s="175"/>
      <c r="M160" s="167"/>
      <c r="N160" s="202" t="s">
        <v>32</v>
      </c>
      <c r="O160" s="202" t="s">
        <v>32</v>
      </c>
      <c r="P160" s="179"/>
      <c r="Q160" s="179"/>
      <c r="R160" s="179"/>
      <c r="S160" s="13" t="s">
        <v>27</v>
      </c>
    </row>
    <row r="161" spans="1:19">
      <c r="A161" s="167" t="s">
        <v>438</v>
      </c>
      <c r="B161" s="184" t="s">
        <v>492</v>
      </c>
      <c r="C161" s="167" t="s">
        <v>490</v>
      </c>
      <c r="D161" s="178" t="s">
        <v>493</v>
      </c>
      <c r="E161" s="167"/>
      <c r="F161" s="183" t="s">
        <v>442</v>
      </c>
      <c r="G161" s="171">
        <v>1</v>
      </c>
      <c r="H161" s="172"/>
      <c r="I161" s="173"/>
      <c r="J161" s="174"/>
      <c r="K161" s="174" t="str">
        <f>VLOOKUP(B161,电搭接情况统计!$B$2:$H$423,7,0)</f>
        <v>CPS1330</v>
      </c>
      <c r="L161" s="175"/>
      <c r="M161" s="167"/>
      <c r="N161" s="202" t="s">
        <v>32</v>
      </c>
      <c r="O161" s="202" t="s">
        <v>32</v>
      </c>
      <c r="P161" s="179"/>
      <c r="Q161" s="179"/>
      <c r="R161" s="179"/>
      <c r="S161" s="13" t="s">
        <v>27</v>
      </c>
    </row>
    <row r="162" spans="1:19">
      <c r="A162" s="167" t="s">
        <v>438</v>
      </c>
      <c r="B162" s="184" t="s">
        <v>494</v>
      </c>
      <c r="C162" s="167" t="s">
        <v>490</v>
      </c>
      <c r="D162" s="178" t="s">
        <v>495</v>
      </c>
      <c r="E162" s="167"/>
      <c r="F162" s="183" t="s">
        <v>442</v>
      </c>
      <c r="G162" s="171">
        <v>1</v>
      </c>
      <c r="H162" s="172"/>
      <c r="I162" s="173"/>
      <c r="J162" s="174"/>
      <c r="K162" s="174" t="str">
        <f>VLOOKUP(B162,电搭接情况统计!$B$2:$H$423,7,0)</f>
        <v>CPS1330</v>
      </c>
      <c r="L162" s="175"/>
      <c r="M162" s="167"/>
      <c r="N162" s="202" t="s">
        <v>32</v>
      </c>
      <c r="O162" s="202" t="s">
        <v>32</v>
      </c>
      <c r="P162" s="179"/>
      <c r="Q162" s="179"/>
      <c r="R162" s="179"/>
      <c r="S162" s="13" t="s">
        <v>27</v>
      </c>
    </row>
    <row r="163" spans="1:19">
      <c r="A163" s="167" t="s">
        <v>438</v>
      </c>
      <c r="B163" s="184" t="s">
        <v>496</v>
      </c>
      <c r="C163" s="167" t="s">
        <v>490</v>
      </c>
      <c r="D163" s="178" t="s">
        <v>497</v>
      </c>
      <c r="E163" s="167"/>
      <c r="F163" s="183" t="s">
        <v>442</v>
      </c>
      <c r="G163" s="171">
        <v>1</v>
      </c>
      <c r="H163" s="172"/>
      <c r="I163" s="173"/>
      <c r="J163" s="174"/>
      <c r="K163" s="174" t="str">
        <f>VLOOKUP(B163,电搭接情况统计!$B$2:$H$423,7,0)</f>
        <v>CPS1330</v>
      </c>
      <c r="L163" s="175"/>
      <c r="M163" s="167"/>
      <c r="N163" s="202" t="s">
        <v>32</v>
      </c>
      <c r="O163" s="202" t="s">
        <v>32</v>
      </c>
      <c r="P163" s="179"/>
      <c r="Q163" s="179"/>
      <c r="R163" s="179"/>
      <c r="S163" s="13" t="s">
        <v>27</v>
      </c>
    </row>
    <row r="164" spans="1:19">
      <c r="A164" s="167" t="s">
        <v>438</v>
      </c>
      <c r="B164" s="146" t="s">
        <v>498</v>
      </c>
      <c r="C164" s="167" t="s">
        <v>499</v>
      </c>
      <c r="D164" s="178" t="s">
        <v>500</v>
      </c>
      <c r="E164" s="167"/>
      <c r="F164" s="183" t="s">
        <v>442</v>
      </c>
      <c r="G164" s="171">
        <v>1</v>
      </c>
      <c r="H164" s="172"/>
      <c r="I164" s="173"/>
      <c r="J164" s="174"/>
      <c r="K164" s="174" t="str">
        <f>VLOOKUP(B164,电搭接情况统计!$B$2:$H$423,7,0)</f>
        <v>CPS1330</v>
      </c>
      <c r="L164" s="175"/>
      <c r="M164" s="167"/>
      <c r="N164" s="202" t="s">
        <v>32</v>
      </c>
      <c r="O164" s="202" t="s">
        <v>32</v>
      </c>
      <c r="P164" s="179"/>
      <c r="Q164" s="179"/>
      <c r="R164" s="179"/>
      <c r="S164" s="13" t="s">
        <v>27</v>
      </c>
    </row>
    <row r="165" spans="1:19">
      <c r="A165" s="167" t="s">
        <v>438</v>
      </c>
      <c r="B165" s="146" t="s">
        <v>501</v>
      </c>
      <c r="C165" s="167" t="s">
        <v>499</v>
      </c>
      <c r="D165" s="178" t="s">
        <v>502</v>
      </c>
      <c r="E165" s="167"/>
      <c r="F165" s="183" t="s">
        <v>442</v>
      </c>
      <c r="G165" s="171">
        <v>1</v>
      </c>
      <c r="H165" s="172"/>
      <c r="I165" s="173"/>
      <c r="J165" s="174"/>
      <c r="K165" s="174" t="str">
        <f>VLOOKUP(B165,电搭接情况统计!$B$2:$H$423,7,0)</f>
        <v>CPS1330</v>
      </c>
      <c r="L165" s="175"/>
      <c r="M165" s="167"/>
      <c r="N165" s="202" t="s">
        <v>32</v>
      </c>
      <c r="O165" s="202" t="s">
        <v>32</v>
      </c>
      <c r="P165" s="179"/>
      <c r="Q165" s="179"/>
      <c r="R165" s="179"/>
      <c r="S165" s="13" t="s">
        <v>27</v>
      </c>
    </row>
    <row r="166" spans="1:19">
      <c r="A166" s="167" t="s">
        <v>438</v>
      </c>
      <c r="B166" s="146" t="s">
        <v>503</v>
      </c>
      <c r="C166" s="167" t="s">
        <v>504</v>
      </c>
      <c r="D166" s="178" t="s">
        <v>505</v>
      </c>
      <c r="E166" s="167"/>
      <c r="F166" s="183" t="s">
        <v>442</v>
      </c>
      <c r="G166" s="171">
        <v>1</v>
      </c>
      <c r="H166" s="172"/>
      <c r="I166" s="173"/>
      <c r="J166" s="174"/>
      <c r="K166" s="174" t="str">
        <f>VLOOKUP(B166,电搭接情况统计!$B$2:$H$423,7,0)</f>
        <v>CPS1330</v>
      </c>
      <c r="L166" s="175"/>
      <c r="M166" s="167"/>
      <c r="N166" s="202" t="s">
        <v>32</v>
      </c>
      <c r="O166" s="202" t="s">
        <v>32</v>
      </c>
      <c r="P166" s="179"/>
      <c r="Q166" s="179"/>
      <c r="R166" s="179"/>
      <c r="S166" s="13" t="s">
        <v>27</v>
      </c>
    </row>
    <row r="167" spans="1:19">
      <c r="A167" s="167" t="s">
        <v>438</v>
      </c>
      <c r="B167" s="146" t="s">
        <v>506</v>
      </c>
      <c r="C167" s="167" t="s">
        <v>504</v>
      </c>
      <c r="D167" s="178" t="s">
        <v>507</v>
      </c>
      <c r="E167" s="167"/>
      <c r="F167" s="183" t="s">
        <v>442</v>
      </c>
      <c r="G167" s="171">
        <v>1</v>
      </c>
      <c r="H167" s="172"/>
      <c r="I167" s="173"/>
      <c r="J167" s="174"/>
      <c r="K167" s="174" t="str">
        <f>VLOOKUP(B167,电搭接情况统计!$B$2:$H$423,7,0)</f>
        <v>CPS1330</v>
      </c>
      <c r="L167" s="175"/>
      <c r="M167" s="167"/>
      <c r="N167" s="202" t="s">
        <v>32</v>
      </c>
      <c r="O167" s="202" t="s">
        <v>32</v>
      </c>
      <c r="P167" s="179"/>
      <c r="Q167" s="179"/>
      <c r="R167" s="179"/>
      <c r="S167" s="13" t="s">
        <v>27</v>
      </c>
    </row>
    <row r="168" spans="1:19">
      <c r="A168" s="167" t="s">
        <v>438</v>
      </c>
      <c r="B168" s="146" t="s">
        <v>508</v>
      </c>
      <c r="C168" s="167" t="s">
        <v>509</v>
      </c>
      <c r="D168" s="178" t="s">
        <v>510</v>
      </c>
      <c r="E168" s="167"/>
      <c r="F168" s="183" t="s">
        <v>442</v>
      </c>
      <c r="G168" s="171">
        <v>1</v>
      </c>
      <c r="H168" s="172"/>
      <c r="I168" s="173"/>
      <c r="J168" s="174"/>
      <c r="K168" s="174" t="str">
        <f>VLOOKUP(B168,电搭接情况统计!$B$2:$H$423,7,0)</f>
        <v>CPS1330</v>
      </c>
      <c r="L168" s="175"/>
      <c r="M168" s="167"/>
      <c r="N168" s="202" t="s">
        <v>26</v>
      </c>
      <c r="O168" s="202" t="s">
        <v>32</v>
      </c>
      <c r="P168" s="179"/>
      <c r="Q168" s="179"/>
      <c r="R168" s="179"/>
      <c r="S168" s="13" t="s">
        <v>27</v>
      </c>
    </row>
    <row r="169" spans="1:19">
      <c r="A169" s="167" t="s">
        <v>438</v>
      </c>
      <c r="B169" s="146" t="s">
        <v>511</v>
      </c>
      <c r="C169" s="167" t="s">
        <v>512</v>
      </c>
      <c r="D169" s="178" t="s">
        <v>513</v>
      </c>
      <c r="E169" s="167"/>
      <c r="F169" s="183" t="s">
        <v>442</v>
      </c>
      <c r="G169" s="171">
        <v>1</v>
      </c>
      <c r="H169" s="172"/>
      <c r="I169" s="173"/>
      <c r="J169" s="174"/>
      <c r="K169" s="174" t="str">
        <f>VLOOKUP(B169,电搭接情况统计!$B$2:$H$423,7,0)</f>
        <v>CPS1330</v>
      </c>
      <c r="L169" s="175"/>
      <c r="M169" s="167"/>
      <c r="N169" s="202" t="s">
        <v>26</v>
      </c>
      <c r="O169" s="202" t="s">
        <v>32</v>
      </c>
      <c r="P169" s="179"/>
      <c r="Q169" s="179"/>
      <c r="R169" s="179"/>
      <c r="S169" s="13" t="s">
        <v>27</v>
      </c>
    </row>
    <row r="170" spans="1:19">
      <c r="A170" s="167" t="s">
        <v>438</v>
      </c>
      <c r="B170" s="184" t="s">
        <v>514</v>
      </c>
      <c r="C170" s="167" t="s">
        <v>515</v>
      </c>
      <c r="D170" s="178" t="s">
        <v>516</v>
      </c>
      <c r="E170" s="167"/>
      <c r="F170" s="183" t="s">
        <v>517</v>
      </c>
      <c r="G170" s="171">
        <v>1</v>
      </c>
      <c r="H170" s="172"/>
      <c r="I170" s="173"/>
      <c r="J170" s="174"/>
      <c r="K170" s="174" t="str">
        <f>VLOOKUP(B170,电搭接情况统计!$B$2:$H$423,7,0)</f>
        <v>CPS1330</v>
      </c>
      <c r="L170" s="175"/>
      <c r="M170" s="167"/>
      <c r="N170" s="202" t="s">
        <v>32</v>
      </c>
      <c r="O170" s="202" t="s">
        <v>32</v>
      </c>
      <c r="P170" s="179"/>
      <c r="Q170" s="179"/>
      <c r="R170" s="179"/>
      <c r="S170" s="13" t="s">
        <v>27</v>
      </c>
    </row>
    <row r="171" spans="1:19">
      <c r="A171" s="167" t="s">
        <v>438</v>
      </c>
      <c r="B171" s="198" t="s">
        <v>518</v>
      </c>
      <c r="C171" s="167" t="s">
        <v>515</v>
      </c>
      <c r="D171" s="178" t="s">
        <v>519</v>
      </c>
      <c r="E171" s="167"/>
      <c r="F171" s="183" t="s">
        <v>517</v>
      </c>
      <c r="G171" s="171">
        <v>1</v>
      </c>
      <c r="H171" s="172"/>
      <c r="I171" s="173"/>
      <c r="J171" s="174"/>
      <c r="K171" s="174" t="str">
        <f>VLOOKUP(B171,电搭接情况统计!$B$2:$H$423,7,0)</f>
        <v>CPS1330</v>
      </c>
      <c r="L171" s="175"/>
      <c r="M171" s="167"/>
      <c r="N171" s="202" t="s">
        <v>26</v>
      </c>
      <c r="O171" s="202" t="s">
        <v>32</v>
      </c>
      <c r="P171" s="179"/>
      <c r="Q171" s="179"/>
      <c r="R171" s="179"/>
      <c r="S171" s="13" t="s">
        <v>27</v>
      </c>
    </row>
    <row r="172" spans="1:19">
      <c r="A172" s="167" t="s">
        <v>438</v>
      </c>
      <c r="B172" s="198" t="s">
        <v>520</v>
      </c>
      <c r="C172" s="167" t="s">
        <v>515</v>
      </c>
      <c r="D172" s="178" t="s">
        <v>521</v>
      </c>
      <c r="E172" s="167"/>
      <c r="F172" s="183" t="s">
        <v>517</v>
      </c>
      <c r="G172" s="171">
        <v>1</v>
      </c>
      <c r="H172" s="172"/>
      <c r="I172" s="173"/>
      <c r="J172" s="174"/>
      <c r="K172" s="174" t="str">
        <f>VLOOKUP(B172,电搭接情况统计!$B$2:$H$423,7,0)</f>
        <v>CPS1330</v>
      </c>
      <c r="L172" s="175"/>
      <c r="M172" s="167"/>
      <c r="N172" s="202" t="s">
        <v>26</v>
      </c>
      <c r="O172" s="202" t="s">
        <v>32</v>
      </c>
      <c r="P172" s="179"/>
      <c r="Q172" s="179"/>
      <c r="R172" s="179"/>
      <c r="S172" s="13" t="s">
        <v>27</v>
      </c>
    </row>
    <row r="173" spans="1:19">
      <c r="A173" s="167" t="s">
        <v>438</v>
      </c>
      <c r="B173" s="198" t="s">
        <v>522</v>
      </c>
      <c r="C173" s="167" t="s">
        <v>523</v>
      </c>
      <c r="D173" s="178" t="s">
        <v>524</v>
      </c>
      <c r="E173" s="167"/>
      <c r="F173" s="183" t="s">
        <v>517</v>
      </c>
      <c r="G173" s="171">
        <v>1</v>
      </c>
      <c r="H173" s="172"/>
      <c r="I173" s="173"/>
      <c r="J173" s="174"/>
      <c r="K173" s="174" t="str">
        <f>VLOOKUP(B173,电搭接情况统计!$B$2:$H$423,7,0)</f>
        <v>CPS1330</v>
      </c>
      <c r="L173" s="175"/>
      <c r="M173" s="167"/>
      <c r="N173" s="202" t="s">
        <v>32</v>
      </c>
      <c r="O173" s="202" t="s">
        <v>32</v>
      </c>
      <c r="P173" s="179"/>
      <c r="Q173" s="179"/>
      <c r="R173" s="179"/>
      <c r="S173" s="13" t="s">
        <v>27</v>
      </c>
    </row>
    <row r="174" spans="1:19">
      <c r="A174" s="167" t="s">
        <v>438</v>
      </c>
      <c r="B174" s="198" t="s">
        <v>525</v>
      </c>
      <c r="C174" s="167" t="s">
        <v>526</v>
      </c>
      <c r="D174" s="178" t="s">
        <v>527</v>
      </c>
      <c r="E174" s="167"/>
      <c r="F174" s="183" t="s">
        <v>517</v>
      </c>
      <c r="G174" s="171">
        <v>1</v>
      </c>
      <c r="H174" s="172"/>
      <c r="I174" s="173"/>
      <c r="J174" s="174"/>
      <c r="K174" s="174" t="str">
        <f>VLOOKUP(B174,电搭接情况统计!$B$2:$H$423,7,0)</f>
        <v>CPS1330</v>
      </c>
      <c r="L174" s="175"/>
      <c r="M174" s="167"/>
      <c r="N174" s="202" t="s">
        <v>32</v>
      </c>
      <c r="O174" s="202" t="s">
        <v>32</v>
      </c>
      <c r="P174" s="179"/>
      <c r="Q174" s="179"/>
      <c r="R174" s="179"/>
      <c r="S174" s="13" t="s">
        <v>27</v>
      </c>
    </row>
    <row r="175" spans="1:19">
      <c r="A175" s="167" t="s">
        <v>438</v>
      </c>
      <c r="B175" s="198" t="s">
        <v>528</v>
      </c>
      <c r="C175" s="167" t="s">
        <v>526</v>
      </c>
      <c r="D175" s="178" t="s">
        <v>529</v>
      </c>
      <c r="E175" s="167"/>
      <c r="F175" s="183" t="s">
        <v>517</v>
      </c>
      <c r="G175" s="171">
        <v>1</v>
      </c>
      <c r="H175" s="172"/>
      <c r="I175" s="173"/>
      <c r="J175" s="174"/>
      <c r="K175" s="174" t="str">
        <f>VLOOKUP(B175,电搭接情况统计!$B$2:$H$423,7,0)</f>
        <v>CPS1330</v>
      </c>
      <c r="L175" s="175"/>
      <c r="M175" s="167"/>
      <c r="N175" s="202" t="s">
        <v>26</v>
      </c>
      <c r="O175" s="202" t="s">
        <v>32</v>
      </c>
      <c r="P175" s="179"/>
      <c r="Q175" s="179"/>
      <c r="R175" s="179"/>
      <c r="S175" s="13" t="s">
        <v>27</v>
      </c>
    </row>
    <row r="176" spans="1:19">
      <c r="A176" s="167" t="s">
        <v>438</v>
      </c>
      <c r="B176" s="198" t="s">
        <v>530</v>
      </c>
      <c r="C176" s="167" t="s">
        <v>526</v>
      </c>
      <c r="D176" s="178" t="s">
        <v>531</v>
      </c>
      <c r="E176" s="167"/>
      <c r="F176" s="183" t="s">
        <v>517</v>
      </c>
      <c r="G176" s="171">
        <v>1</v>
      </c>
      <c r="H176" s="172"/>
      <c r="I176" s="173"/>
      <c r="J176" s="174"/>
      <c r="K176" s="174" t="str">
        <f>VLOOKUP(B176,电搭接情况统计!$B$2:$H$423,7,0)</f>
        <v>CPS1330</v>
      </c>
      <c r="L176" s="175"/>
      <c r="M176" s="167"/>
      <c r="N176" s="202" t="s">
        <v>26</v>
      </c>
      <c r="O176" s="202" t="s">
        <v>32</v>
      </c>
      <c r="P176" s="179"/>
      <c r="Q176" s="179"/>
      <c r="R176" s="179"/>
      <c r="S176" s="13" t="s">
        <v>27</v>
      </c>
    </row>
    <row r="177" spans="1:19">
      <c r="A177" s="167" t="s">
        <v>438</v>
      </c>
      <c r="B177" s="144" t="s">
        <v>532</v>
      </c>
      <c r="C177" s="167" t="s">
        <v>533</v>
      </c>
      <c r="D177" s="178" t="s">
        <v>534</v>
      </c>
      <c r="E177" s="167"/>
      <c r="F177" s="183" t="s">
        <v>517</v>
      </c>
      <c r="G177" s="171">
        <v>1</v>
      </c>
      <c r="H177" s="172"/>
      <c r="I177" s="173"/>
      <c r="J177" s="174"/>
      <c r="K177" s="174" t="str">
        <f>VLOOKUP(B177,电搭接情况统计!$B$2:$H$423,7,0)</f>
        <v>CPS1330</v>
      </c>
      <c r="L177" s="175"/>
      <c r="M177" s="167"/>
      <c r="N177" s="202" t="s">
        <v>32</v>
      </c>
      <c r="O177" s="202" t="s">
        <v>32</v>
      </c>
      <c r="P177" s="179"/>
      <c r="Q177" s="179"/>
      <c r="R177" s="179"/>
      <c r="S177" s="13" t="s">
        <v>27</v>
      </c>
    </row>
    <row r="178" spans="1:19">
      <c r="A178" s="167" t="s">
        <v>438</v>
      </c>
      <c r="B178" s="146" t="s">
        <v>535</v>
      </c>
      <c r="C178" s="167" t="s">
        <v>536</v>
      </c>
      <c r="D178" s="178" t="s">
        <v>537</v>
      </c>
      <c r="E178" s="167"/>
      <c r="F178" s="183" t="s">
        <v>517</v>
      </c>
      <c r="G178" s="171">
        <v>1</v>
      </c>
      <c r="H178" s="172"/>
      <c r="I178" s="173"/>
      <c r="J178" s="174"/>
      <c r="K178" s="174" t="str">
        <f>VLOOKUP(B178,电搭接情况统计!$B$2:$H$423,7,0)</f>
        <v>CPS1330</v>
      </c>
      <c r="L178" s="175"/>
      <c r="M178" s="167"/>
      <c r="N178" s="202" t="s">
        <v>32</v>
      </c>
      <c r="O178" s="202" t="s">
        <v>32</v>
      </c>
      <c r="P178" s="179"/>
      <c r="Q178" s="179"/>
      <c r="R178" s="179"/>
      <c r="S178" s="13" t="s">
        <v>27</v>
      </c>
    </row>
    <row r="179" spans="1:19">
      <c r="A179" s="167" t="s">
        <v>438</v>
      </c>
      <c r="B179" s="146" t="s">
        <v>538</v>
      </c>
      <c r="C179" s="167" t="s">
        <v>539</v>
      </c>
      <c r="D179" s="178" t="s">
        <v>540</v>
      </c>
      <c r="E179" s="167"/>
      <c r="F179" s="183" t="s">
        <v>517</v>
      </c>
      <c r="G179" s="171">
        <v>1</v>
      </c>
      <c r="H179" s="172"/>
      <c r="I179" s="173"/>
      <c r="J179" s="174"/>
      <c r="K179" s="174" t="str">
        <f>VLOOKUP(B179,电搭接情况统计!$B$2:$H$423,7,0)</f>
        <v>CPS1330</v>
      </c>
      <c r="L179" s="175"/>
      <c r="M179" s="167"/>
      <c r="N179" s="202" t="s">
        <v>32</v>
      </c>
      <c r="O179" s="202" t="s">
        <v>32</v>
      </c>
      <c r="P179" s="179"/>
      <c r="Q179" s="179"/>
      <c r="R179" s="179"/>
      <c r="S179" s="13" t="s">
        <v>27</v>
      </c>
    </row>
    <row r="180" spans="1:19">
      <c r="A180" s="167" t="s">
        <v>438</v>
      </c>
      <c r="B180" s="144" t="s">
        <v>541</v>
      </c>
      <c r="C180" s="167" t="s">
        <v>542</v>
      </c>
      <c r="D180" s="178" t="s">
        <v>543</v>
      </c>
      <c r="E180" s="167"/>
      <c r="F180" s="183" t="s">
        <v>517</v>
      </c>
      <c r="G180" s="171">
        <v>1</v>
      </c>
      <c r="H180" s="172"/>
      <c r="I180" s="173"/>
      <c r="J180" s="174"/>
      <c r="K180" s="174" t="str">
        <f>VLOOKUP(B180,电搭接情况统计!$B$2:$H$423,7,0)</f>
        <v>CPS1330</v>
      </c>
      <c r="L180" s="175"/>
      <c r="M180" s="167"/>
      <c r="N180" s="202" t="s">
        <v>26</v>
      </c>
      <c r="O180" s="202" t="s">
        <v>32</v>
      </c>
      <c r="P180" s="179"/>
      <c r="Q180" s="179"/>
      <c r="R180" s="179"/>
      <c r="S180" s="13" t="s">
        <v>27</v>
      </c>
    </row>
    <row r="181" spans="1:19">
      <c r="A181" s="167" t="s">
        <v>438</v>
      </c>
      <c r="B181" s="146" t="s">
        <v>544</v>
      </c>
      <c r="C181" s="167" t="s">
        <v>545</v>
      </c>
      <c r="D181" s="178" t="s">
        <v>546</v>
      </c>
      <c r="E181" s="167"/>
      <c r="F181" s="183" t="s">
        <v>364</v>
      </c>
      <c r="G181" s="171">
        <v>1</v>
      </c>
      <c r="H181" s="172" t="s">
        <v>321</v>
      </c>
      <c r="I181" s="173"/>
      <c r="J181" s="174"/>
      <c r="K181" s="174" t="str">
        <f>VLOOKUP(B181,电搭接情况统计!$B$2:$H$423,7,0)</f>
        <v>CPS1330</v>
      </c>
      <c r="L181" s="175"/>
      <c r="M181" s="167"/>
      <c r="N181" s="202" t="s">
        <v>26</v>
      </c>
      <c r="O181" s="202" t="s">
        <v>26</v>
      </c>
      <c r="P181" s="179"/>
      <c r="Q181" s="179"/>
      <c r="R181" s="179"/>
      <c r="S181" s="13" t="s">
        <v>27</v>
      </c>
    </row>
    <row r="182" spans="1:19">
      <c r="A182" s="167" t="s">
        <v>438</v>
      </c>
      <c r="B182" s="146" t="s">
        <v>547</v>
      </c>
      <c r="C182" s="167" t="s">
        <v>545</v>
      </c>
      <c r="D182" s="178" t="s">
        <v>548</v>
      </c>
      <c r="E182" s="167"/>
      <c r="F182" s="183" t="s">
        <v>364</v>
      </c>
      <c r="G182" s="171">
        <v>1</v>
      </c>
      <c r="H182" s="172" t="s">
        <v>321</v>
      </c>
      <c r="I182" s="173"/>
      <c r="J182" s="174"/>
      <c r="K182" s="174" t="str">
        <f>VLOOKUP(B182,电搭接情况统计!$B$2:$H$423,7,0)</f>
        <v>CPS1330</v>
      </c>
      <c r="L182" s="175"/>
      <c r="M182" s="167"/>
      <c r="N182" s="202" t="s">
        <v>26</v>
      </c>
      <c r="O182" s="202" t="s">
        <v>26</v>
      </c>
      <c r="P182" s="179"/>
      <c r="Q182" s="179"/>
      <c r="R182" s="179"/>
      <c r="S182" s="13" t="s">
        <v>27</v>
      </c>
    </row>
    <row r="183" spans="1:19">
      <c r="A183" s="167" t="s">
        <v>438</v>
      </c>
      <c r="B183" s="146" t="s">
        <v>549</v>
      </c>
      <c r="C183" s="167" t="s">
        <v>550</v>
      </c>
      <c r="D183" s="178" t="s">
        <v>551</v>
      </c>
      <c r="E183" s="167"/>
      <c r="F183" s="183" t="s">
        <v>119</v>
      </c>
      <c r="G183" s="171">
        <v>1</v>
      </c>
      <c r="H183" s="172" t="s">
        <v>321</v>
      </c>
      <c r="I183" s="173"/>
      <c r="J183" s="174"/>
      <c r="K183" s="174" t="str">
        <f>VLOOKUP(B183,电搭接情况统计!$B$2:$H$423,7,0)</f>
        <v>CPS1330</v>
      </c>
      <c r="L183" s="175"/>
      <c r="M183" s="167"/>
      <c r="N183" s="202" t="s">
        <v>26</v>
      </c>
      <c r="O183" s="202" t="s">
        <v>26</v>
      </c>
      <c r="P183" s="179"/>
      <c r="Q183" s="179"/>
      <c r="R183" s="179"/>
      <c r="S183" s="13" t="s">
        <v>27</v>
      </c>
    </row>
    <row r="184" spans="1:19">
      <c r="A184" s="167" t="s">
        <v>438</v>
      </c>
      <c r="B184" s="146" t="s">
        <v>552</v>
      </c>
      <c r="C184" s="167" t="s">
        <v>553</v>
      </c>
      <c r="D184" s="178" t="s">
        <v>554</v>
      </c>
      <c r="E184" s="167"/>
      <c r="F184" s="183" t="s">
        <v>442</v>
      </c>
      <c r="G184" s="171">
        <v>1</v>
      </c>
      <c r="H184" s="172"/>
      <c r="I184" s="173"/>
      <c r="J184" s="174"/>
      <c r="K184" s="174" t="str">
        <f>VLOOKUP(B184,电搭接情况统计!$B$2:$H$423,7,0)</f>
        <v>CPS1330</v>
      </c>
      <c r="L184" s="175"/>
      <c r="M184" s="167"/>
      <c r="N184" s="202" t="s">
        <v>26</v>
      </c>
      <c r="O184" s="202" t="s">
        <v>26</v>
      </c>
      <c r="P184" s="179"/>
      <c r="Q184" s="179"/>
      <c r="R184" s="179"/>
      <c r="S184" s="13" t="s">
        <v>27</v>
      </c>
    </row>
    <row r="185" spans="1:19">
      <c r="A185" s="167" t="s">
        <v>438</v>
      </c>
      <c r="B185" s="146" t="s">
        <v>555</v>
      </c>
      <c r="C185" s="167" t="s">
        <v>553</v>
      </c>
      <c r="D185" s="178" t="s">
        <v>556</v>
      </c>
      <c r="E185" s="167"/>
      <c r="F185" s="183" t="s">
        <v>442</v>
      </c>
      <c r="G185" s="171">
        <v>1</v>
      </c>
      <c r="H185" s="172"/>
      <c r="I185" s="173"/>
      <c r="J185" s="174"/>
      <c r="K185" s="174" t="str">
        <f>VLOOKUP(B185,电搭接情况统计!$B$2:$H$423,7,0)</f>
        <v>CPS1330</v>
      </c>
      <c r="L185" s="175"/>
      <c r="M185" s="167"/>
      <c r="N185" s="202" t="s">
        <v>26</v>
      </c>
      <c r="O185" s="202" t="s">
        <v>26</v>
      </c>
      <c r="P185" s="179"/>
      <c r="Q185" s="179"/>
      <c r="R185" s="179"/>
      <c r="S185" s="13" t="s">
        <v>27</v>
      </c>
    </row>
    <row r="186" spans="1:19">
      <c r="A186" s="167" t="s">
        <v>438</v>
      </c>
      <c r="B186" s="146" t="s">
        <v>557</v>
      </c>
      <c r="C186" s="167" t="s">
        <v>558</v>
      </c>
      <c r="D186" s="178" t="s">
        <v>559</v>
      </c>
      <c r="E186" s="167"/>
      <c r="F186" s="183" t="s">
        <v>119</v>
      </c>
      <c r="G186" s="171">
        <v>1</v>
      </c>
      <c r="H186" s="172"/>
      <c r="I186" s="173"/>
      <c r="J186" s="174"/>
      <c r="K186" s="174" t="str">
        <f>VLOOKUP(B186,电搭接情况统计!$B$2:$H$423,7,0)</f>
        <v>CPS1330</v>
      </c>
      <c r="L186" s="175"/>
      <c r="M186" s="167"/>
      <c r="N186" s="202" t="s">
        <v>26</v>
      </c>
      <c r="O186" s="202" t="s">
        <v>26</v>
      </c>
      <c r="P186" s="179"/>
      <c r="Q186" s="179"/>
      <c r="R186" s="179"/>
      <c r="S186" s="13" t="s">
        <v>27</v>
      </c>
    </row>
    <row r="187" spans="1:19">
      <c r="A187" s="167" t="s">
        <v>438</v>
      </c>
      <c r="B187" s="146" t="s">
        <v>560</v>
      </c>
      <c r="C187" s="167" t="s">
        <v>561</v>
      </c>
      <c r="D187" s="178" t="s">
        <v>562</v>
      </c>
      <c r="E187" s="167"/>
      <c r="F187" s="183" t="s">
        <v>36</v>
      </c>
      <c r="G187" s="171">
        <v>1</v>
      </c>
      <c r="H187" s="172" t="s">
        <v>563</v>
      </c>
      <c r="I187" s="182" t="str">
        <f>VLOOKUP($B187,设备架接口信息!$A$1:$G$69,4,0)</f>
        <v>三角螺栓安装</v>
      </c>
      <c r="J187" s="175" t="str">
        <f>VLOOKUP($B187,设备架接口信息!$A$1:$G$69,5,0)</f>
        <v>面搭接</v>
      </c>
      <c r="K187" s="174" t="str">
        <f>VLOOKUP(B187,电搭接情况统计!$B$2:$H$423,7,0)</f>
        <v>CPS1330</v>
      </c>
      <c r="L187" s="175">
        <f>VLOOKUP($B187,设备架接口信息!$A$1:$G$69,6,0)</f>
        <v>0.15</v>
      </c>
      <c r="M187" s="167"/>
      <c r="N187" s="202" t="s">
        <v>26</v>
      </c>
      <c r="O187" s="202" t="s">
        <v>32</v>
      </c>
      <c r="P187" s="179"/>
      <c r="Q187" s="179"/>
      <c r="R187" s="179"/>
      <c r="S187" s="13" t="s">
        <v>27</v>
      </c>
    </row>
    <row r="188" spans="1:19">
      <c r="A188" s="167" t="s">
        <v>438</v>
      </c>
      <c r="B188" s="146" t="s">
        <v>564</v>
      </c>
      <c r="C188" s="167" t="s">
        <v>565</v>
      </c>
      <c r="D188" s="178" t="s">
        <v>566</v>
      </c>
      <c r="E188" s="167"/>
      <c r="F188" s="183" t="s">
        <v>36</v>
      </c>
      <c r="G188" s="171">
        <v>1</v>
      </c>
      <c r="H188" s="172" t="s">
        <v>563</v>
      </c>
      <c r="I188" s="182" t="str">
        <f>VLOOKUP($B188,设备架接口信息!$A$1:$G$69,4,0)</f>
        <v>三角螺栓安装</v>
      </c>
      <c r="J188" s="175" t="str">
        <f>VLOOKUP($B188,设备架接口信息!$A$1:$G$69,5,0)</f>
        <v>面搭接</v>
      </c>
      <c r="K188" s="174" t="str">
        <f>VLOOKUP(B188,电搭接情况统计!$B$2:$H$423,7,0)</f>
        <v>CPS1330</v>
      </c>
      <c r="L188" s="175">
        <f>VLOOKUP($B188,设备架接口信息!$A$1:$G$69,6,0)</f>
        <v>0.15</v>
      </c>
      <c r="M188" s="167"/>
      <c r="N188" s="202" t="s">
        <v>26</v>
      </c>
      <c r="O188" s="202" t="s">
        <v>32</v>
      </c>
      <c r="P188" s="179"/>
      <c r="Q188" s="179"/>
      <c r="R188" s="179"/>
      <c r="S188" s="13" t="s">
        <v>27</v>
      </c>
    </row>
    <row r="189" spans="1:19">
      <c r="A189" s="167" t="s">
        <v>438</v>
      </c>
      <c r="B189" s="146" t="s">
        <v>567</v>
      </c>
      <c r="C189" s="167" t="s">
        <v>565</v>
      </c>
      <c r="D189" s="178" t="s">
        <v>568</v>
      </c>
      <c r="E189" s="167"/>
      <c r="F189" s="183" t="s">
        <v>36</v>
      </c>
      <c r="G189" s="171">
        <v>1</v>
      </c>
      <c r="H189" s="172" t="s">
        <v>563</v>
      </c>
      <c r="I189" s="182" t="str">
        <f>VLOOKUP($B189,设备架接口信息!$A$1:$G$69,4,0)</f>
        <v>三角螺栓安装</v>
      </c>
      <c r="J189" s="175" t="str">
        <f>VLOOKUP($B189,设备架接口信息!$A$1:$G$69,5,0)</f>
        <v>面搭接</v>
      </c>
      <c r="K189" s="174" t="str">
        <f>VLOOKUP(B189,电搭接情况统计!$B$2:$H$423,7,0)</f>
        <v>CPS1330</v>
      </c>
      <c r="L189" s="175">
        <f>VLOOKUP($B189,设备架接口信息!$A$1:$G$69,6,0)</f>
        <v>0.15</v>
      </c>
      <c r="M189" s="167"/>
      <c r="N189" s="202" t="s">
        <v>26</v>
      </c>
      <c r="O189" s="202" t="s">
        <v>32</v>
      </c>
      <c r="P189" s="179"/>
      <c r="Q189" s="179"/>
      <c r="R189" s="179"/>
      <c r="S189" s="13" t="s">
        <v>27</v>
      </c>
    </row>
    <row r="190" spans="1:19">
      <c r="A190" s="167" t="s">
        <v>438</v>
      </c>
      <c r="B190" s="146" t="s">
        <v>569</v>
      </c>
      <c r="C190" s="167" t="s">
        <v>570</v>
      </c>
      <c r="D190" s="178" t="s">
        <v>571</v>
      </c>
      <c r="E190" s="167"/>
      <c r="F190" s="183" t="s">
        <v>186</v>
      </c>
      <c r="G190" s="171">
        <v>2</v>
      </c>
      <c r="H190" s="172"/>
      <c r="I190" s="173"/>
      <c r="J190" s="174"/>
      <c r="K190" s="174"/>
      <c r="L190" s="175"/>
      <c r="M190" s="167"/>
      <c r="N190" s="202" t="s">
        <v>26</v>
      </c>
      <c r="O190" s="202" t="s">
        <v>32</v>
      </c>
      <c r="P190" s="179"/>
      <c r="Q190" s="179"/>
      <c r="R190" s="179"/>
      <c r="S190" s="13" t="s">
        <v>27</v>
      </c>
    </row>
    <row r="191" spans="1:19">
      <c r="A191" s="167" t="s">
        <v>438</v>
      </c>
      <c r="B191" s="146" t="s">
        <v>572</v>
      </c>
      <c r="C191" s="167" t="s">
        <v>570</v>
      </c>
      <c r="D191" s="178" t="s">
        <v>573</v>
      </c>
      <c r="E191" s="167"/>
      <c r="F191" s="183" t="s">
        <v>186</v>
      </c>
      <c r="G191" s="171">
        <v>2</v>
      </c>
      <c r="H191" s="172"/>
      <c r="I191" s="173"/>
      <c r="J191" s="174"/>
      <c r="K191" s="174"/>
      <c r="L191" s="175"/>
      <c r="M191" s="167"/>
      <c r="N191" s="202" t="s">
        <v>26</v>
      </c>
      <c r="O191" s="202" t="s">
        <v>32</v>
      </c>
      <c r="P191" s="179"/>
      <c r="Q191" s="179"/>
      <c r="R191" s="179"/>
      <c r="S191" s="13" t="s">
        <v>27</v>
      </c>
    </row>
    <row r="192" spans="1:19">
      <c r="A192" s="167" t="s">
        <v>438</v>
      </c>
      <c r="B192" s="146" t="s">
        <v>574</v>
      </c>
      <c r="C192" s="167" t="s">
        <v>570</v>
      </c>
      <c r="D192" s="178" t="s">
        <v>575</v>
      </c>
      <c r="E192" s="167"/>
      <c r="F192" s="183" t="s">
        <v>186</v>
      </c>
      <c r="G192" s="171">
        <v>2</v>
      </c>
      <c r="H192" s="172"/>
      <c r="I192" s="173"/>
      <c r="J192" s="174"/>
      <c r="K192" s="174"/>
      <c r="L192" s="175"/>
      <c r="M192" s="167"/>
      <c r="N192" s="202" t="s">
        <v>26</v>
      </c>
      <c r="O192" s="202" t="s">
        <v>32</v>
      </c>
      <c r="P192" s="179"/>
      <c r="Q192" s="179"/>
      <c r="R192" s="179"/>
      <c r="S192" s="13" t="s">
        <v>27</v>
      </c>
    </row>
    <row r="193" spans="1:19">
      <c r="A193" s="167" t="s">
        <v>438</v>
      </c>
      <c r="B193" s="146" t="s">
        <v>576</v>
      </c>
      <c r="C193" s="167" t="s">
        <v>570</v>
      </c>
      <c r="D193" s="178" t="s">
        <v>577</v>
      </c>
      <c r="E193" s="167"/>
      <c r="F193" s="183" t="s">
        <v>186</v>
      </c>
      <c r="G193" s="171">
        <v>2</v>
      </c>
      <c r="H193" s="172"/>
      <c r="I193" s="173"/>
      <c r="J193" s="174"/>
      <c r="K193" s="174"/>
      <c r="L193" s="175"/>
      <c r="M193" s="167"/>
      <c r="N193" s="202" t="s">
        <v>26</v>
      </c>
      <c r="O193" s="202" t="s">
        <v>32</v>
      </c>
      <c r="P193" s="179"/>
      <c r="Q193" s="179"/>
      <c r="R193" s="179"/>
      <c r="S193" s="13" t="s">
        <v>27</v>
      </c>
    </row>
    <row r="194" spans="1:19">
      <c r="A194" s="167" t="s">
        <v>438</v>
      </c>
      <c r="B194" s="198" t="s">
        <v>578</v>
      </c>
      <c r="C194" s="167" t="s">
        <v>579</v>
      </c>
      <c r="D194" s="178" t="s">
        <v>580</v>
      </c>
      <c r="E194" s="167"/>
      <c r="F194" s="183" t="s">
        <v>36</v>
      </c>
      <c r="G194" s="171">
        <v>1</v>
      </c>
      <c r="H194" s="172"/>
      <c r="I194" s="182" t="str">
        <f>VLOOKUP($B194,设备架接口信息!$A$1:$G$69,4,0)</f>
        <v>3MCU托架安装，A类锁紧器</v>
      </c>
      <c r="J194" s="175" t="str">
        <f>VLOOKUP($B194,设备架接口信息!$A$1:$G$69,5,0)</f>
        <v>面搭接</v>
      </c>
      <c r="K194" s="174" t="str">
        <f>VLOOKUP(B194,电搭接情况统计!$B$2:$H$423,7,0)</f>
        <v>CPS1330设备壳体-托架-机体支架面面搭接</v>
      </c>
      <c r="L194" s="175">
        <f>VLOOKUP($B194,设备架接口信息!$A$1:$G$69,6,0)</f>
        <v>4.06</v>
      </c>
      <c r="M194" s="167"/>
      <c r="N194" s="202" t="s">
        <v>26</v>
      </c>
      <c r="O194" s="202" t="s">
        <v>26</v>
      </c>
      <c r="P194" s="179"/>
      <c r="Q194" s="179"/>
      <c r="R194" s="179"/>
      <c r="S194" s="67" t="s">
        <v>37</v>
      </c>
    </row>
    <row r="195" spans="1:19">
      <c r="A195" s="167" t="s">
        <v>438</v>
      </c>
      <c r="B195" s="184" t="s">
        <v>581</v>
      </c>
      <c r="C195" s="167" t="s">
        <v>582</v>
      </c>
      <c r="D195" s="178" t="s">
        <v>583</v>
      </c>
      <c r="E195" s="167"/>
      <c r="F195" s="183" t="s">
        <v>300</v>
      </c>
      <c r="G195" s="171">
        <v>1</v>
      </c>
      <c r="H195" s="172"/>
      <c r="I195" s="182" t="str">
        <f>VLOOKUP($B195,设备架接口信息!$A$1:$G$69,4,0)</f>
        <v>3MCU托架安装，A类锁紧器</v>
      </c>
      <c r="J195" s="175" t="str">
        <f>VLOOKUP($B195,设备架接口信息!$A$1:$G$69,5,0)</f>
        <v>面搭接</v>
      </c>
      <c r="K195" s="174" t="str">
        <f>VLOOKUP(B195,电搭接情况统计!$B$2:$H$423,7,0)</f>
        <v>CPS1330设备壳体-托架-机体支架面面搭接</v>
      </c>
      <c r="L195" s="175">
        <f>VLOOKUP($B195,设备架接口信息!$A$1:$G$69,6,0)</f>
        <v>4.06</v>
      </c>
      <c r="M195" s="167"/>
      <c r="N195" s="202" t="s">
        <v>26</v>
      </c>
      <c r="O195" s="202" t="s">
        <v>26</v>
      </c>
      <c r="P195" s="179"/>
      <c r="Q195" s="179"/>
      <c r="R195" s="179"/>
      <c r="S195" s="13" t="s">
        <v>27</v>
      </c>
    </row>
    <row r="196" spans="1:19">
      <c r="A196" s="167" t="s">
        <v>438</v>
      </c>
      <c r="B196" s="184" t="s">
        <v>584</v>
      </c>
      <c r="C196" s="167" t="s">
        <v>585</v>
      </c>
      <c r="D196" s="178" t="s">
        <v>586</v>
      </c>
      <c r="E196" s="167"/>
      <c r="F196" s="183" t="s">
        <v>364</v>
      </c>
      <c r="G196" s="171">
        <v>1</v>
      </c>
      <c r="H196" s="172" t="s">
        <v>321</v>
      </c>
      <c r="I196" s="173"/>
      <c r="J196" s="174"/>
      <c r="K196" s="174" t="str">
        <f>VLOOKUP(B196,电搭接情况统计!$B$2:$H$423,7,0)</f>
        <v>CPS1330搭接线</v>
      </c>
      <c r="L196" s="175"/>
      <c r="M196" s="167"/>
      <c r="N196" s="202" t="s">
        <v>26</v>
      </c>
      <c r="O196" s="202" t="s">
        <v>26</v>
      </c>
      <c r="P196" s="179"/>
      <c r="Q196" s="179"/>
      <c r="R196" s="179"/>
      <c r="S196" s="13" t="s">
        <v>27</v>
      </c>
    </row>
    <row r="197" spans="1:19">
      <c r="A197" s="167" t="s">
        <v>438</v>
      </c>
      <c r="B197" s="184" t="s">
        <v>587</v>
      </c>
      <c r="C197" s="167" t="s">
        <v>585</v>
      </c>
      <c r="D197" s="178" t="s">
        <v>588</v>
      </c>
      <c r="E197" s="167"/>
      <c r="F197" s="183" t="s">
        <v>364</v>
      </c>
      <c r="G197" s="171">
        <v>1</v>
      </c>
      <c r="H197" s="172" t="s">
        <v>321</v>
      </c>
      <c r="I197" s="173"/>
      <c r="J197" s="174"/>
      <c r="K197" s="174" t="str">
        <f>VLOOKUP(B197,电搭接情况统计!$B$2:$H$423,7,0)</f>
        <v>CPS1330搭接线</v>
      </c>
      <c r="L197" s="175"/>
      <c r="M197" s="167"/>
      <c r="N197" s="202" t="s">
        <v>26</v>
      </c>
      <c r="O197" s="202" t="s">
        <v>26</v>
      </c>
      <c r="P197" s="179"/>
      <c r="Q197" s="179"/>
      <c r="R197" s="179"/>
      <c r="S197" s="13" t="s">
        <v>27</v>
      </c>
    </row>
    <row r="198" spans="1:19">
      <c r="A198" s="167" t="s">
        <v>438</v>
      </c>
      <c r="B198" s="184" t="s">
        <v>589</v>
      </c>
      <c r="C198" s="167" t="s">
        <v>585</v>
      </c>
      <c r="D198" s="178" t="s">
        <v>590</v>
      </c>
      <c r="E198" s="167"/>
      <c r="F198" s="183" t="s">
        <v>364</v>
      </c>
      <c r="G198" s="171">
        <v>1</v>
      </c>
      <c r="H198" s="172" t="s">
        <v>321</v>
      </c>
      <c r="I198" s="173"/>
      <c r="J198" s="174"/>
      <c r="K198" s="174" t="str">
        <f>VLOOKUP(B198,电搭接情况统计!$B$2:$H$423,7,0)</f>
        <v>CPS1330搭接线</v>
      </c>
      <c r="L198" s="175"/>
      <c r="M198" s="167"/>
      <c r="N198" s="202" t="s">
        <v>26</v>
      </c>
      <c r="O198" s="202" t="s">
        <v>26</v>
      </c>
      <c r="P198" s="179"/>
      <c r="Q198" s="179"/>
      <c r="R198" s="179"/>
      <c r="S198" s="13" t="s">
        <v>27</v>
      </c>
    </row>
    <row r="199" spans="1:19">
      <c r="A199" s="167" t="s">
        <v>438</v>
      </c>
      <c r="B199" s="184" t="s">
        <v>591</v>
      </c>
      <c r="C199" s="167" t="s">
        <v>585</v>
      </c>
      <c r="D199" s="178" t="s">
        <v>592</v>
      </c>
      <c r="E199" s="167"/>
      <c r="F199" s="183" t="s">
        <v>364</v>
      </c>
      <c r="G199" s="171">
        <v>1</v>
      </c>
      <c r="H199" s="172" t="s">
        <v>321</v>
      </c>
      <c r="I199" s="173"/>
      <c r="J199" s="174"/>
      <c r="K199" s="174" t="str">
        <f>VLOOKUP(B199,电搭接情况统计!$B$2:$H$423,7,0)</f>
        <v>CPS1330搭接线</v>
      </c>
      <c r="L199" s="175"/>
      <c r="M199" s="167"/>
      <c r="N199" s="202" t="s">
        <v>26</v>
      </c>
      <c r="O199" s="202" t="s">
        <v>26</v>
      </c>
      <c r="P199" s="179"/>
      <c r="Q199" s="179"/>
      <c r="R199" s="179"/>
      <c r="S199" s="13" t="s">
        <v>27</v>
      </c>
    </row>
    <row r="200" spans="1:19">
      <c r="A200" s="167" t="s">
        <v>438</v>
      </c>
      <c r="B200" s="184" t="s">
        <v>593</v>
      </c>
      <c r="C200" s="167" t="s">
        <v>594</v>
      </c>
      <c r="D200" s="178" t="s">
        <v>595</v>
      </c>
      <c r="E200" s="167"/>
      <c r="F200" s="183" t="s">
        <v>442</v>
      </c>
      <c r="G200" s="171">
        <v>1</v>
      </c>
      <c r="H200" s="172"/>
      <c r="I200" s="173"/>
      <c r="J200" s="174"/>
      <c r="K200" s="174" t="str">
        <f>VLOOKUP(B200,电搭接情况统计!$B$2:$H$423,7,0)</f>
        <v>CPS1330</v>
      </c>
      <c r="L200" s="175"/>
      <c r="M200" s="167"/>
      <c r="N200" s="202" t="s">
        <v>26</v>
      </c>
      <c r="O200" s="202" t="s">
        <v>32</v>
      </c>
      <c r="P200" s="179"/>
      <c r="Q200" s="179"/>
      <c r="R200" s="179"/>
      <c r="S200" s="13" t="s">
        <v>27</v>
      </c>
    </row>
    <row r="201" spans="1:19">
      <c r="A201" s="167" t="s">
        <v>438</v>
      </c>
      <c r="B201" s="184" t="s">
        <v>596</v>
      </c>
      <c r="C201" s="167" t="s">
        <v>594</v>
      </c>
      <c r="D201" s="178" t="s">
        <v>597</v>
      </c>
      <c r="E201" s="167"/>
      <c r="F201" s="183" t="s">
        <v>442</v>
      </c>
      <c r="G201" s="171">
        <v>1</v>
      </c>
      <c r="H201" s="172"/>
      <c r="I201" s="173"/>
      <c r="J201" s="174"/>
      <c r="K201" s="174" t="str">
        <f>VLOOKUP(B201,电搭接情况统计!$B$2:$H$423,7,0)</f>
        <v>CPS1330</v>
      </c>
      <c r="L201" s="175"/>
      <c r="M201" s="167"/>
      <c r="N201" s="202" t="s">
        <v>26</v>
      </c>
      <c r="O201" s="202" t="s">
        <v>32</v>
      </c>
      <c r="P201" s="179"/>
      <c r="Q201" s="179"/>
      <c r="R201" s="179"/>
      <c r="S201" s="13" t="s">
        <v>27</v>
      </c>
    </row>
    <row r="202" spans="1:19">
      <c r="A202" s="167" t="s">
        <v>438</v>
      </c>
      <c r="B202" s="184" t="s">
        <v>598</v>
      </c>
      <c r="C202" s="167" t="s">
        <v>594</v>
      </c>
      <c r="D202" s="178" t="s">
        <v>599</v>
      </c>
      <c r="E202" s="167"/>
      <c r="F202" s="183" t="s">
        <v>442</v>
      </c>
      <c r="G202" s="171">
        <v>1</v>
      </c>
      <c r="H202" s="172"/>
      <c r="I202" s="173"/>
      <c r="J202" s="174"/>
      <c r="K202" s="174" t="str">
        <f>VLOOKUP(B202,电搭接情况统计!$B$2:$H$423,7,0)</f>
        <v>CPS1330</v>
      </c>
      <c r="L202" s="175"/>
      <c r="M202" s="167"/>
      <c r="N202" s="202" t="s">
        <v>26</v>
      </c>
      <c r="O202" s="202" t="s">
        <v>32</v>
      </c>
      <c r="P202" s="179"/>
      <c r="Q202" s="179"/>
      <c r="R202" s="179"/>
      <c r="S202" s="13" t="s">
        <v>27</v>
      </c>
    </row>
    <row r="203" spans="1:19">
      <c r="A203" s="167" t="s">
        <v>438</v>
      </c>
      <c r="B203" s="184" t="s">
        <v>600</v>
      </c>
      <c r="C203" s="167" t="s">
        <v>594</v>
      </c>
      <c r="D203" s="178" t="s">
        <v>601</v>
      </c>
      <c r="E203" s="167"/>
      <c r="F203" s="183" t="s">
        <v>442</v>
      </c>
      <c r="G203" s="171">
        <v>1</v>
      </c>
      <c r="H203" s="172"/>
      <c r="I203" s="173"/>
      <c r="J203" s="174"/>
      <c r="K203" s="174" t="str">
        <f>VLOOKUP(B203,电搭接情况统计!$B$2:$H$423,7,0)</f>
        <v>CPS1330</v>
      </c>
      <c r="L203" s="175"/>
      <c r="M203" s="167"/>
      <c r="N203" s="202" t="s">
        <v>26</v>
      </c>
      <c r="O203" s="202" t="s">
        <v>32</v>
      </c>
      <c r="P203" s="179"/>
      <c r="Q203" s="179"/>
      <c r="R203" s="179"/>
      <c r="S203" s="13" t="s">
        <v>27</v>
      </c>
    </row>
    <row r="204" spans="1:19">
      <c r="A204" s="167" t="s">
        <v>438</v>
      </c>
      <c r="B204" s="184" t="s">
        <v>602</v>
      </c>
      <c r="C204" s="167" t="s">
        <v>603</v>
      </c>
      <c r="D204" s="178" t="s">
        <v>604</v>
      </c>
      <c r="E204" s="167"/>
      <c r="F204" s="183" t="s">
        <v>442</v>
      </c>
      <c r="G204" s="171">
        <v>1</v>
      </c>
      <c r="H204" s="172"/>
      <c r="I204" s="173"/>
      <c r="J204" s="174"/>
      <c r="K204" s="174" t="str">
        <f>VLOOKUP(B204,电搭接情况统计!$B$2:$H$423,7,0)</f>
        <v>CPS1330</v>
      </c>
      <c r="L204" s="175"/>
      <c r="M204" s="167"/>
      <c r="N204" s="202" t="s">
        <v>26</v>
      </c>
      <c r="O204" s="202" t="s">
        <v>26</v>
      </c>
      <c r="P204" s="179"/>
      <c r="Q204" s="179"/>
      <c r="R204" s="179"/>
      <c r="S204" s="13" t="s">
        <v>27</v>
      </c>
    </row>
    <row r="205" spans="1:19">
      <c r="A205" s="167" t="s">
        <v>438</v>
      </c>
      <c r="B205" s="184" t="s">
        <v>605</v>
      </c>
      <c r="C205" s="167" t="s">
        <v>603</v>
      </c>
      <c r="D205" s="178" t="s">
        <v>606</v>
      </c>
      <c r="E205" s="167"/>
      <c r="F205" s="183" t="s">
        <v>442</v>
      </c>
      <c r="G205" s="171">
        <v>1</v>
      </c>
      <c r="H205" s="172"/>
      <c r="I205" s="173"/>
      <c r="J205" s="174"/>
      <c r="K205" s="174" t="str">
        <f>VLOOKUP(B205,电搭接情况统计!$B$2:$H$423,7,0)</f>
        <v>CPS1330</v>
      </c>
      <c r="L205" s="175"/>
      <c r="M205" s="167"/>
      <c r="N205" s="202" t="s">
        <v>26</v>
      </c>
      <c r="O205" s="202" t="s">
        <v>26</v>
      </c>
      <c r="P205" s="179"/>
      <c r="Q205" s="179"/>
      <c r="R205" s="179"/>
      <c r="S205" s="13" t="s">
        <v>27</v>
      </c>
    </row>
    <row r="206" spans="1:19">
      <c r="A206" s="167" t="s">
        <v>438</v>
      </c>
      <c r="B206" s="184" t="s">
        <v>607</v>
      </c>
      <c r="C206" s="167" t="s">
        <v>603</v>
      </c>
      <c r="D206" s="178" t="s">
        <v>608</v>
      </c>
      <c r="E206" s="167"/>
      <c r="F206" s="183" t="s">
        <v>442</v>
      </c>
      <c r="G206" s="171">
        <v>1</v>
      </c>
      <c r="H206" s="172"/>
      <c r="I206" s="173"/>
      <c r="J206" s="174"/>
      <c r="K206" s="174" t="str">
        <f>VLOOKUP(B206,电搭接情况统计!$B$2:$H$423,7,0)</f>
        <v>CPS1330</v>
      </c>
      <c r="L206" s="175"/>
      <c r="M206" s="167"/>
      <c r="N206" s="202" t="s">
        <v>26</v>
      </c>
      <c r="O206" s="202" t="s">
        <v>26</v>
      </c>
      <c r="P206" s="179"/>
      <c r="Q206" s="179"/>
      <c r="R206" s="179"/>
      <c r="S206" s="13" t="s">
        <v>27</v>
      </c>
    </row>
    <row r="207" spans="1:19">
      <c r="A207" s="167" t="s">
        <v>438</v>
      </c>
      <c r="B207" s="184" t="s">
        <v>609</v>
      </c>
      <c r="C207" s="167" t="s">
        <v>603</v>
      </c>
      <c r="D207" s="178" t="s">
        <v>610</v>
      </c>
      <c r="E207" s="167"/>
      <c r="F207" s="183" t="s">
        <v>442</v>
      </c>
      <c r="G207" s="171">
        <v>1</v>
      </c>
      <c r="H207" s="172"/>
      <c r="I207" s="173"/>
      <c r="J207" s="174"/>
      <c r="K207" s="174" t="str">
        <f>VLOOKUP(B207,电搭接情况统计!$B$2:$H$423,7,0)</f>
        <v>CPS1330</v>
      </c>
      <c r="L207" s="175"/>
      <c r="M207" s="167"/>
      <c r="N207" s="202" t="s">
        <v>26</v>
      </c>
      <c r="O207" s="202" t="s">
        <v>26</v>
      </c>
      <c r="P207" s="179"/>
      <c r="Q207" s="179"/>
      <c r="R207" s="179"/>
      <c r="S207" s="13" t="s">
        <v>27</v>
      </c>
    </row>
    <row r="208" spans="1:19">
      <c r="A208" s="167" t="s">
        <v>438</v>
      </c>
      <c r="B208" s="184" t="s">
        <v>611</v>
      </c>
      <c r="C208" s="167" t="s">
        <v>612</v>
      </c>
      <c r="D208" s="178" t="s">
        <v>613</v>
      </c>
      <c r="E208" s="167"/>
      <c r="F208" s="183" t="s">
        <v>442</v>
      </c>
      <c r="G208" s="171">
        <v>1</v>
      </c>
      <c r="H208" s="172"/>
      <c r="I208" s="173"/>
      <c r="J208" s="174"/>
      <c r="K208" s="174"/>
      <c r="L208" s="175"/>
      <c r="M208" s="167"/>
      <c r="N208" s="202" t="s">
        <v>32</v>
      </c>
      <c r="O208" s="202" t="s">
        <v>32</v>
      </c>
      <c r="P208" s="179"/>
      <c r="Q208" s="179"/>
      <c r="R208" s="179"/>
      <c r="S208" s="13" t="s">
        <v>27</v>
      </c>
    </row>
    <row r="209" spans="1:19">
      <c r="A209" s="167" t="s">
        <v>438</v>
      </c>
      <c r="B209" s="184" t="s">
        <v>614</v>
      </c>
      <c r="C209" s="167" t="s">
        <v>612</v>
      </c>
      <c r="D209" s="178" t="s">
        <v>615</v>
      </c>
      <c r="E209" s="167"/>
      <c r="F209" s="183" t="s">
        <v>442</v>
      </c>
      <c r="G209" s="171">
        <v>1</v>
      </c>
      <c r="H209" s="172"/>
      <c r="I209" s="173"/>
      <c r="J209" s="174"/>
      <c r="K209" s="174"/>
      <c r="L209" s="175"/>
      <c r="M209" s="167"/>
      <c r="N209" s="202" t="s">
        <v>32</v>
      </c>
      <c r="O209" s="202" t="s">
        <v>32</v>
      </c>
      <c r="P209" s="179"/>
      <c r="Q209" s="179"/>
      <c r="R209" s="179"/>
      <c r="S209" s="13" t="s">
        <v>27</v>
      </c>
    </row>
    <row r="210" spans="1:19">
      <c r="A210" s="167" t="s">
        <v>438</v>
      </c>
      <c r="B210" s="184" t="s">
        <v>616</v>
      </c>
      <c r="C210" s="167" t="s">
        <v>612</v>
      </c>
      <c r="D210" s="178" t="s">
        <v>617</v>
      </c>
      <c r="E210" s="167"/>
      <c r="F210" s="183" t="s">
        <v>442</v>
      </c>
      <c r="G210" s="171">
        <v>1</v>
      </c>
      <c r="H210" s="172"/>
      <c r="I210" s="173"/>
      <c r="J210" s="174"/>
      <c r="K210" s="174"/>
      <c r="L210" s="175"/>
      <c r="M210" s="167"/>
      <c r="N210" s="202" t="s">
        <v>32</v>
      </c>
      <c r="O210" s="202" t="s">
        <v>32</v>
      </c>
      <c r="P210" s="179"/>
      <c r="Q210" s="179"/>
      <c r="R210" s="179"/>
      <c r="S210" s="13" t="s">
        <v>27</v>
      </c>
    </row>
    <row r="211" spans="1:19">
      <c r="A211" s="167" t="s">
        <v>438</v>
      </c>
      <c r="B211" s="184" t="s">
        <v>618</v>
      </c>
      <c r="C211" s="167" t="s">
        <v>612</v>
      </c>
      <c r="D211" s="178" t="s">
        <v>619</v>
      </c>
      <c r="E211" s="167"/>
      <c r="F211" s="183" t="s">
        <v>442</v>
      </c>
      <c r="G211" s="171">
        <v>1</v>
      </c>
      <c r="H211" s="172"/>
      <c r="I211" s="173"/>
      <c r="J211" s="174"/>
      <c r="K211" s="174"/>
      <c r="L211" s="175"/>
      <c r="M211" s="167"/>
      <c r="N211" s="202" t="s">
        <v>32</v>
      </c>
      <c r="O211" s="202" t="s">
        <v>32</v>
      </c>
      <c r="P211" s="179"/>
      <c r="Q211" s="179"/>
      <c r="R211" s="179"/>
      <c r="S211" s="13" t="s">
        <v>27</v>
      </c>
    </row>
    <row r="212" spans="1:19">
      <c r="A212" s="167" t="s">
        <v>438</v>
      </c>
      <c r="B212" s="184" t="s">
        <v>620</v>
      </c>
      <c r="C212" s="167" t="s">
        <v>621</v>
      </c>
      <c r="D212" s="178" t="s">
        <v>622</v>
      </c>
      <c r="E212" s="167"/>
      <c r="F212" s="183" t="s">
        <v>517</v>
      </c>
      <c r="G212" s="171">
        <v>1</v>
      </c>
      <c r="H212" s="172"/>
      <c r="I212" s="173"/>
      <c r="J212" s="174"/>
      <c r="K212" s="174" t="str">
        <f>VLOOKUP(B212,电搭接情况统计!$B$2:$H$423,7,0)</f>
        <v>CPS1330</v>
      </c>
      <c r="L212" s="175"/>
      <c r="M212" s="167"/>
      <c r="N212" s="202" t="s">
        <v>32</v>
      </c>
      <c r="O212" s="202" t="s">
        <v>32</v>
      </c>
      <c r="P212" s="179"/>
      <c r="Q212" s="179"/>
      <c r="R212" s="179"/>
      <c r="S212" s="13" t="s">
        <v>27</v>
      </c>
    </row>
    <row r="213" spans="1:19">
      <c r="A213" s="167" t="s">
        <v>438</v>
      </c>
      <c r="B213" s="184" t="s">
        <v>623</v>
      </c>
      <c r="C213" s="167" t="s">
        <v>621</v>
      </c>
      <c r="D213" s="178" t="s">
        <v>624</v>
      </c>
      <c r="E213" s="167"/>
      <c r="F213" s="183" t="s">
        <v>517</v>
      </c>
      <c r="G213" s="171">
        <v>1</v>
      </c>
      <c r="H213" s="172"/>
      <c r="I213" s="173"/>
      <c r="J213" s="174"/>
      <c r="K213" s="174" t="str">
        <f>VLOOKUP(B213,电搭接情况统计!$B$2:$H$423,7,0)</f>
        <v>CPS1330</v>
      </c>
      <c r="L213" s="175"/>
      <c r="M213" s="167"/>
      <c r="N213" s="202" t="s">
        <v>32</v>
      </c>
      <c r="O213" s="202" t="s">
        <v>32</v>
      </c>
      <c r="P213" s="179"/>
      <c r="Q213" s="179"/>
      <c r="R213" s="179"/>
      <c r="S213" s="13" t="s">
        <v>27</v>
      </c>
    </row>
    <row r="214" spans="1:19">
      <c r="A214" s="167" t="s">
        <v>438</v>
      </c>
      <c r="B214" s="184" t="s">
        <v>625</v>
      </c>
      <c r="C214" s="167" t="s">
        <v>626</v>
      </c>
      <c r="D214" s="178" t="s">
        <v>627</v>
      </c>
      <c r="E214" s="167"/>
      <c r="F214" s="183" t="s">
        <v>517</v>
      </c>
      <c r="G214" s="171">
        <v>1</v>
      </c>
      <c r="H214" s="172"/>
      <c r="I214" s="173"/>
      <c r="J214" s="174"/>
      <c r="K214" s="174"/>
      <c r="L214" s="175"/>
      <c r="M214" s="167"/>
      <c r="N214" s="202" t="s">
        <v>32</v>
      </c>
      <c r="O214" s="202" t="s">
        <v>32</v>
      </c>
      <c r="P214" s="179"/>
      <c r="Q214" s="179"/>
      <c r="R214" s="179"/>
      <c r="S214" s="13" t="s">
        <v>27</v>
      </c>
    </row>
    <row r="215" spans="1:19">
      <c r="A215" s="167" t="s">
        <v>438</v>
      </c>
      <c r="B215" s="184" t="s">
        <v>628</v>
      </c>
      <c r="C215" s="167" t="s">
        <v>626</v>
      </c>
      <c r="D215" s="178" t="s">
        <v>629</v>
      </c>
      <c r="E215" s="167"/>
      <c r="F215" s="183" t="s">
        <v>517</v>
      </c>
      <c r="G215" s="171">
        <v>1</v>
      </c>
      <c r="H215" s="172"/>
      <c r="I215" s="173"/>
      <c r="J215" s="174"/>
      <c r="K215" s="174"/>
      <c r="L215" s="175"/>
      <c r="M215" s="167"/>
      <c r="N215" s="202" t="s">
        <v>32</v>
      </c>
      <c r="O215" s="202" t="s">
        <v>32</v>
      </c>
      <c r="P215" s="179"/>
      <c r="Q215" s="179"/>
      <c r="R215" s="179"/>
      <c r="S215" s="13" t="s">
        <v>27</v>
      </c>
    </row>
    <row r="216" spans="1:19">
      <c r="A216" s="167" t="s">
        <v>438</v>
      </c>
      <c r="B216" s="184" t="s">
        <v>630</v>
      </c>
      <c r="C216" s="167" t="s">
        <v>631</v>
      </c>
      <c r="D216" s="178" t="s">
        <v>632</v>
      </c>
      <c r="E216" s="167"/>
      <c r="F216" s="183" t="s">
        <v>442</v>
      </c>
      <c r="G216" s="171">
        <v>1</v>
      </c>
      <c r="H216" s="172"/>
      <c r="I216" s="173"/>
      <c r="J216" s="174"/>
      <c r="K216" s="174" t="str">
        <f>VLOOKUP(B216,电搭接情况统计!$B$2:$H$423,7,0)</f>
        <v>CDS2001</v>
      </c>
      <c r="L216" s="175"/>
      <c r="M216" s="167"/>
      <c r="N216" s="202" t="s">
        <v>32</v>
      </c>
      <c r="O216" s="202" t="s">
        <v>32</v>
      </c>
      <c r="P216" s="179"/>
      <c r="Q216" s="179"/>
      <c r="R216" s="179"/>
      <c r="S216" s="13" t="s">
        <v>27</v>
      </c>
    </row>
    <row r="217" spans="1:19">
      <c r="A217" s="167" t="s">
        <v>438</v>
      </c>
      <c r="B217" s="184" t="s">
        <v>633</v>
      </c>
      <c r="C217" s="167" t="s">
        <v>631</v>
      </c>
      <c r="D217" s="178" t="s">
        <v>634</v>
      </c>
      <c r="E217" s="167"/>
      <c r="F217" s="183" t="s">
        <v>442</v>
      </c>
      <c r="G217" s="171">
        <v>1</v>
      </c>
      <c r="H217" s="172"/>
      <c r="I217" s="173"/>
      <c r="J217" s="174"/>
      <c r="K217" s="174" t="str">
        <f>VLOOKUP(B217,电搭接情况统计!$B$2:$H$423,7,0)</f>
        <v>CDS2001</v>
      </c>
      <c r="L217" s="175"/>
      <c r="M217" s="167"/>
      <c r="N217" s="202" t="s">
        <v>32</v>
      </c>
      <c r="O217" s="202" t="s">
        <v>32</v>
      </c>
      <c r="P217" s="179"/>
      <c r="Q217" s="179"/>
      <c r="R217" s="179"/>
      <c r="S217" s="13" t="s">
        <v>27</v>
      </c>
    </row>
    <row r="218" spans="1:19">
      <c r="A218" s="167" t="s">
        <v>438</v>
      </c>
      <c r="B218" s="184" t="s">
        <v>635</v>
      </c>
      <c r="C218" s="167" t="s">
        <v>631</v>
      </c>
      <c r="D218" s="178" t="s">
        <v>636</v>
      </c>
      <c r="E218" s="167"/>
      <c r="F218" s="183" t="s">
        <v>442</v>
      </c>
      <c r="G218" s="171">
        <v>1</v>
      </c>
      <c r="H218" s="172"/>
      <c r="I218" s="173"/>
      <c r="J218" s="174"/>
      <c r="K218" s="174" t="str">
        <f>VLOOKUP(B218,电搭接情况统计!$B$2:$H$423,7,0)</f>
        <v>CDS2001</v>
      </c>
      <c r="L218" s="175"/>
      <c r="M218" s="167"/>
      <c r="N218" s="202" t="s">
        <v>32</v>
      </c>
      <c r="O218" s="202" t="s">
        <v>32</v>
      </c>
      <c r="P218" s="179"/>
      <c r="Q218" s="179"/>
      <c r="R218" s="179"/>
      <c r="S218" s="13" t="s">
        <v>27</v>
      </c>
    </row>
    <row r="219" spans="1:19">
      <c r="A219" s="167" t="s">
        <v>438</v>
      </c>
      <c r="B219" s="184" t="s">
        <v>637</v>
      </c>
      <c r="C219" s="167" t="s">
        <v>631</v>
      </c>
      <c r="D219" s="178" t="s">
        <v>638</v>
      </c>
      <c r="E219" s="167"/>
      <c r="F219" s="183" t="s">
        <v>442</v>
      </c>
      <c r="G219" s="171">
        <v>1</v>
      </c>
      <c r="H219" s="172"/>
      <c r="I219" s="173"/>
      <c r="J219" s="174"/>
      <c r="K219" s="174" t="str">
        <f>VLOOKUP(B219,电搭接情况统计!$B$2:$H$423,7,0)</f>
        <v>CDS2001</v>
      </c>
      <c r="L219" s="175"/>
      <c r="M219" s="167"/>
      <c r="N219" s="202" t="s">
        <v>32</v>
      </c>
      <c r="O219" s="202" t="s">
        <v>32</v>
      </c>
      <c r="P219" s="179"/>
      <c r="Q219" s="179"/>
      <c r="R219" s="179"/>
      <c r="S219" s="13" t="s">
        <v>27</v>
      </c>
    </row>
    <row r="220" spans="1:19">
      <c r="A220" s="167" t="s">
        <v>438</v>
      </c>
      <c r="B220" s="184" t="s">
        <v>639</v>
      </c>
      <c r="C220" s="167" t="s">
        <v>640</v>
      </c>
      <c r="D220" s="178" t="s">
        <v>641</v>
      </c>
      <c r="E220" s="167"/>
      <c r="F220" s="183" t="s">
        <v>442</v>
      </c>
      <c r="G220" s="171">
        <v>1</v>
      </c>
      <c r="H220" s="172"/>
      <c r="I220" s="173"/>
      <c r="J220" s="174"/>
      <c r="K220" s="174" t="str">
        <f>VLOOKUP(B220,电搭接情况统计!$B$2:$H$423,7,0)</f>
        <v>CDS2001</v>
      </c>
      <c r="L220" s="175"/>
      <c r="M220" s="167"/>
      <c r="N220" s="202" t="s">
        <v>32</v>
      </c>
      <c r="O220" s="202" t="s">
        <v>32</v>
      </c>
      <c r="P220" s="179"/>
      <c r="Q220" s="179"/>
      <c r="R220" s="179"/>
      <c r="S220" s="13" t="s">
        <v>27</v>
      </c>
    </row>
    <row r="221" spans="1:19">
      <c r="A221" s="167" t="s">
        <v>438</v>
      </c>
      <c r="B221" s="184" t="s">
        <v>642</v>
      </c>
      <c r="C221" s="167" t="s">
        <v>640</v>
      </c>
      <c r="D221" s="178" t="s">
        <v>643</v>
      </c>
      <c r="E221" s="167"/>
      <c r="F221" s="183" t="s">
        <v>442</v>
      </c>
      <c r="G221" s="171">
        <v>1</v>
      </c>
      <c r="H221" s="172"/>
      <c r="I221" s="173"/>
      <c r="J221" s="174"/>
      <c r="K221" s="174" t="str">
        <f>VLOOKUP(B221,电搭接情况统计!$B$2:$H$423,7,0)</f>
        <v>CDS2001</v>
      </c>
      <c r="L221" s="175"/>
      <c r="M221" s="167"/>
      <c r="N221" s="202" t="s">
        <v>32</v>
      </c>
      <c r="O221" s="202" t="s">
        <v>32</v>
      </c>
      <c r="P221" s="179"/>
      <c r="Q221" s="179"/>
      <c r="R221" s="179"/>
      <c r="S221" s="13" t="s">
        <v>27</v>
      </c>
    </row>
    <row r="222" spans="1:19">
      <c r="A222" s="167" t="s">
        <v>438</v>
      </c>
      <c r="B222" s="184" t="s">
        <v>644</v>
      </c>
      <c r="C222" s="167" t="s">
        <v>640</v>
      </c>
      <c r="D222" s="178" t="s">
        <v>645</v>
      </c>
      <c r="E222" s="167"/>
      <c r="F222" s="183" t="s">
        <v>442</v>
      </c>
      <c r="G222" s="171">
        <v>1</v>
      </c>
      <c r="H222" s="172"/>
      <c r="I222" s="173"/>
      <c r="J222" s="174"/>
      <c r="K222" s="174" t="str">
        <f>VLOOKUP(B222,电搭接情况统计!$B$2:$H$423,7,0)</f>
        <v>CDS2001</v>
      </c>
      <c r="L222" s="175"/>
      <c r="M222" s="167"/>
      <c r="N222" s="202" t="s">
        <v>32</v>
      </c>
      <c r="O222" s="202" t="s">
        <v>32</v>
      </c>
      <c r="P222" s="179"/>
      <c r="Q222" s="179"/>
      <c r="R222" s="179"/>
      <c r="S222" s="13" t="s">
        <v>27</v>
      </c>
    </row>
    <row r="223" spans="1:19">
      <c r="A223" s="167" t="s">
        <v>438</v>
      </c>
      <c r="B223" s="184" t="s">
        <v>646</v>
      </c>
      <c r="C223" s="167" t="s">
        <v>640</v>
      </c>
      <c r="D223" s="178" t="s">
        <v>647</v>
      </c>
      <c r="E223" s="167"/>
      <c r="F223" s="183" t="s">
        <v>442</v>
      </c>
      <c r="G223" s="171">
        <v>1</v>
      </c>
      <c r="H223" s="172"/>
      <c r="I223" s="173"/>
      <c r="J223" s="174"/>
      <c r="K223" s="174" t="str">
        <f>VLOOKUP(B223,电搭接情况统计!$B$2:$H$423,7,0)</f>
        <v>CDS2001</v>
      </c>
      <c r="L223" s="175"/>
      <c r="M223" s="167"/>
      <c r="N223" s="202" t="s">
        <v>32</v>
      </c>
      <c r="O223" s="202" t="s">
        <v>32</v>
      </c>
      <c r="P223" s="179"/>
      <c r="Q223" s="179"/>
      <c r="R223" s="179"/>
      <c r="S223" s="13" t="s">
        <v>27</v>
      </c>
    </row>
    <row r="224" spans="1:19">
      <c r="A224" s="167" t="s">
        <v>438</v>
      </c>
      <c r="B224" s="184" t="s">
        <v>648</v>
      </c>
      <c r="C224" s="167" t="s">
        <v>649</v>
      </c>
      <c r="D224" s="178" t="s">
        <v>650</v>
      </c>
      <c r="E224" s="167"/>
      <c r="F224" s="183" t="s">
        <v>442</v>
      </c>
      <c r="G224" s="171">
        <v>1</v>
      </c>
      <c r="H224" s="172"/>
      <c r="I224" s="173"/>
      <c r="J224" s="174"/>
      <c r="K224" s="174" t="str">
        <f>VLOOKUP(B224,电搭接情况统计!$B$2:$H$423,7,0)</f>
        <v>CDS2001</v>
      </c>
      <c r="L224" s="175"/>
      <c r="M224" s="167"/>
      <c r="N224" s="202" t="s">
        <v>32</v>
      </c>
      <c r="O224" s="202" t="s">
        <v>32</v>
      </c>
      <c r="P224" s="179"/>
      <c r="Q224" s="179"/>
      <c r="R224" s="179"/>
      <c r="S224" s="13" t="s">
        <v>27</v>
      </c>
    </row>
    <row r="225" spans="1:19">
      <c r="A225" s="167" t="s">
        <v>438</v>
      </c>
      <c r="B225" s="184" t="s">
        <v>651</v>
      </c>
      <c r="C225" s="167" t="s">
        <v>649</v>
      </c>
      <c r="D225" s="178" t="s">
        <v>652</v>
      </c>
      <c r="E225" s="167"/>
      <c r="F225" s="183" t="s">
        <v>442</v>
      </c>
      <c r="G225" s="171">
        <v>1</v>
      </c>
      <c r="H225" s="172"/>
      <c r="I225" s="173"/>
      <c r="J225" s="174"/>
      <c r="K225" s="174" t="str">
        <f>VLOOKUP(B225,电搭接情况统计!$B$2:$H$423,7,0)</f>
        <v>CDS2001</v>
      </c>
      <c r="L225" s="175"/>
      <c r="M225" s="167"/>
      <c r="N225" s="202" t="s">
        <v>32</v>
      </c>
      <c r="O225" s="202" t="s">
        <v>32</v>
      </c>
      <c r="P225" s="179"/>
      <c r="Q225" s="179"/>
      <c r="R225" s="179"/>
      <c r="S225" s="13" t="s">
        <v>27</v>
      </c>
    </row>
    <row r="226" spans="1:19">
      <c r="A226" s="167" t="s">
        <v>438</v>
      </c>
      <c r="B226" s="184" t="s">
        <v>653</v>
      </c>
      <c r="C226" s="167" t="s">
        <v>649</v>
      </c>
      <c r="D226" s="178" t="s">
        <v>654</v>
      </c>
      <c r="E226" s="167"/>
      <c r="F226" s="183" t="s">
        <v>442</v>
      </c>
      <c r="G226" s="171">
        <v>1</v>
      </c>
      <c r="H226" s="172"/>
      <c r="I226" s="173"/>
      <c r="J226" s="174"/>
      <c r="K226" s="174" t="str">
        <f>VLOOKUP(B226,电搭接情况统计!$B$2:$H$423,7,0)</f>
        <v>CDS2001</v>
      </c>
      <c r="L226" s="175"/>
      <c r="M226" s="167"/>
      <c r="N226" s="202" t="s">
        <v>32</v>
      </c>
      <c r="O226" s="202" t="s">
        <v>32</v>
      </c>
      <c r="P226" s="179"/>
      <c r="Q226" s="179"/>
      <c r="R226" s="179"/>
      <c r="S226" s="13" t="s">
        <v>27</v>
      </c>
    </row>
    <row r="227" spans="1:19">
      <c r="A227" s="167" t="s">
        <v>438</v>
      </c>
      <c r="B227" s="184" t="s">
        <v>655</v>
      </c>
      <c r="C227" s="167" t="s">
        <v>649</v>
      </c>
      <c r="D227" s="178" t="s">
        <v>656</v>
      </c>
      <c r="E227" s="167"/>
      <c r="F227" s="183" t="s">
        <v>442</v>
      </c>
      <c r="G227" s="171">
        <v>1</v>
      </c>
      <c r="H227" s="172"/>
      <c r="I227" s="173"/>
      <c r="J227" s="174"/>
      <c r="K227" s="174" t="str">
        <f>VLOOKUP(B227,电搭接情况统计!$B$2:$H$423,7,0)</f>
        <v>CDS2001</v>
      </c>
      <c r="L227" s="175"/>
      <c r="M227" s="167"/>
      <c r="N227" s="202" t="s">
        <v>32</v>
      </c>
      <c r="O227" s="202" t="s">
        <v>32</v>
      </c>
      <c r="P227" s="179"/>
      <c r="Q227" s="179"/>
      <c r="R227" s="179"/>
      <c r="S227" s="13" t="s">
        <v>27</v>
      </c>
    </row>
    <row r="228" spans="1:19">
      <c r="A228" s="167" t="s">
        <v>438</v>
      </c>
      <c r="B228" s="146" t="s">
        <v>657</v>
      </c>
      <c r="C228" s="167" t="s">
        <v>658</v>
      </c>
      <c r="D228" s="178" t="s">
        <v>659</v>
      </c>
      <c r="E228" s="167"/>
      <c r="F228" s="183" t="s">
        <v>44</v>
      </c>
      <c r="G228" s="171">
        <v>2</v>
      </c>
      <c r="H228" s="172"/>
      <c r="I228" s="173"/>
      <c r="J228" s="174"/>
      <c r="K228" s="174" t="str">
        <f>VLOOKUP(B228,电搭接情况统计!$B$2:$H$423,7,0)</f>
        <v>CPS1330壳体面面搭接</v>
      </c>
      <c r="L228" s="175"/>
      <c r="M228" s="167"/>
      <c r="N228" s="202" t="s">
        <v>26</v>
      </c>
      <c r="O228" s="202" t="s">
        <v>26</v>
      </c>
      <c r="P228" s="179"/>
      <c r="Q228" s="179"/>
      <c r="R228" s="179"/>
      <c r="S228" s="13" t="s">
        <v>27</v>
      </c>
    </row>
    <row r="229" spans="1:19">
      <c r="A229" s="167" t="s">
        <v>438</v>
      </c>
      <c r="B229" s="146" t="s">
        <v>660</v>
      </c>
      <c r="C229" s="167" t="s">
        <v>661</v>
      </c>
      <c r="D229" s="178" t="s">
        <v>662</v>
      </c>
      <c r="E229" s="167"/>
      <c r="F229" s="183" t="s">
        <v>44</v>
      </c>
      <c r="G229" s="171">
        <v>2</v>
      </c>
      <c r="H229" s="172"/>
      <c r="I229" s="173"/>
      <c r="J229" s="174"/>
      <c r="K229" s="174" t="str">
        <f>VLOOKUP(B229,电搭接情况统计!$B$2:$H$423,7,0)</f>
        <v>CPS1330壳体面面搭接</v>
      </c>
      <c r="L229" s="175"/>
      <c r="M229" s="167"/>
      <c r="N229" s="202" t="s">
        <v>26</v>
      </c>
      <c r="O229" s="202" t="s">
        <v>26</v>
      </c>
      <c r="P229" s="179"/>
      <c r="Q229" s="179"/>
      <c r="R229" s="179"/>
      <c r="S229" s="13" t="s">
        <v>27</v>
      </c>
    </row>
    <row r="230" spans="1:19">
      <c r="A230" s="167" t="s">
        <v>438</v>
      </c>
      <c r="B230" s="184" t="s">
        <v>663</v>
      </c>
      <c r="C230" s="167" t="s">
        <v>664</v>
      </c>
      <c r="D230" s="178" t="s">
        <v>665</v>
      </c>
      <c r="E230" s="167"/>
      <c r="F230" s="183" t="s">
        <v>119</v>
      </c>
      <c r="G230" s="171">
        <v>1</v>
      </c>
      <c r="H230" s="172" t="s">
        <v>321</v>
      </c>
      <c r="I230" s="173"/>
      <c r="J230" s="174"/>
      <c r="K230" s="174" t="str">
        <f>VLOOKUP(B230,电搭接情况统计!$B$2:$H$423,7,0)</f>
        <v>CPS1330搭接线</v>
      </c>
      <c r="L230" s="175"/>
      <c r="M230" s="167"/>
      <c r="N230" s="202" t="s">
        <v>26</v>
      </c>
      <c r="O230" s="202" t="s">
        <v>26</v>
      </c>
      <c r="P230" s="179"/>
      <c r="Q230" s="179"/>
      <c r="R230" s="179"/>
      <c r="S230" s="13" t="s">
        <v>27</v>
      </c>
    </row>
    <row r="231" spans="1:19">
      <c r="A231" s="167" t="s">
        <v>438</v>
      </c>
      <c r="B231" s="184" t="s">
        <v>666</v>
      </c>
      <c r="C231" s="167" t="s">
        <v>667</v>
      </c>
      <c r="D231" s="178" t="s">
        <v>668</v>
      </c>
      <c r="E231" s="167"/>
      <c r="F231" s="183" t="s">
        <v>517</v>
      </c>
      <c r="G231" s="171">
        <v>1</v>
      </c>
      <c r="H231" s="172"/>
      <c r="I231" s="173"/>
      <c r="J231" s="174"/>
      <c r="K231" s="174" t="str">
        <f>VLOOKUP(B231,电搭接情况统计!$B$2:$H$423,7,0)</f>
        <v>CPS1330，设备壳体面面搭接</v>
      </c>
      <c r="L231" s="175"/>
      <c r="M231" s="167"/>
      <c r="N231" s="202" t="s">
        <v>26</v>
      </c>
      <c r="O231" s="202" t="s">
        <v>26</v>
      </c>
      <c r="P231" s="179"/>
      <c r="Q231" s="179"/>
      <c r="R231" s="179"/>
      <c r="S231" s="13" t="s">
        <v>27</v>
      </c>
    </row>
    <row r="232" spans="1:19">
      <c r="A232" s="167" t="s">
        <v>438</v>
      </c>
      <c r="B232" s="184" t="s">
        <v>669</v>
      </c>
      <c r="C232" s="167" t="s">
        <v>670</v>
      </c>
      <c r="D232" s="178" t="s">
        <v>671</v>
      </c>
      <c r="E232" s="167"/>
      <c r="F232" s="183" t="s">
        <v>517</v>
      </c>
      <c r="G232" s="171">
        <v>1</v>
      </c>
      <c r="H232" s="172"/>
      <c r="I232" s="173"/>
      <c r="J232" s="174"/>
      <c r="K232" s="174" t="str">
        <f>VLOOKUP(B232,电搭接情况统计!$B$2:$H$423,7,0)</f>
        <v>CPS1331，设备壳体面面搭接</v>
      </c>
      <c r="L232" s="175"/>
      <c r="M232" s="167"/>
      <c r="N232" s="202" t="s">
        <v>26</v>
      </c>
      <c r="O232" s="202" t="s">
        <v>26</v>
      </c>
      <c r="P232" s="179"/>
      <c r="Q232" s="179"/>
      <c r="R232" s="179"/>
      <c r="S232" s="13" t="s">
        <v>27</v>
      </c>
    </row>
    <row r="233" spans="1:19">
      <c r="A233" s="167" t="s">
        <v>438</v>
      </c>
      <c r="B233" s="146" t="s">
        <v>672</v>
      </c>
      <c r="C233" s="167" t="s">
        <v>673</v>
      </c>
      <c r="D233" s="178" t="s">
        <v>674</v>
      </c>
      <c r="E233" s="167"/>
      <c r="F233" s="183" t="s">
        <v>517</v>
      </c>
      <c r="G233" s="171">
        <v>1</v>
      </c>
      <c r="H233" s="172"/>
      <c r="I233" s="173"/>
      <c r="J233" s="174"/>
      <c r="K233" s="174" t="str">
        <f>VLOOKUP(B233,电搭接情况统计!$B$2:$H$423,7,0)</f>
        <v>CPS1330</v>
      </c>
      <c r="L233" s="175"/>
      <c r="M233" s="167"/>
      <c r="N233" s="202" t="s">
        <v>26</v>
      </c>
      <c r="O233" s="202" t="s">
        <v>32</v>
      </c>
      <c r="P233" s="179"/>
      <c r="Q233" s="179"/>
      <c r="R233" s="179"/>
      <c r="S233" s="13" t="s">
        <v>27</v>
      </c>
    </row>
    <row r="234" spans="1:19">
      <c r="A234" s="167" t="s">
        <v>438</v>
      </c>
      <c r="B234" s="146" t="s">
        <v>675</v>
      </c>
      <c r="C234" s="167" t="s">
        <v>673</v>
      </c>
      <c r="D234" s="178" t="s">
        <v>676</v>
      </c>
      <c r="E234" s="167"/>
      <c r="F234" s="183" t="s">
        <v>517</v>
      </c>
      <c r="G234" s="171">
        <v>1</v>
      </c>
      <c r="H234" s="172"/>
      <c r="I234" s="173"/>
      <c r="J234" s="174"/>
      <c r="K234" s="174" t="str">
        <f>VLOOKUP(B234,电搭接情况统计!$B$2:$H$423,7,0)</f>
        <v>CPS1330</v>
      </c>
      <c r="L234" s="175"/>
      <c r="M234" s="167"/>
      <c r="N234" s="202" t="s">
        <v>26</v>
      </c>
      <c r="O234" s="202" t="s">
        <v>32</v>
      </c>
      <c r="P234" s="179"/>
      <c r="Q234" s="179"/>
      <c r="R234" s="179"/>
      <c r="S234" s="13" t="s">
        <v>27</v>
      </c>
    </row>
    <row r="235" spans="1:19">
      <c r="A235" s="167" t="s">
        <v>438</v>
      </c>
      <c r="B235" s="184" t="s">
        <v>677</v>
      </c>
      <c r="C235" s="167" t="s">
        <v>678</v>
      </c>
      <c r="D235" s="178" t="s">
        <v>679</v>
      </c>
      <c r="E235" s="167"/>
      <c r="F235" s="183" t="s">
        <v>36</v>
      </c>
      <c r="G235" s="171">
        <v>1</v>
      </c>
      <c r="H235" s="172"/>
      <c r="I235" s="182" t="str">
        <f>VLOOKUP($B235,设备架接口信息!$A$1:$G$69,4,0)</f>
        <v>2MCU托架安装，A类锁紧器</v>
      </c>
      <c r="J235" s="175" t="str">
        <f>VLOOKUP($B235,设备架接口信息!$A$1:$G$69,5,0)</f>
        <v>面搭接</v>
      </c>
      <c r="K235" s="174" t="str">
        <f>VLOOKUP(B235,电搭接情况统计!$B$2:$H$423,7,0)</f>
        <v>CPS1330设备壳体-托架-机体支架面面搭接</v>
      </c>
      <c r="L235" s="175">
        <f>VLOOKUP($B235,设备架接口信息!$A$1:$G$69,6,0)</f>
        <v>6</v>
      </c>
      <c r="M235" s="167"/>
      <c r="N235" s="202" t="s">
        <v>26</v>
      </c>
      <c r="O235" s="202" t="s">
        <v>26</v>
      </c>
      <c r="P235" s="179"/>
      <c r="Q235" s="179"/>
      <c r="R235" s="179"/>
      <c r="S235" s="67" t="s">
        <v>37</v>
      </c>
    </row>
    <row r="236" spans="1:19">
      <c r="A236" s="167" t="s">
        <v>438</v>
      </c>
      <c r="B236" s="184" t="s">
        <v>680</v>
      </c>
      <c r="C236" s="167" t="s">
        <v>678</v>
      </c>
      <c r="D236" s="217" t="s">
        <v>681</v>
      </c>
      <c r="E236" s="167"/>
      <c r="F236" s="196" t="s">
        <v>320</v>
      </c>
      <c r="G236" s="171">
        <v>1</v>
      </c>
      <c r="H236" s="172"/>
      <c r="I236" s="182" t="str">
        <f>VLOOKUP($B236,设备架接口信息!$A$1:$G$69,4,0)</f>
        <v>2MCU托架安装，A类锁紧器</v>
      </c>
      <c r="J236" s="175" t="str">
        <f>VLOOKUP($B236,设备架接口信息!$A$1:$G$69,5,0)</f>
        <v>面搭接</v>
      </c>
      <c r="K236" s="174" t="str">
        <f>VLOOKUP(B236,电搭接情况统计!$B$2:$H$423,7,0)</f>
        <v>CPS1330设备壳体-托架-机体支架面面搭接</v>
      </c>
      <c r="L236" s="175">
        <f>VLOOKUP($B236,设备架接口信息!$A$1:$G$69,6,0)</f>
        <v>6</v>
      </c>
      <c r="M236" s="167"/>
      <c r="N236" s="202" t="s">
        <v>26</v>
      </c>
      <c r="O236" s="202" t="s">
        <v>26</v>
      </c>
      <c r="P236" s="179"/>
      <c r="Q236" s="179"/>
      <c r="R236" s="179"/>
      <c r="S236" s="67" t="s">
        <v>37</v>
      </c>
    </row>
    <row r="237" spans="1:19">
      <c r="A237" s="167" t="s">
        <v>438</v>
      </c>
      <c r="B237" s="146" t="s">
        <v>682</v>
      </c>
      <c r="C237" s="167" t="s">
        <v>683</v>
      </c>
      <c r="D237" s="217" t="s">
        <v>684</v>
      </c>
      <c r="E237" s="167"/>
      <c r="F237" s="183" t="s">
        <v>683</v>
      </c>
      <c r="G237" s="171">
        <v>1</v>
      </c>
      <c r="H237" s="172"/>
      <c r="I237" s="173"/>
      <c r="J237" s="174"/>
      <c r="K237" s="174"/>
      <c r="L237" s="175"/>
      <c r="M237" s="167"/>
      <c r="N237" s="202" t="s">
        <v>32</v>
      </c>
      <c r="O237" s="202" t="s">
        <v>32</v>
      </c>
      <c r="P237" s="179"/>
      <c r="Q237" s="179"/>
      <c r="R237" s="179"/>
      <c r="S237" s="13" t="s">
        <v>27</v>
      </c>
    </row>
    <row r="238" spans="1:19">
      <c r="A238" s="167" t="s">
        <v>685</v>
      </c>
      <c r="B238" s="146" t="s">
        <v>686</v>
      </c>
      <c r="C238" s="167" t="s">
        <v>687</v>
      </c>
      <c r="D238" s="178" t="s">
        <v>688</v>
      </c>
      <c r="E238" s="167"/>
      <c r="F238" s="183" t="s">
        <v>50</v>
      </c>
      <c r="G238" s="171">
        <v>2</v>
      </c>
      <c r="H238" s="172"/>
      <c r="I238" s="173"/>
      <c r="J238" s="174"/>
      <c r="K238" s="174"/>
      <c r="L238" s="175"/>
      <c r="M238" s="167"/>
      <c r="N238" s="202" t="s">
        <v>26</v>
      </c>
      <c r="O238" s="202" t="s">
        <v>26</v>
      </c>
      <c r="P238" s="179"/>
      <c r="Q238" s="179"/>
      <c r="R238" s="179"/>
      <c r="S238" s="13" t="s">
        <v>27</v>
      </c>
    </row>
    <row r="239" spans="1:19">
      <c r="A239" s="167" t="s">
        <v>685</v>
      </c>
      <c r="B239" s="146" t="s">
        <v>689</v>
      </c>
      <c r="C239" s="167" t="s">
        <v>690</v>
      </c>
      <c r="D239" s="178" t="s">
        <v>691</v>
      </c>
      <c r="E239" s="167"/>
      <c r="F239" s="183" t="s">
        <v>186</v>
      </c>
      <c r="G239" s="171">
        <v>2</v>
      </c>
      <c r="H239" s="172"/>
      <c r="I239" s="173"/>
      <c r="J239" s="174"/>
      <c r="K239" s="174"/>
      <c r="L239" s="175"/>
      <c r="M239" s="167"/>
      <c r="N239" s="202" t="s">
        <v>26</v>
      </c>
      <c r="O239" s="202" t="s">
        <v>26</v>
      </c>
      <c r="P239" s="179"/>
      <c r="Q239" s="179"/>
      <c r="R239" s="179"/>
      <c r="S239" s="13" t="s">
        <v>27</v>
      </c>
    </row>
    <row r="240" spans="1:19">
      <c r="A240" s="167" t="s">
        <v>685</v>
      </c>
      <c r="B240" s="146" t="s">
        <v>692</v>
      </c>
      <c r="C240" s="167" t="s">
        <v>690</v>
      </c>
      <c r="D240" s="178" t="s">
        <v>693</v>
      </c>
      <c r="E240" s="167"/>
      <c r="F240" s="183" t="s">
        <v>186</v>
      </c>
      <c r="G240" s="171">
        <v>2</v>
      </c>
      <c r="H240" s="172"/>
      <c r="I240" s="173"/>
      <c r="J240" s="174"/>
      <c r="K240" s="174"/>
      <c r="L240" s="175"/>
      <c r="M240" s="167"/>
      <c r="N240" s="202" t="s">
        <v>26</v>
      </c>
      <c r="O240" s="202" t="s">
        <v>26</v>
      </c>
      <c r="P240" s="179"/>
      <c r="Q240" s="179"/>
      <c r="R240" s="179"/>
      <c r="S240" s="13" t="s">
        <v>27</v>
      </c>
    </row>
    <row r="241" spans="1:19">
      <c r="A241" s="167" t="s">
        <v>685</v>
      </c>
      <c r="B241" s="146" t="s">
        <v>694</v>
      </c>
      <c r="C241" s="167" t="s">
        <v>695</v>
      </c>
      <c r="D241" s="178" t="s">
        <v>696</v>
      </c>
      <c r="E241" s="167"/>
      <c r="F241" s="183" t="s">
        <v>186</v>
      </c>
      <c r="G241" s="171">
        <v>2</v>
      </c>
      <c r="H241" s="172"/>
      <c r="I241" s="173"/>
      <c r="J241" s="174"/>
      <c r="K241" s="174"/>
      <c r="L241" s="175"/>
      <c r="M241" s="167"/>
      <c r="N241" s="202" t="s">
        <v>26</v>
      </c>
      <c r="O241" s="202" t="s">
        <v>26</v>
      </c>
      <c r="P241" s="179"/>
      <c r="Q241" s="179"/>
      <c r="R241" s="179"/>
      <c r="S241" s="13" t="s">
        <v>27</v>
      </c>
    </row>
    <row r="242" spans="1:19">
      <c r="A242" s="167" t="s">
        <v>685</v>
      </c>
      <c r="B242" s="146" t="s">
        <v>697</v>
      </c>
      <c r="C242" s="167" t="s">
        <v>695</v>
      </c>
      <c r="D242" s="178" t="s">
        <v>698</v>
      </c>
      <c r="E242" s="167"/>
      <c r="F242" s="183" t="s">
        <v>186</v>
      </c>
      <c r="G242" s="171">
        <v>2</v>
      </c>
      <c r="H242" s="172"/>
      <c r="I242" s="173"/>
      <c r="J242" s="174"/>
      <c r="K242" s="174"/>
      <c r="L242" s="175"/>
      <c r="M242" s="167"/>
      <c r="N242" s="202" t="s">
        <v>26</v>
      </c>
      <c r="O242" s="202" t="s">
        <v>26</v>
      </c>
      <c r="P242" s="179"/>
      <c r="Q242" s="179"/>
      <c r="R242" s="179"/>
      <c r="S242" s="13" t="s">
        <v>27</v>
      </c>
    </row>
    <row r="243" spans="1:19">
      <c r="A243" s="167" t="s">
        <v>685</v>
      </c>
      <c r="B243" s="146" t="s">
        <v>699</v>
      </c>
      <c r="C243" s="167" t="s">
        <v>700</v>
      </c>
      <c r="D243" s="178" t="s">
        <v>701</v>
      </c>
      <c r="E243" s="167"/>
      <c r="F243" s="183" t="s">
        <v>186</v>
      </c>
      <c r="G243" s="171">
        <v>2</v>
      </c>
      <c r="H243" s="172"/>
      <c r="I243" s="173"/>
      <c r="J243" s="174"/>
      <c r="K243" s="174"/>
      <c r="L243" s="175"/>
      <c r="M243" s="167"/>
      <c r="N243" s="202" t="s">
        <v>26</v>
      </c>
      <c r="O243" s="202" t="s">
        <v>26</v>
      </c>
      <c r="P243" s="179"/>
      <c r="Q243" s="179"/>
      <c r="R243" s="179"/>
      <c r="S243" s="13" t="s">
        <v>27</v>
      </c>
    </row>
    <row r="244" spans="1:19">
      <c r="A244" s="167" t="s">
        <v>685</v>
      </c>
      <c r="B244" s="146" t="s">
        <v>702</v>
      </c>
      <c r="C244" s="167" t="s">
        <v>700</v>
      </c>
      <c r="D244" s="178" t="s">
        <v>703</v>
      </c>
      <c r="E244" s="167"/>
      <c r="F244" s="183" t="s">
        <v>186</v>
      </c>
      <c r="G244" s="171">
        <v>2</v>
      </c>
      <c r="H244" s="172"/>
      <c r="I244" s="173"/>
      <c r="J244" s="174"/>
      <c r="K244" s="174"/>
      <c r="L244" s="175"/>
      <c r="M244" s="167"/>
      <c r="N244" s="202" t="s">
        <v>26</v>
      </c>
      <c r="O244" s="202" t="s">
        <v>26</v>
      </c>
      <c r="P244" s="179"/>
      <c r="Q244" s="179"/>
      <c r="R244" s="179"/>
      <c r="S244" s="13" t="s">
        <v>27</v>
      </c>
    </row>
    <row r="245" spans="1:19">
      <c r="A245" s="167" t="s">
        <v>685</v>
      </c>
      <c r="B245" s="146" t="s">
        <v>704</v>
      </c>
      <c r="C245" s="167" t="s">
        <v>705</v>
      </c>
      <c r="D245" s="217" t="s">
        <v>706</v>
      </c>
      <c r="E245" s="167" t="s">
        <v>707</v>
      </c>
      <c r="F245" s="183" t="s">
        <v>708</v>
      </c>
      <c r="G245" s="171">
        <v>2</v>
      </c>
      <c r="H245" s="172"/>
      <c r="I245" s="173"/>
      <c r="J245" s="174"/>
      <c r="K245" s="174"/>
      <c r="L245" s="175"/>
      <c r="M245" s="167"/>
      <c r="N245" s="202" t="s">
        <v>26</v>
      </c>
      <c r="O245" s="202" t="s">
        <v>26</v>
      </c>
      <c r="P245" s="179"/>
      <c r="Q245" s="179"/>
      <c r="R245" s="179"/>
      <c r="S245" s="13" t="s">
        <v>27</v>
      </c>
    </row>
    <row r="246" spans="1:19">
      <c r="A246" s="167" t="s">
        <v>685</v>
      </c>
      <c r="B246" s="146" t="s">
        <v>709</v>
      </c>
      <c r="C246" s="167" t="s">
        <v>710</v>
      </c>
      <c r="D246" s="178" t="s">
        <v>711</v>
      </c>
      <c r="E246" s="167"/>
      <c r="F246" s="183" t="s">
        <v>50</v>
      </c>
      <c r="G246" s="171">
        <v>2</v>
      </c>
      <c r="H246" s="172"/>
      <c r="I246" s="173"/>
      <c r="J246" s="174"/>
      <c r="K246" s="174"/>
      <c r="L246" s="175"/>
      <c r="M246" s="167"/>
      <c r="N246" s="202" t="s">
        <v>26</v>
      </c>
      <c r="O246" s="202" t="s">
        <v>26</v>
      </c>
      <c r="P246" s="179"/>
      <c r="Q246" s="179"/>
      <c r="R246" s="179"/>
      <c r="S246" s="13" t="s">
        <v>27</v>
      </c>
    </row>
    <row r="247" spans="1:19">
      <c r="A247" s="167" t="s">
        <v>685</v>
      </c>
      <c r="B247" s="146" t="s">
        <v>712</v>
      </c>
      <c r="C247" s="167" t="s">
        <v>710</v>
      </c>
      <c r="D247" s="178" t="s">
        <v>713</v>
      </c>
      <c r="E247" s="167"/>
      <c r="F247" s="183" t="s">
        <v>50</v>
      </c>
      <c r="G247" s="171">
        <v>2</v>
      </c>
      <c r="H247" s="172"/>
      <c r="I247" s="173"/>
      <c r="J247" s="174"/>
      <c r="K247" s="174"/>
      <c r="L247" s="175"/>
      <c r="M247" s="167"/>
      <c r="N247" s="202" t="s">
        <v>26</v>
      </c>
      <c r="O247" s="202" t="s">
        <v>26</v>
      </c>
      <c r="P247" s="179"/>
      <c r="Q247" s="179"/>
      <c r="R247" s="179"/>
      <c r="S247" s="13" t="s">
        <v>27</v>
      </c>
    </row>
    <row r="248" ht="14.1" customHeight="1" spans="1:19">
      <c r="A248" s="167" t="s">
        <v>685</v>
      </c>
      <c r="B248" s="184" t="s">
        <v>714</v>
      </c>
      <c r="C248" s="167" t="s">
        <v>715</v>
      </c>
      <c r="D248" s="178" t="s">
        <v>716</v>
      </c>
      <c r="E248" s="189" t="s">
        <v>717</v>
      </c>
      <c r="F248" s="183" t="s">
        <v>718</v>
      </c>
      <c r="G248" s="171">
        <v>1</v>
      </c>
      <c r="H248" s="172"/>
      <c r="I248" s="173" t="s">
        <v>380</v>
      </c>
      <c r="J248" s="174"/>
      <c r="K248" s="174"/>
      <c r="L248" s="175">
        <v>0.106</v>
      </c>
      <c r="M248" s="167"/>
      <c r="N248" s="202" t="s">
        <v>26</v>
      </c>
      <c r="O248" s="202" t="s">
        <v>26</v>
      </c>
      <c r="P248" s="179"/>
      <c r="Q248" s="179"/>
      <c r="R248" s="179"/>
      <c r="S248" s="13" t="s">
        <v>27</v>
      </c>
    </row>
    <row r="249" spans="1:19">
      <c r="A249" s="167" t="s">
        <v>685</v>
      </c>
      <c r="B249" s="184" t="s">
        <v>719</v>
      </c>
      <c r="C249" s="167" t="s">
        <v>720</v>
      </c>
      <c r="D249" s="178" t="s">
        <v>721</v>
      </c>
      <c r="E249" s="189" t="s">
        <v>722</v>
      </c>
      <c r="F249" s="183" t="s">
        <v>723</v>
      </c>
      <c r="G249" s="171">
        <v>1</v>
      </c>
      <c r="H249" s="174" t="s">
        <v>724</v>
      </c>
      <c r="I249" s="173" t="s">
        <v>380</v>
      </c>
      <c r="J249" s="174"/>
      <c r="K249" s="174"/>
      <c r="L249" s="175">
        <v>0.096</v>
      </c>
      <c r="M249" s="167"/>
      <c r="N249" s="202" t="s">
        <v>26</v>
      </c>
      <c r="O249" s="202" t="s">
        <v>26</v>
      </c>
      <c r="P249" s="179"/>
      <c r="Q249" s="179"/>
      <c r="R249" s="179"/>
      <c r="S249" s="13" t="s">
        <v>27</v>
      </c>
    </row>
    <row r="250" spans="1:19">
      <c r="A250" s="167" t="s">
        <v>685</v>
      </c>
      <c r="B250" s="184" t="s">
        <v>725</v>
      </c>
      <c r="C250" s="167" t="s">
        <v>726</v>
      </c>
      <c r="D250" s="178" t="s">
        <v>727</v>
      </c>
      <c r="E250" s="189" t="s">
        <v>722</v>
      </c>
      <c r="F250" s="183" t="s">
        <v>723</v>
      </c>
      <c r="G250" s="171">
        <v>1</v>
      </c>
      <c r="H250" s="174" t="s">
        <v>724</v>
      </c>
      <c r="I250" s="173" t="s">
        <v>380</v>
      </c>
      <c r="J250" s="174"/>
      <c r="K250" s="174"/>
      <c r="L250" s="175">
        <v>0.096</v>
      </c>
      <c r="M250" s="167"/>
      <c r="N250" s="202" t="s">
        <v>26</v>
      </c>
      <c r="O250" s="202" t="s">
        <v>26</v>
      </c>
      <c r="P250" s="179"/>
      <c r="Q250" s="179"/>
      <c r="R250" s="179"/>
      <c r="S250" s="13" t="s">
        <v>27</v>
      </c>
    </row>
    <row r="251" spans="1:19">
      <c r="A251" s="167" t="s">
        <v>685</v>
      </c>
      <c r="B251" s="184" t="s">
        <v>728</v>
      </c>
      <c r="C251" s="167" t="s">
        <v>729</v>
      </c>
      <c r="D251" s="178" t="s">
        <v>730</v>
      </c>
      <c r="E251" s="189" t="s">
        <v>731</v>
      </c>
      <c r="F251" s="183" t="s">
        <v>723</v>
      </c>
      <c r="G251" s="171">
        <v>1</v>
      </c>
      <c r="H251" s="172"/>
      <c r="I251" s="173" t="s">
        <v>389</v>
      </c>
      <c r="J251" s="174"/>
      <c r="K251" s="174"/>
      <c r="L251" s="175">
        <v>0.44</v>
      </c>
      <c r="M251" s="167"/>
      <c r="N251" s="202" t="s">
        <v>26</v>
      </c>
      <c r="O251" s="202" t="s">
        <v>26</v>
      </c>
      <c r="P251" s="179"/>
      <c r="Q251" s="179"/>
      <c r="R251" s="179"/>
      <c r="S251" s="13" t="s">
        <v>27</v>
      </c>
    </row>
    <row r="252" spans="1:19">
      <c r="A252" s="167" t="s">
        <v>685</v>
      </c>
      <c r="B252" s="184" t="s">
        <v>732</v>
      </c>
      <c r="C252" s="167" t="s">
        <v>733</v>
      </c>
      <c r="D252" s="178" t="s">
        <v>734</v>
      </c>
      <c r="E252" s="189" t="s">
        <v>731</v>
      </c>
      <c r="F252" s="183" t="s">
        <v>723</v>
      </c>
      <c r="G252" s="171">
        <v>1</v>
      </c>
      <c r="H252" s="172"/>
      <c r="I252" s="173" t="s">
        <v>389</v>
      </c>
      <c r="J252" s="174"/>
      <c r="K252" s="174"/>
      <c r="L252" s="175">
        <v>0.44</v>
      </c>
      <c r="M252" s="167"/>
      <c r="N252" s="202" t="s">
        <v>26</v>
      </c>
      <c r="O252" s="202" t="s">
        <v>26</v>
      </c>
      <c r="P252" s="179"/>
      <c r="Q252" s="179"/>
      <c r="R252" s="179"/>
      <c r="S252" s="13" t="s">
        <v>27</v>
      </c>
    </row>
    <row r="253" spans="1:19">
      <c r="A253" s="167" t="s">
        <v>685</v>
      </c>
      <c r="B253" s="184" t="s">
        <v>735</v>
      </c>
      <c r="C253" s="167" t="s">
        <v>736</v>
      </c>
      <c r="D253" s="178" t="s">
        <v>737</v>
      </c>
      <c r="E253" s="189" t="s">
        <v>738</v>
      </c>
      <c r="F253" s="183" t="s">
        <v>31</v>
      </c>
      <c r="G253" s="171">
        <v>1</v>
      </c>
      <c r="H253" s="174" t="s">
        <v>739</v>
      </c>
      <c r="I253" s="173" t="s">
        <v>380</v>
      </c>
      <c r="J253" s="174" t="s">
        <v>372</v>
      </c>
      <c r="K253" s="174" t="str">
        <f>VLOOKUP(B253,电搭接情况统计!$B$2:$H$423,7,0)</f>
        <v>S类</v>
      </c>
      <c r="L253" s="175">
        <v>0.145</v>
      </c>
      <c r="M253" s="167"/>
      <c r="N253" s="202" t="s">
        <v>26</v>
      </c>
      <c r="O253" s="202" t="s">
        <v>26</v>
      </c>
      <c r="P253" s="179"/>
      <c r="Q253" s="179"/>
      <c r="R253" s="179"/>
      <c r="S253" s="13" t="s">
        <v>27</v>
      </c>
    </row>
    <row r="254" spans="1:19">
      <c r="A254" s="167" t="s">
        <v>685</v>
      </c>
      <c r="B254" s="184" t="s">
        <v>740</v>
      </c>
      <c r="C254" s="167" t="s">
        <v>736</v>
      </c>
      <c r="D254" s="178" t="s">
        <v>741</v>
      </c>
      <c r="E254" s="189" t="s">
        <v>738</v>
      </c>
      <c r="F254" s="183" t="s">
        <v>742</v>
      </c>
      <c r="G254" s="171">
        <v>1</v>
      </c>
      <c r="H254" s="174" t="s">
        <v>743</v>
      </c>
      <c r="I254" s="173" t="s">
        <v>380</v>
      </c>
      <c r="J254" s="174" t="s">
        <v>372</v>
      </c>
      <c r="K254" s="174" t="str">
        <f>VLOOKUP(B254,电搭接情况统计!$B$2:$H$423,7,0)</f>
        <v>S类</v>
      </c>
      <c r="L254" s="175">
        <v>0.145</v>
      </c>
      <c r="M254" s="167"/>
      <c r="N254" s="202" t="s">
        <v>26</v>
      </c>
      <c r="O254" s="202" t="s">
        <v>26</v>
      </c>
      <c r="P254" s="179"/>
      <c r="Q254" s="179"/>
      <c r="R254" s="179"/>
      <c r="S254" s="13" t="s">
        <v>27</v>
      </c>
    </row>
    <row r="255" spans="1:19">
      <c r="A255" s="167" t="s">
        <v>685</v>
      </c>
      <c r="B255" s="184" t="s">
        <v>744</v>
      </c>
      <c r="C255" s="167" t="s">
        <v>745</v>
      </c>
      <c r="D255" s="178" t="s">
        <v>746</v>
      </c>
      <c r="E255" s="189" t="s">
        <v>738</v>
      </c>
      <c r="F255" s="183" t="s">
        <v>723</v>
      </c>
      <c r="G255" s="171">
        <v>1</v>
      </c>
      <c r="H255" s="174" t="s">
        <v>724</v>
      </c>
      <c r="I255" s="173" t="s">
        <v>389</v>
      </c>
      <c r="J255" s="174" t="s">
        <v>372</v>
      </c>
      <c r="K255" s="174" t="str">
        <f>VLOOKUP(B255,电搭接情况统计!$B$2:$H$423,7,0)</f>
        <v>S类</v>
      </c>
      <c r="L255" s="175">
        <v>0.145</v>
      </c>
      <c r="M255" s="167"/>
      <c r="N255" s="202" t="s">
        <v>26</v>
      </c>
      <c r="O255" s="202" t="s">
        <v>26</v>
      </c>
      <c r="P255" s="179"/>
      <c r="Q255" s="179"/>
      <c r="R255" s="179"/>
      <c r="S255" s="13" t="s">
        <v>27</v>
      </c>
    </row>
    <row r="256" spans="1:19">
      <c r="A256" s="167" t="s">
        <v>685</v>
      </c>
      <c r="B256" s="184" t="s">
        <v>747</v>
      </c>
      <c r="C256" s="167" t="s">
        <v>745</v>
      </c>
      <c r="D256" s="178" t="s">
        <v>748</v>
      </c>
      <c r="E256" s="189" t="s">
        <v>738</v>
      </c>
      <c r="F256" s="183" t="s">
        <v>723</v>
      </c>
      <c r="G256" s="171">
        <v>1</v>
      </c>
      <c r="H256" s="174" t="s">
        <v>724</v>
      </c>
      <c r="I256" s="173" t="s">
        <v>389</v>
      </c>
      <c r="J256" s="174" t="s">
        <v>372</v>
      </c>
      <c r="K256" s="174" t="str">
        <f>VLOOKUP(B256,电搭接情况统计!$B$2:$H$423,7,0)</f>
        <v>S类</v>
      </c>
      <c r="L256" s="175">
        <v>0.145</v>
      </c>
      <c r="M256" s="167"/>
      <c r="N256" s="202" t="s">
        <v>26</v>
      </c>
      <c r="O256" s="202" t="s">
        <v>26</v>
      </c>
      <c r="P256" s="179"/>
      <c r="Q256" s="179"/>
      <c r="R256" s="179"/>
      <c r="S256" s="13" t="s">
        <v>27</v>
      </c>
    </row>
    <row r="257" spans="1:19">
      <c r="A257" s="167" t="s">
        <v>685</v>
      </c>
      <c r="B257" s="184" t="s">
        <v>749</v>
      </c>
      <c r="C257" s="167" t="s">
        <v>745</v>
      </c>
      <c r="D257" s="178" t="s">
        <v>750</v>
      </c>
      <c r="E257" s="189" t="s">
        <v>738</v>
      </c>
      <c r="F257" s="183" t="s">
        <v>718</v>
      </c>
      <c r="G257" s="171">
        <v>1</v>
      </c>
      <c r="H257" s="174" t="s">
        <v>751</v>
      </c>
      <c r="I257" s="173" t="s">
        <v>380</v>
      </c>
      <c r="J257" s="174" t="s">
        <v>372</v>
      </c>
      <c r="K257" s="174" t="str">
        <f>VLOOKUP(B257,电搭接情况统计!$B$2:$H$423,7,0)</f>
        <v>S类</v>
      </c>
      <c r="L257" s="175">
        <v>0.145</v>
      </c>
      <c r="M257" s="167"/>
      <c r="N257" s="202" t="s">
        <v>26</v>
      </c>
      <c r="O257" s="202" t="s">
        <v>26</v>
      </c>
      <c r="P257" s="179"/>
      <c r="Q257" s="179"/>
      <c r="R257" s="179"/>
      <c r="S257" s="13" t="s">
        <v>27</v>
      </c>
    </row>
    <row r="258" spans="1:19">
      <c r="A258" s="167" t="s">
        <v>685</v>
      </c>
      <c r="B258" s="184" t="s">
        <v>752</v>
      </c>
      <c r="C258" s="167" t="s">
        <v>745</v>
      </c>
      <c r="D258" s="178" t="s">
        <v>753</v>
      </c>
      <c r="E258" s="189" t="s">
        <v>738</v>
      </c>
      <c r="F258" s="183" t="s">
        <v>718</v>
      </c>
      <c r="G258" s="171">
        <v>1</v>
      </c>
      <c r="H258" s="174" t="s">
        <v>751</v>
      </c>
      <c r="I258" s="173" t="s">
        <v>380</v>
      </c>
      <c r="J258" s="174" t="s">
        <v>372</v>
      </c>
      <c r="K258" s="174" t="str">
        <f>VLOOKUP(B258,电搭接情况统计!$B$2:$H$423,7,0)</f>
        <v>S类</v>
      </c>
      <c r="L258" s="175">
        <v>0.145</v>
      </c>
      <c r="M258" s="167"/>
      <c r="N258" s="202" t="s">
        <v>26</v>
      </c>
      <c r="O258" s="202" t="s">
        <v>26</v>
      </c>
      <c r="P258" s="179"/>
      <c r="Q258" s="179"/>
      <c r="R258" s="179"/>
      <c r="S258" s="13" t="s">
        <v>27</v>
      </c>
    </row>
    <row r="259" spans="1:19">
      <c r="A259" s="167" t="s">
        <v>685</v>
      </c>
      <c r="B259" s="201" t="s">
        <v>754</v>
      </c>
      <c r="C259" s="167" t="s">
        <v>755</v>
      </c>
      <c r="D259" s="178" t="s">
        <v>756</v>
      </c>
      <c r="E259" s="189" t="s">
        <v>757</v>
      </c>
      <c r="F259" s="183" t="s">
        <v>723</v>
      </c>
      <c r="G259" s="171">
        <v>1</v>
      </c>
      <c r="H259" s="172"/>
      <c r="I259" s="173" t="s">
        <v>389</v>
      </c>
      <c r="J259" s="174" t="s">
        <v>372</v>
      </c>
      <c r="K259" s="174" t="s">
        <v>758</v>
      </c>
      <c r="L259" s="175">
        <v>0.8</v>
      </c>
      <c r="M259" s="167"/>
      <c r="N259" s="202" t="s">
        <v>26</v>
      </c>
      <c r="O259" s="202" t="s">
        <v>26</v>
      </c>
      <c r="P259" s="179"/>
      <c r="Q259" s="179"/>
      <c r="R259" s="179"/>
      <c r="S259" s="13" t="s">
        <v>27</v>
      </c>
    </row>
    <row r="260" spans="1:19">
      <c r="A260" s="167" t="s">
        <v>685</v>
      </c>
      <c r="B260" s="201" t="s">
        <v>759</v>
      </c>
      <c r="C260" s="167" t="s">
        <v>755</v>
      </c>
      <c r="D260" s="178" t="s">
        <v>760</v>
      </c>
      <c r="E260" s="189" t="s">
        <v>757</v>
      </c>
      <c r="F260" s="183" t="s">
        <v>723</v>
      </c>
      <c r="G260" s="171">
        <v>1</v>
      </c>
      <c r="H260" s="172"/>
      <c r="I260" s="173" t="s">
        <v>389</v>
      </c>
      <c r="J260" s="174" t="s">
        <v>372</v>
      </c>
      <c r="K260" s="174" t="s">
        <v>758</v>
      </c>
      <c r="L260" s="175">
        <v>0.8</v>
      </c>
      <c r="M260" s="167"/>
      <c r="N260" s="202" t="s">
        <v>26</v>
      </c>
      <c r="O260" s="202" t="s">
        <v>26</v>
      </c>
      <c r="P260" s="179"/>
      <c r="Q260" s="179"/>
      <c r="R260" s="179"/>
      <c r="S260" s="13" t="s">
        <v>27</v>
      </c>
    </row>
    <row r="261" spans="1:19">
      <c r="A261" s="167" t="s">
        <v>685</v>
      </c>
      <c r="B261" s="201" t="s">
        <v>761</v>
      </c>
      <c r="C261" s="167" t="s">
        <v>755</v>
      </c>
      <c r="D261" s="178" t="s">
        <v>762</v>
      </c>
      <c r="E261" s="189" t="s">
        <v>757</v>
      </c>
      <c r="F261" s="183" t="s">
        <v>723</v>
      </c>
      <c r="G261" s="171">
        <v>1</v>
      </c>
      <c r="H261" s="172"/>
      <c r="I261" s="173" t="s">
        <v>389</v>
      </c>
      <c r="J261" s="174" t="s">
        <v>372</v>
      </c>
      <c r="K261" s="174" t="s">
        <v>758</v>
      </c>
      <c r="L261" s="175">
        <v>0.8</v>
      </c>
      <c r="M261" s="167"/>
      <c r="N261" s="202" t="s">
        <v>26</v>
      </c>
      <c r="O261" s="202" t="s">
        <v>26</v>
      </c>
      <c r="P261" s="179"/>
      <c r="Q261" s="179"/>
      <c r="R261" s="179"/>
      <c r="S261" s="13" t="s">
        <v>27</v>
      </c>
    </row>
    <row r="262" spans="1:19">
      <c r="A262" s="167" t="s">
        <v>685</v>
      </c>
      <c r="B262" s="201" t="s">
        <v>763</v>
      </c>
      <c r="C262" s="167" t="s">
        <v>755</v>
      </c>
      <c r="D262" s="178" t="s">
        <v>764</v>
      </c>
      <c r="E262" s="189" t="s">
        <v>757</v>
      </c>
      <c r="F262" s="183" t="s">
        <v>723</v>
      </c>
      <c r="G262" s="171">
        <v>1</v>
      </c>
      <c r="H262" s="172"/>
      <c r="I262" s="173" t="s">
        <v>389</v>
      </c>
      <c r="J262" s="174" t="s">
        <v>372</v>
      </c>
      <c r="K262" s="174" t="s">
        <v>758</v>
      </c>
      <c r="L262" s="175">
        <v>0.8</v>
      </c>
      <c r="M262" s="167"/>
      <c r="N262" s="202" t="s">
        <v>26</v>
      </c>
      <c r="O262" s="202" t="s">
        <v>26</v>
      </c>
      <c r="P262" s="179"/>
      <c r="Q262" s="179"/>
      <c r="R262" s="179"/>
      <c r="S262" s="13" t="s">
        <v>27</v>
      </c>
    </row>
    <row r="263" spans="1:19">
      <c r="A263" s="167" t="s">
        <v>685</v>
      </c>
      <c r="B263" s="184" t="s">
        <v>765</v>
      </c>
      <c r="C263" s="167" t="s">
        <v>766</v>
      </c>
      <c r="D263" s="178" t="s">
        <v>767</v>
      </c>
      <c r="E263" s="189" t="s">
        <v>768</v>
      </c>
      <c r="F263" s="183" t="s">
        <v>723</v>
      </c>
      <c r="G263" s="171">
        <v>1</v>
      </c>
      <c r="H263" s="172"/>
      <c r="I263" s="173" t="s">
        <v>389</v>
      </c>
      <c r="J263" s="174"/>
      <c r="K263" s="174"/>
      <c r="L263" s="175">
        <v>0.48</v>
      </c>
      <c r="M263" s="167"/>
      <c r="N263" s="202" t="s">
        <v>26</v>
      </c>
      <c r="O263" s="202" t="s">
        <v>26</v>
      </c>
      <c r="P263" s="179"/>
      <c r="Q263" s="179"/>
      <c r="R263" s="179"/>
      <c r="S263" s="13" t="s">
        <v>27</v>
      </c>
    </row>
    <row r="264" spans="1:19">
      <c r="A264" s="167" t="s">
        <v>685</v>
      </c>
      <c r="B264" s="184" t="s">
        <v>769</v>
      </c>
      <c r="C264" s="167" t="s">
        <v>770</v>
      </c>
      <c r="D264" s="178" t="s">
        <v>771</v>
      </c>
      <c r="E264" s="189" t="s">
        <v>768</v>
      </c>
      <c r="F264" s="183" t="s">
        <v>723</v>
      </c>
      <c r="G264" s="171">
        <v>1</v>
      </c>
      <c r="H264" s="172"/>
      <c r="I264" s="173" t="s">
        <v>389</v>
      </c>
      <c r="J264" s="174"/>
      <c r="K264" s="174"/>
      <c r="L264" s="175">
        <v>0.48</v>
      </c>
      <c r="M264" s="167"/>
      <c r="N264" s="202" t="s">
        <v>26</v>
      </c>
      <c r="O264" s="202" t="s">
        <v>26</v>
      </c>
      <c r="P264" s="179"/>
      <c r="Q264" s="179"/>
      <c r="R264" s="179"/>
      <c r="S264" s="13" t="s">
        <v>27</v>
      </c>
    </row>
    <row r="265" spans="1:19">
      <c r="A265" s="167" t="s">
        <v>685</v>
      </c>
      <c r="B265" s="201" t="s">
        <v>772</v>
      </c>
      <c r="C265" s="167" t="s">
        <v>773</v>
      </c>
      <c r="D265" s="178" t="s">
        <v>774</v>
      </c>
      <c r="E265" s="189" t="s">
        <v>757</v>
      </c>
      <c r="F265" s="183" t="s">
        <v>517</v>
      </c>
      <c r="G265" s="171">
        <v>1</v>
      </c>
      <c r="H265" s="172"/>
      <c r="I265" s="173" t="s">
        <v>389</v>
      </c>
      <c r="J265" s="174" t="s">
        <v>775</v>
      </c>
      <c r="K265" s="174"/>
      <c r="L265" s="175">
        <v>0.8</v>
      </c>
      <c r="M265" s="167"/>
      <c r="N265" s="202" t="s">
        <v>26</v>
      </c>
      <c r="O265" s="202" t="s">
        <v>26</v>
      </c>
      <c r="P265" s="179"/>
      <c r="Q265" s="179"/>
      <c r="R265" s="179"/>
      <c r="S265" s="13" t="s">
        <v>27</v>
      </c>
    </row>
    <row r="266" spans="1:19">
      <c r="A266" s="167" t="s">
        <v>685</v>
      </c>
      <c r="B266" s="201" t="s">
        <v>776</v>
      </c>
      <c r="C266" s="167" t="s">
        <v>773</v>
      </c>
      <c r="D266" s="178" t="s">
        <v>777</v>
      </c>
      <c r="E266" s="189" t="s">
        <v>757</v>
      </c>
      <c r="F266" s="183" t="s">
        <v>517</v>
      </c>
      <c r="G266" s="171">
        <v>1</v>
      </c>
      <c r="H266" s="172"/>
      <c r="I266" s="173" t="s">
        <v>389</v>
      </c>
      <c r="J266" s="174" t="s">
        <v>775</v>
      </c>
      <c r="K266" s="174"/>
      <c r="L266" s="175">
        <v>0.8</v>
      </c>
      <c r="M266" s="167"/>
      <c r="N266" s="202" t="s">
        <v>26</v>
      </c>
      <c r="O266" s="202" t="s">
        <v>26</v>
      </c>
      <c r="P266" s="179"/>
      <c r="Q266" s="179"/>
      <c r="R266" s="179"/>
      <c r="S266" s="13" t="s">
        <v>27</v>
      </c>
    </row>
    <row r="267" spans="1:19">
      <c r="A267" s="167" t="s">
        <v>685</v>
      </c>
      <c r="B267" s="49" t="s">
        <v>778</v>
      </c>
      <c r="C267" s="167"/>
      <c r="D267" s="186" t="s">
        <v>779</v>
      </c>
      <c r="E267" s="189" t="s">
        <v>780</v>
      </c>
      <c r="F267" s="219" t="s">
        <v>781</v>
      </c>
      <c r="G267" s="171">
        <v>1</v>
      </c>
      <c r="H267" s="172"/>
      <c r="I267" s="173" t="s">
        <v>389</v>
      </c>
      <c r="J267" s="174" t="s">
        <v>775</v>
      </c>
      <c r="K267" s="174"/>
      <c r="L267" s="175">
        <v>1.2</v>
      </c>
      <c r="M267" s="167"/>
      <c r="N267" s="202" t="s">
        <v>26</v>
      </c>
      <c r="O267" s="202" t="s">
        <v>26</v>
      </c>
      <c r="P267" s="179"/>
      <c r="Q267" s="179"/>
      <c r="R267" s="179"/>
      <c r="S267" s="13" t="s">
        <v>27</v>
      </c>
    </row>
    <row r="268" spans="1:19">
      <c r="A268" s="167" t="s">
        <v>685</v>
      </c>
      <c r="B268" s="49" t="s">
        <v>782</v>
      </c>
      <c r="C268" s="167"/>
      <c r="D268" s="186" t="s">
        <v>783</v>
      </c>
      <c r="E268" s="189" t="s">
        <v>780</v>
      </c>
      <c r="F268" s="219" t="s">
        <v>781</v>
      </c>
      <c r="G268" s="171">
        <v>1</v>
      </c>
      <c r="H268" s="172"/>
      <c r="I268" s="173" t="s">
        <v>389</v>
      </c>
      <c r="J268" s="174" t="s">
        <v>775</v>
      </c>
      <c r="K268" s="174"/>
      <c r="L268" s="175">
        <v>1.2</v>
      </c>
      <c r="M268" s="167"/>
      <c r="N268" s="202" t="s">
        <v>26</v>
      </c>
      <c r="O268" s="202" t="s">
        <v>26</v>
      </c>
      <c r="P268" s="179"/>
      <c r="Q268" s="179"/>
      <c r="R268" s="179"/>
      <c r="S268" s="13" t="s">
        <v>27</v>
      </c>
    </row>
    <row r="269" spans="1:19">
      <c r="A269" s="167" t="s">
        <v>685</v>
      </c>
      <c r="B269" s="49" t="s">
        <v>784</v>
      </c>
      <c r="C269" s="167"/>
      <c r="D269" s="186" t="s">
        <v>785</v>
      </c>
      <c r="E269" s="189" t="s">
        <v>786</v>
      </c>
      <c r="F269" s="219" t="s">
        <v>787</v>
      </c>
      <c r="G269" s="171">
        <v>1</v>
      </c>
      <c r="H269" s="172"/>
      <c r="I269" s="173" t="s">
        <v>389</v>
      </c>
      <c r="J269" s="174"/>
      <c r="K269" s="174"/>
      <c r="L269" s="175">
        <v>1.2</v>
      </c>
      <c r="M269" s="167"/>
      <c r="N269" s="202" t="s">
        <v>26</v>
      </c>
      <c r="O269" s="202" t="s">
        <v>26</v>
      </c>
      <c r="P269" s="179"/>
      <c r="Q269" s="179"/>
      <c r="R269" s="179"/>
      <c r="S269" s="13" t="s">
        <v>27</v>
      </c>
    </row>
    <row r="270" spans="1:19">
      <c r="A270" s="167" t="s">
        <v>685</v>
      </c>
      <c r="B270" s="49" t="s">
        <v>788</v>
      </c>
      <c r="C270" s="167"/>
      <c r="D270" s="186" t="s">
        <v>789</v>
      </c>
      <c r="E270" s="189" t="s">
        <v>786</v>
      </c>
      <c r="F270" s="219" t="s">
        <v>790</v>
      </c>
      <c r="G270" s="171">
        <v>1</v>
      </c>
      <c r="H270" s="172"/>
      <c r="I270" s="173" t="s">
        <v>389</v>
      </c>
      <c r="J270" s="174"/>
      <c r="K270" s="174"/>
      <c r="L270" s="175">
        <v>1.2</v>
      </c>
      <c r="M270" s="167"/>
      <c r="N270" s="202" t="s">
        <v>26</v>
      </c>
      <c r="O270" s="202" t="s">
        <v>26</v>
      </c>
      <c r="P270" s="179"/>
      <c r="Q270" s="179"/>
      <c r="R270" s="179"/>
      <c r="S270" s="13" t="s">
        <v>27</v>
      </c>
    </row>
    <row r="271" spans="1:19">
      <c r="A271" s="167" t="s">
        <v>791</v>
      </c>
      <c r="B271" s="184" t="s">
        <v>792</v>
      </c>
      <c r="C271" s="167" t="s">
        <v>793</v>
      </c>
      <c r="D271" s="178" t="s">
        <v>794</v>
      </c>
      <c r="E271" s="167"/>
      <c r="F271" s="183" t="s">
        <v>795</v>
      </c>
      <c r="G271" s="171">
        <v>1</v>
      </c>
      <c r="H271" s="172"/>
      <c r="I271" s="173"/>
      <c r="J271" s="174"/>
      <c r="K271" s="174" t="str">
        <f>VLOOKUP(B271,电搭接情况统计!$B$2:$H$423,7,0)</f>
        <v>NA</v>
      </c>
      <c r="L271" s="175"/>
      <c r="M271" s="167"/>
      <c r="N271" s="202" t="s">
        <v>26</v>
      </c>
      <c r="O271" s="202" t="s">
        <v>26</v>
      </c>
      <c r="P271" s="179"/>
      <c r="Q271" s="179"/>
      <c r="R271" s="179"/>
      <c r="S271" s="13" t="s">
        <v>27</v>
      </c>
    </row>
    <row r="272" spans="1:19">
      <c r="A272" s="167" t="s">
        <v>791</v>
      </c>
      <c r="B272" s="184" t="s">
        <v>796</v>
      </c>
      <c r="C272" s="167" t="s">
        <v>793</v>
      </c>
      <c r="D272" s="178" t="s">
        <v>797</v>
      </c>
      <c r="E272" s="167"/>
      <c r="F272" s="183" t="s">
        <v>795</v>
      </c>
      <c r="G272" s="171">
        <v>1</v>
      </c>
      <c r="H272" s="172"/>
      <c r="I272" s="173"/>
      <c r="J272" s="174"/>
      <c r="K272" s="174" t="str">
        <f>VLOOKUP(B272,电搭接情况统计!$B$2:$H$423,7,0)</f>
        <v>NA</v>
      </c>
      <c r="L272" s="175"/>
      <c r="M272" s="167"/>
      <c r="N272" s="202" t="s">
        <v>26</v>
      </c>
      <c r="O272" s="202" t="s">
        <v>26</v>
      </c>
      <c r="P272" s="179"/>
      <c r="Q272" s="179"/>
      <c r="R272" s="179"/>
      <c r="S272" s="13" t="s">
        <v>27</v>
      </c>
    </row>
    <row r="273" spans="1:19">
      <c r="A273" s="167" t="s">
        <v>791</v>
      </c>
      <c r="B273" s="184" t="s">
        <v>798</v>
      </c>
      <c r="C273" s="167" t="s">
        <v>793</v>
      </c>
      <c r="D273" s="178" t="s">
        <v>799</v>
      </c>
      <c r="E273" s="167"/>
      <c r="F273" s="183" t="s">
        <v>795</v>
      </c>
      <c r="G273" s="171">
        <v>1</v>
      </c>
      <c r="H273" s="172"/>
      <c r="I273" s="173"/>
      <c r="J273" s="174"/>
      <c r="K273" s="174" t="str">
        <f>VLOOKUP(B273,电搭接情况统计!$B$2:$H$423,7,0)</f>
        <v>NA</v>
      </c>
      <c r="L273" s="175"/>
      <c r="M273" s="167"/>
      <c r="N273" s="202" t="s">
        <v>26</v>
      </c>
      <c r="O273" s="202" t="s">
        <v>26</v>
      </c>
      <c r="P273" s="179"/>
      <c r="Q273" s="179"/>
      <c r="R273" s="179"/>
      <c r="S273" s="13" t="s">
        <v>27</v>
      </c>
    </row>
    <row r="274" spans="1:19">
      <c r="A274" s="167" t="s">
        <v>791</v>
      </c>
      <c r="B274" s="184" t="s">
        <v>800</v>
      </c>
      <c r="C274" s="167" t="s">
        <v>801</v>
      </c>
      <c r="D274" s="178" t="s">
        <v>802</v>
      </c>
      <c r="E274" s="167"/>
      <c r="F274" s="183" t="s">
        <v>795</v>
      </c>
      <c r="G274" s="171">
        <v>1</v>
      </c>
      <c r="H274" s="172"/>
      <c r="I274" s="173"/>
      <c r="J274" s="174"/>
      <c r="K274" s="174" t="str">
        <f>VLOOKUP(B274,电搭接情况统计!$B$2:$H$423,7,0)</f>
        <v>S类</v>
      </c>
      <c r="L274" s="175"/>
      <c r="M274" s="167"/>
      <c r="N274" s="202" t="s">
        <v>26</v>
      </c>
      <c r="O274" s="202" t="s">
        <v>26</v>
      </c>
      <c r="P274" s="179"/>
      <c r="Q274" s="179"/>
      <c r="R274" s="179"/>
      <c r="S274" s="13" t="s">
        <v>27</v>
      </c>
    </row>
    <row r="275" spans="1:19">
      <c r="A275" s="167" t="s">
        <v>791</v>
      </c>
      <c r="B275" s="184" t="s">
        <v>803</v>
      </c>
      <c r="C275" s="167" t="s">
        <v>801</v>
      </c>
      <c r="D275" s="178" t="s">
        <v>804</v>
      </c>
      <c r="E275" s="167"/>
      <c r="F275" s="183" t="s">
        <v>795</v>
      </c>
      <c r="G275" s="171">
        <v>1</v>
      </c>
      <c r="H275" s="172"/>
      <c r="I275" s="173"/>
      <c r="J275" s="174"/>
      <c r="K275" s="174" t="str">
        <f>VLOOKUP(B275,电搭接情况统计!$B$2:$H$423,7,0)</f>
        <v>S类</v>
      </c>
      <c r="L275" s="175"/>
      <c r="M275" s="167"/>
      <c r="N275" s="202" t="s">
        <v>26</v>
      </c>
      <c r="O275" s="202" t="s">
        <v>26</v>
      </c>
      <c r="P275" s="179"/>
      <c r="Q275" s="179"/>
      <c r="R275" s="179"/>
      <c r="S275" s="13" t="s">
        <v>27</v>
      </c>
    </row>
    <row r="276" spans="1:19">
      <c r="A276" s="167" t="s">
        <v>791</v>
      </c>
      <c r="B276" s="184" t="s">
        <v>805</v>
      </c>
      <c r="C276" s="167" t="s">
        <v>806</v>
      </c>
      <c r="D276" s="178" t="s">
        <v>807</v>
      </c>
      <c r="E276" s="167"/>
      <c r="F276" s="183" t="s">
        <v>795</v>
      </c>
      <c r="G276" s="171">
        <v>1</v>
      </c>
      <c r="H276" s="172"/>
      <c r="I276" s="173"/>
      <c r="J276" s="174"/>
      <c r="K276" s="174" t="str">
        <f>VLOOKUP(B276,电搭接情况统计!$B$2:$H$423,7,0)</f>
        <v>NA</v>
      </c>
      <c r="L276" s="175"/>
      <c r="M276" s="167"/>
      <c r="N276" s="202" t="s">
        <v>26</v>
      </c>
      <c r="O276" s="202" t="s">
        <v>26</v>
      </c>
      <c r="P276" s="179"/>
      <c r="Q276" s="179"/>
      <c r="R276" s="179"/>
      <c r="S276" s="13" t="s">
        <v>27</v>
      </c>
    </row>
    <row r="277" spans="1:19">
      <c r="A277" s="167" t="s">
        <v>791</v>
      </c>
      <c r="B277" s="184" t="s">
        <v>808</v>
      </c>
      <c r="C277" s="167" t="s">
        <v>806</v>
      </c>
      <c r="D277" s="178" t="s">
        <v>809</v>
      </c>
      <c r="E277" s="167"/>
      <c r="F277" s="183" t="s">
        <v>795</v>
      </c>
      <c r="G277" s="171">
        <v>1</v>
      </c>
      <c r="H277" s="172"/>
      <c r="I277" s="173"/>
      <c r="J277" s="174"/>
      <c r="K277" s="174" t="str">
        <f>VLOOKUP(B277,电搭接情况统计!$B$2:$H$423,7,0)</f>
        <v>NA</v>
      </c>
      <c r="L277" s="175"/>
      <c r="M277" s="167"/>
      <c r="N277" s="202" t="s">
        <v>26</v>
      </c>
      <c r="O277" s="202" t="s">
        <v>26</v>
      </c>
      <c r="P277" s="179"/>
      <c r="Q277" s="179"/>
      <c r="R277" s="179"/>
      <c r="S277" s="13" t="s">
        <v>27</v>
      </c>
    </row>
    <row r="278" spans="1:19">
      <c r="A278" s="167" t="s">
        <v>791</v>
      </c>
      <c r="B278" s="184" t="s">
        <v>810</v>
      </c>
      <c r="C278" s="167" t="s">
        <v>806</v>
      </c>
      <c r="D278" s="178" t="s">
        <v>811</v>
      </c>
      <c r="E278" s="167"/>
      <c r="F278" s="183" t="s">
        <v>795</v>
      </c>
      <c r="G278" s="171">
        <v>1</v>
      </c>
      <c r="H278" s="172"/>
      <c r="I278" s="173"/>
      <c r="J278" s="174"/>
      <c r="K278" s="174" t="str">
        <f>VLOOKUP(B278,电搭接情况统计!$B$2:$H$423,7,0)</f>
        <v>NA</v>
      </c>
      <c r="L278" s="175"/>
      <c r="M278" s="167"/>
      <c r="N278" s="202" t="s">
        <v>26</v>
      </c>
      <c r="O278" s="202" t="s">
        <v>26</v>
      </c>
      <c r="P278" s="179"/>
      <c r="Q278" s="179"/>
      <c r="R278" s="179"/>
      <c r="S278" s="13" t="s">
        <v>27</v>
      </c>
    </row>
    <row r="279" spans="1:19">
      <c r="A279" s="167" t="s">
        <v>791</v>
      </c>
      <c r="B279" s="184" t="s">
        <v>812</v>
      </c>
      <c r="C279" s="167" t="s">
        <v>813</v>
      </c>
      <c r="D279" s="178" t="s">
        <v>814</v>
      </c>
      <c r="E279" s="167"/>
      <c r="F279" s="183" t="s">
        <v>379</v>
      </c>
      <c r="G279" s="171">
        <v>1</v>
      </c>
      <c r="H279" s="172"/>
      <c r="I279" s="173"/>
      <c r="J279" s="174"/>
      <c r="K279" s="174" t="str">
        <f>VLOOKUP(B279,电搭接情况统计!$B$2:$H$423,7,0)</f>
        <v>NA</v>
      </c>
      <c r="L279" s="175"/>
      <c r="M279" s="167"/>
      <c r="N279" s="202" t="s">
        <v>26</v>
      </c>
      <c r="O279" s="202" t="s">
        <v>26</v>
      </c>
      <c r="P279" s="179"/>
      <c r="Q279" s="179"/>
      <c r="R279" s="179"/>
      <c r="S279" s="13" t="s">
        <v>27</v>
      </c>
    </row>
    <row r="280" spans="1:19">
      <c r="A280" s="167" t="s">
        <v>791</v>
      </c>
      <c r="B280" s="184" t="s">
        <v>815</v>
      </c>
      <c r="C280" s="167" t="s">
        <v>816</v>
      </c>
      <c r="D280" s="178" t="s">
        <v>817</v>
      </c>
      <c r="E280" s="167"/>
      <c r="F280" s="183" t="s">
        <v>379</v>
      </c>
      <c r="G280" s="171">
        <v>1</v>
      </c>
      <c r="H280" s="172"/>
      <c r="I280" s="173"/>
      <c r="J280" s="174"/>
      <c r="K280" s="174" t="str">
        <f>VLOOKUP(B280,电搭接情况统计!$B$2:$H$423,7,0)</f>
        <v>NA</v>
      </c>
      <c r="L280" s="175"/>
      <c r="M280" s="167"/>
      <c r="N280" s="202" t="s">
        <v>26</v>
      </c>
      <c r="O280" s="202" t="s">
        <v>26</v>
      </c>
      <c r="P280" s="179"/>
      <c r="Q280" s="179"/>
      <c r="R280" s="179"/>
      <c r="S280" s="13" t="s">
        <v>27</v>
      </c>
    </row>
    <row r="281" spans="1:19">
      <c r="A281" s="167" t="s">
        <v>791</v>
      </c>
      <c r="B281" s="184" t="s">
        <v>818</v>
      </c>
      <c r="C281" s="167" t="s">
        <v>819</v>
      </c>
      <c r="D281" s="178" t="s">
        <v>820</v>
      </c>
      <c r="E281" s="167"/>
      <c r="F281" s="183" t="s">
        <v>379</v>
      </c>
      <c r="G281" s="171">
        <v>1</v>
      </c>
      <c r="H281" s="172"/>
      <c r="I281" s="173"/>
      <c r="J281" s="174"/>
      <c r="K281" s="174" t="str">
        <f>VLOOKUP(B281,电搭接情况统计!$B$2:$H$423,7,0)</f>
        <v>NA</v>
      </c>
      <c r="L281" s="175"/>
      <c r="M281" s="167"/>
      <c r="N281" s="202" t="s">
        <v>26</v>
      </c>
      <c r="O281" s="202" t="s">
        <v>26</v>
      </c>
      <c r="P281" s="179"/>
      <c r="Q281" s="179"/>
      <c r="R281" s="179"/>
      <c r="S281" s="13" t="s">
        <v>27</v>
      </c>
    </row>
    <row r="282" spans="1:19">
      <c r="A282" s="167" t="s">
        <v>791</v>
      </c>
      <c r="B282" s="184" t="s">
        <v>821</v>
      </c>
      <c r="C282" s="167" t="s">
        <v>822</v>
      </c>
      <c r="D282" s="178" t="s">
        <v>823</v>
      </c>
      <c r="E282" s="167"/>
      <c r="F282" s="183" t="s">
        <v>379</v>
      </c>
      <c r="G282" s="171">
        <v>1</v>
      </c>
      <c r="H282" s="172"/>
      <c r="I282" s="173"/>
      <c r="J282" s="174"/>
      <c r="K282" s="174" t="str">
        <f>VLOOKUP(B282,电搭接情况统计!$B$2:$H$423,7,0)</f>
        <v>NA</v>
      </c>
      <c r="L282" s="175"/>
      <c r="M282" s="167"/>
      <c r="N282" s="202" t="s">
        <v>26</v>
      </c>
      <c r="O282" s="202" t="s">
        <v>26</v>
      </c>
      <c r="P282" s="179"/>
      <c r="Q282" s="179"/>
      <c r="R282" s="179"/>
      <c r="S282" s="13" t="s">
        <v>27</v>
      </c>
    </row>
    <row r="283" spans="1:19">
      <c r="A283" s="167" t="s">
        <v>791</v>
      </c>
      <c r="B283" s="184" t="s">
        <v>824</v>
      </c>
      <c r="C283" s="167" t="s">
        <v>825</v>
      </c>
      <c r="D283" s="178" t="s">
        <v>826</v>
      </c>
      <c r="E283" s="167"/>
      <c r="F283" s="183" t="s">
        <v>379</v>
      </c>
      <c r="G283" s="171">
        <v>1</v>
      </c>
      <c r="H283" s="172"/>
      <c r="I283" s="173"/>
      <c r="J283" s="174"/>
      <c r="K283" s="174" t="str">
        <f>VLOOKUP(B283,电搭接情况统计!$B$2:$H$423,7,0)</f>
        <v>NA</v>
      </c>
      <c r="L283" s="175"/>
      <c r="M283" s="167"/>
      <c r="N283" s="202" t="s">
        <v>26</v>
      </c>
      <c r="O283" s="202" t="s">
        <v>26</v>
      </c>
      <c r="P283" s="179"/>
      <c r="Q283" s="179"/>
      <c r="R283" s="179"/>
      <c r="S283" s="13" t="s">
        <v>27</v>
      </c>
    </row>
    <row r="284" spans="1:19">
      <c r="A284" s="167" t="s">
        <v>791</v>
      </c>
      <c r="B284" s="184" t="s">
        <v>827</v>
      </c>
      <c r="C284" s="167" t="s">
        <v>828</v>
      </c>
      <c r="D284" s="178" t="s">
        <v>829</v>
      </c>
      <c r="E284" s="167"/>
      <c r="F284" s="183" t="s">
        <v>379</v>
      </c>
      <c r="G284" s="171">
        <v>1</v>
      </c>
      <c r="H284" s="172"/>
      <c r="I284" s="173"/>
      <c r="J284" s="174"/>
      <c r="K284" s="174" t="str">
        <f>VLOOKUP(B284,电搭接情况统计!$B$2:$H$423,7,0)</f>
        <v>NA</v>
      </c>
      <c r="L284" s="175"/>
      <c r="M284" s="167"/>
      <c r="N284" s="202" t="s">
        <v>26</v>
      </c>
      <c r="O284" s="202" t="s">
        <v>26</v>
      </c>
      <c r="P284" s="179"/>
      <c r="Q284" s="179"/>
      <c r="R284" s="179"/>
      <c r="S284" s="13" t="s">
        <v>27</v>
      </c>
    </row>
    <row r="285" spans="1:19">
      <c r="A285" s="167" t="s">
        <v>791</v>
      </c>
      <c r="B285" s="184" t="s">
        <v>830</v>
      </c>
      <c r="C285" s="167" t="s">
        <v>831</v>
      </c>
      <c r="D285" s="178" t="s">
        <v>832</v>
      </c>
      <c r="E285" s="167"/>
      <c r="F285" s="183" t="s">
        <v>379</v>
      </c>
      <c r="G285" s="171">
        <v>1</v>
      </c>
      <c r="H285" s="172"/>
      <c r="I285" s="173"/>
      <c r="J285" s="174"/>
      <c r="K285" s="174" t="str">
        <f>VLOOKUP(B285,电搭接情况统计!$B$2:$H$423,7,0)</f>
        <v>NA</v>
      </c>
      <c r="L285" s="175"/>
      <c r="M285" s="167"/>
      <c r="N285" s="202" t="s">
        <v>26</v>
      </c>
      <c r="O285" s="202" t="s">
        <v>26</v>
      </c>
      <c r="P285" s="179"/>
      <c r="Q285" s="179"/>
      <c r="R285" s="179"/>
      <c r="S285" s="13" t="s">
        <v>27</v>
      </c>
    </row>
    <row r="286" spans="1:19">
      <c r="A286" s="167" t="s">
        <v>791</v>
      </c>
      <c r="B286" s="184" t="s">
        <v>833</v>
      </c>
      <c r="C286" s="167" t="s">
        <v>834</v>
      </c>
      <c r="D286" s="178" t="s">
        <v>835</v>
      </c>
      <c r="E286" s="167"/>
      <c r="F286" s="183" t="s">
        <v>388</v>
      </c>
      <c r="G286" s="171">
        <v>1</v>
      </c>
      <c r="H286" s="172"/>
      <c r="I286" s="173"/>
      <c r="J286" s="174"/>
      <c r="K286" s="174" t="str">
        <f>VLOOKUP(B286,电搭接情况统计!$B$2:$H$423,7,0)</f>
        <v>C类</v>
      </c>
      <c r="L286" s="175"/>
      <c r="M286" s="167"/>
      <c r="N286" s="202" t="s">
        <v>26</v>
      </c>
      <c r="O286" s="202" t="s">
        <v>32</v>
      </c>
      <c r="P286" s="179"/>
      <c r="Q286" s="179"/>
      <c r="R286" s="179"/>
      <c r="S286" s="13" t="s">
        <v>27</v>
      </c>
    </row>
    <row r="287" spans="1:19">
      <c r="A287" s="167" t="s">
        <v>791</v>
      </c>
      <c r="B287" s="184" t="s">
        <v>836</v>
      </c>
      <c r="C287" s="167" t="s">
        <v>834</v>
      </c>
      <c r="D287" s="178" t="s">
        <v>837</v>
      </c>
      <c r="E287" s="167"/>
      <c r="F287" s="183" t="s">
        <v>388</v>
      </c>
      <c r="G287" s="171">
        <v>1</v>
      </c>
      <c r="H287" s="172"/>
      <c r="I287" s="173"/>
      <c r="J287" s="174"/>
      <c r="K287" s="174" t="str">
        <f>VLOOKUP(B287,电搭接情况统计!$B$2:$H$423,7,0)</f>
        <v>C类</v>
      </c>
      <c r="L287" s="175"/>
      <c r="M287" s="167"/>
      <c r="N287" s="202" t="s">
        <v>26</v>
      </c>
      <c r="O287" s="202" t="s">
        <v>32</v>
      </c>
      <c r="P287" s="179"/>
      <c r="Q287" s="179"/>
      <c r="R287" s="179"/>
      <c r="S287" s="13" t="s">
        <v>27</v>
      </c>
    </row>
    <row r="288" spans="1:19">
      <c r="A288" s="167" t="s">
        <v>791</v>
      </c>
      <c r="B288" s="184" t="s">
        <v>838</v>
      </c>
      <c r="C288" s="167" t="s">
        <v>834</v>
      </c>
      <c r="D288" s="178" t="s">
        <v>839</v>
      </c>
      <c r="E288" s="167"/>
      <c r="F288" s="183" t="s">
        <v>388</v>
      </c>
      <c r="G288" s="171">
        <v>1</v>
      </c>
      <c r="H288" s="172"/>
      <c r="I288" s="173"/>
      <c r="J288" s="174"/>
      <c r="K288" s="174" t="str">
        <f>VLOOKUP(B288,电搭接情况统计!$B$2:$H$423,7,0)</f>
        <v>C类</v>
      </c>
      <c r="L288" s="175"/>
      <c r="M288" s="167"/>
      <c r="N288" s="202" t="s">
        <v>26</v>
      </c>
      <c r="O288" s="202" t="s">
        <v>32</v>
      </c>
      <c r="P288" s="179"/>
      <c r="Q288" s="179"/>
      <c r="R288" s="179"/>
      <c r="S288" s="13" t="s">
        <v>27</v>
      </c>
    </row>
    <row r="289" spans="1:20">
      <c r="A289" s="167" t="s">
        <v>791</v>
      </c>
      <c r="B289" s="184" t="s">
        <v>840</v>
      </c>
      <c r="C289" s="167" t="s">
        <v>834</v>
      </c>
      <c r="D289" s="178" t="s">
        <v>841</v>
      </c>
      <c r="E289" s="167"/>
      <c r="F289" s="183" t="s">
        <v>388</v>
      </c>
      <c r="G289" s="171">
        <v>1</v>
      </c>
      <c r="H289" s="172"/>
      <c r="I289" s="173"/>
      <c r="J289" s="174"/>
      <c r="K289" s="174" t="str">
        <f>VLOOKUP(B289,电搭接情况统计!$B$2:$H$423,7,0)</f>
        <v>C类</v>
      </c>
      <c r="L289" s="175"/>
      <c r="M289" s="167"/>
      <c r="N289" s="202" t="s">
        <v>26</v>
      </c>
      <c r="O289" s="202" t="s">
        <v>32</v>
      </c>
      <c r="P289" s="179"/>
      <c r="Q289" s="179"/>
      <c r="R289" s="179"/>
      <c r="S289" s="13" t="s">
        <v>27</v>
      </c>
    </row>
    <row r="290" spans="1:20">
      <c r="A290" s="167" t="s">
        <v>791</v>
      </c>
      <c r="B290" s="184" t="s">
        <v>842</v>
      </c>
      <c r="C290" s="167" t="s">
        <v>834</v>
      </c>
      <c r="D290" s="178" t="s">
        <v>843</v>
      </c>
      <c r="E290" s="167"/>
      <c r="F290" s="183" t="s">
        <v>388</v>
      </c>
      <c r="G290" s="171">
        <v>1</v>
      </c>
      <c r="H290" s="172"/>
      <c r="I290" s="173"/>
      <c r="J290" s="174"/>
      <c r="K290" s="174" t="str">
        <f>VLOOKUP(B290,电搭接情况统计!$B$2:$H$423,7,0)</f>
        <v>C类</v>
      </c>
      <c r="L290" s="175"/>
      <c r="M290" s="167"/>
      <c r="N290" s="202" t="s">
        <v>26</v>
      </c>
      <c r="O290" s="202" t="s">
        <v>32</v>
      </c>
      <c r="P290" s="179"/>
      <c r="Q290" s="179"/>
      <c r="R290" s="179"/>
      <c r="S290" s="13" t="s">
        <v>844</v>
      </c>
    </row>
    <row r="291" spans="1:20">
      <c r="A291" s="167" t="s">
        <v>791</v>
      </c>
      <c r="B291" s="184" t="s">
        <v>845</v>
      </c>
      <c r="C291" s="167" t="s">
        <v>834</v>
      </c>
      <c r="D291" s="178" t="s">
        <v>846</v>
      </c>
      <c r="E291" s="167"/>
      <c r="F291" s="183" t="s">
        <v>388</v>
      </c>
      <c r="G291" s="171">
        <v>1</v>
      </c>
      <c r="H291" s="172"/>
      <c r="I291" s="173"/>
      <c r="J291" s="174"/>
      <c r="K291" s="174" t="str">
        <f>VLOOKUP(B291,电搭接情况统计!$B$2:$H$423,7,0)</f>
        <v>C类</v>
      </c>
      <c r="L291" s="175"/>
      <c r="M291" s="167"/>
      <c r="N291" s="202" t="s">
        <v>26</v>
      </c>
      <c r="O291" s="202" t="s">
        <v>32</v>
      </c>
      <c r="P291" s="179"/>
      <c r="Q291" s="179"/>
      <c r="R291" s="179"/>
      <c r="S291" s="13" t="s">
        <v>844</v>
      </c>
    </row>
    <row r="292" spans="1:20">
      <c r="A292" s="167" t="s">
        <v>791</v>
      </c>
      <c r="B292" s="184" t="s">
        <v>847</v>
      </c>
      <c r="C292" s="167" t="s">
        <v>834</v>
      </c>
      <c r="D292" s="178" t="s">
        <v>848</v>
      </c>
      <c r="E292" s="167"/>
      <c r="F292" s="183" t="s">
        <v>186</v>
      </c>
      <c r="G292" s="171">
        <v>1</v>
      </c>
      <c r="H292" s="172"/>
      <c r="I292" s="173"/>
      <c r="J292" s="174"/>
      <c r="K292" s="174" t="str">
        <f>VLOOKUP(B292,电搭接情况统计!$B$2:$H$423,7,0)</f>
        <v>C类</v>
      </c>
      <c r="L292" s="175"/>
      <c r="M292" s="167"/>
      <c r="N292" s="202" t="s">
        <v>26</v>
      </c>
      <c r="O292" s="202" t="s">
        <v>32</v>
      </c>
      <c r="P292" s="179"/>
      <c r="Q292" s="179"/>
      <c r="R292" s="179"/>
      <c r="S292" s="13" t="s">
        <v>27</v>
      </c>
    </row>
    <row r="293" spans="1:20">
      <c r="A293" s="167" t="s">
        <v>791</v>
      </c>
      <c r="B293" s="184" t="s">
        <v>849</v>
      </c>
      <c r="C293" s="167" t="s">
        <v>834</v>
      </c>
      <c r="D293" s="178" t="s">
        <v>850</v>
      </c>
      <c r="E293" s="167"/>
      <c r="F293" s="183" t="s">
        <v>186</v>
      </c>
      <c r="G293" s="171">
        <v>1</v>
      </c>
      <c r="H293" s="172"/>
      <c r="I293" s="173"/>
      <c r="J293" s="174"/>
      <c r="K293" s="174" t="str">
        <f>VLOOKUP(B293,电搭接情况统计!$B$2:$H$423,7,0)</f>
        <v>C类</v>
      </c>
      <c r="L293" s="175"/>
      <c r="M293" s="167"/>
      <c r="N293" s="202" t="s">
        <v>26</v>
      </c>
      <c r="O293" s="202" t="s">
        <v>32</v>
      </c>
      <c r="P293" s="179"/>
      <c r="Q293" s="179"/>
      <c r="R293" s="179"/>
      <c r="S293" s="13" t="s">
        <v>27</v>
      </c>
    </row>
    <row r="294" spans="1:20">
      <c r="A294" s="167" t="s">
        <v>791</v>
      </c>
      <c r="B294" s="184" t="s">
        <v>851</v>
      </c>
      <c r="C294" s="167" t="s">
        <v>834</v>
      </c>
      <c r="D294" s="178" t="s">
        <v>852</v>
      </c>
      <c r="E294" s="167"/>
      <c r="F294" s="183" t="s">
        <v>186</v>
      </c>
      <c r="G294" s="171">
        <v>1</v>
      </c>
      <c r="H294" s="172"/>
      <c r="I294" s="173"/>
      <c r="J294" s="174"/>
      <c r="K294" s="174" t="str">
        <f>VLOOKUP(B294,电搭接情况统计!$B$2:$H$423,7,0)</f>
        <v>C类</v>
      </c>
      <c r="L294" s="175"/>
      <c r="M294" s="167"/>
      <c r="N294" s="202" t="s">
        <v>26</v>
      </c>
      <c r="O294" s="202" t="s">
        <v>32</v>
      </c>
      <c r="P294" s="179"/>
      <c r="Q294" s="179"/>
      <c r="R294" s="179"/>
      <c r="S294" s="13" t="s">
        <v>27</v>
      </c>
    </row>
    <row r="295" spans="1:20">
      <c r="A295" s="167" t="s">
        <v>791</v>
      </c>
      <c r="B295" s="184" t="s">
        <v>853</v>
      </c>
      <c r="C295" s="167" t="s">
        <v>854</v>
      </c>
      <c r="D295" s="178" t="s">
        <v>855</v>
      </c>
      <c r="E295" s="167"/>
      <c r="F295" s="183" t="s">
        <v>36</v>
      </c>
      <c r="G295" s="171">
        <v>1</v>
      </c>
      <c r="H295" s="172"/>
      <c r="I295" s="182" t="str">
        <f>VLOOKUP($B295,设备架接口信息!$A$1:$G$69,4,0)</f>
        <v>四角螺栓安装</v>
      </c>
      <c r="J295" s="175" t="str">
        <f>VLOOKUP($B295,设备架接口信息!$A$1:$G$69,5,0)</f>
        <v>面搭接</v>
      </c>
      <c r="K295" s="174" t="str">
        <f>VLOOKUP(B295,电搭接情况统计!$B$2:$H$423,7,0)</f>
        <v>C类</v>
      </c>
      <c r="L295" s="175">
        <f>VLOOKUP($B295,设备架接口信息!$A$1:$G$69,6,0)</f>
        <v>0.790714</v>
      </c>
      <c r="M295" s="167"/>
      <c r="N295" s="202" t="s">
        <v>26</v>
      </c>
      <c r="O295" s="202" t="s">
        <v>26</v>
      </c>
      <c r="P295" s="179"/>
      <c r="Q295" s="179"/>
      <c r="R295" s="179"/>
      <c r="S295" s="13" t="s">
        <v>844</v>
      </c>
    </row>
    <row r="296" spans="1:20">
      <c r="A296" s="167" t="s">
        <v>791</v>
      </c>
      <c r="B296" s="184" t="s">
        <v>856</v>
      </c>
      <c r="C296" s="167" t="s">
        <v>854</v>
      </c>
      <c r="D296" s="178" t="s">
        <v>857</v>
      </c>
      <c r="E296" s="167"/>
      <c r="F296" s="183" t="s">
        <v>36</v>
      </c>
      <c r="G296" s="171">
        <v>1</v>
      </c>
      <c r="H296" s="172"/>
      <c r="I296" s="182" t="str">
        <f>VLOOKUP($B296,设备架接口信息!$A$1:$G$69,4,0)</f>
        <v>四角螺栓安装</v>
      </c>
      <c r="J296" s="175" t="str">
        <f>VLOOKUP($B296,设备架接口信息!$A$1:$G$69,5,0)</f>
        <v>面搭接</v>
      </c>
      <c r="K296" s="174" t="str">
        <f>VLOOKUP(B296,电搭接情况统计!$B$2:$H$423,7,0)</f>
        <v>C类</v>
      </c>
      <c r="L296" s="175">
        <f>VLOOKUP($B296,设备架接口信息!$A$1:$G$69,6,0)</f>
        <v>0.788214</v>
      </c>
      <c r="M296" s="167"/>
      <c r="N296" s="202" t="s">
        <v>26</v>
      </c>
      <c r="O296" s="202" t="s">
        <v>26</v>
      </c>
      <c r="P296" s="179"/>
      <c r="Q296" s="179"/>
      <c r="R296" s="179"/>
      <c r="S296" s="13" t="s">
        <v>844</v>
      </c>
    </row>
    <row r="297" spans="1:20">
      <c r="A297" s="167" t="s">
        <v>791</v>
      </c>
      <c r="B297" s="184" t="s">
        <v>858</v>
      </c>
      <c r="C297" s="167" t="s">
        <v>854</v>
      </c>
      <c r="D297" s="178" t="s">
        <v>859</v>
      </c>
      <c r="E297" s="167"/>
      <c r="F297" s="183" t="s">
        <v>40</v>
      </c>
      <c r="G297" s="171">
        <v>1</v>
      </c>
      <c r="H297" s="172"/>
      <c r="I297" s="182" t="str">
        <f>VLOOKUP($B297,设备架接口信息!$A$1:$G$69,4,0)</f>
        <v>四角螺栓安装</v>
      </c>
      <c r="J297" s="175" t="str">
        <f>VLOOKUP($B297,设备架接口信息!$A$1:$G$69,5,0)</f>
        <v>面搭接</v>
      </c>
      <c r="K297" s="174" t="str">
        <f>VLOOKUP(B297,电搭接情况统计!$B$2:$H$423,7,0)</f>
        <v>C类</v>
      </c>
      <c r="L297" s="175">
        <f>VLOOKUP($B297,设备架接口信息!$A$1:$G$69,6,0)</f>
        <v>0.787614</v>
      </c>
      <c r="M297" s="167"/>
      <c r="N297" s="202" t="s">
        <v>26</v>
      </c>
      <c r="O297" s="202" t="s">
        <v>26</v>
      </c>
      <c r="P297" s="179"/>
      <c r="Q297" s="179"/>
      <c r="R297" s="179"/>
      <c r="S297" s="13" t="s">
        <v>844</v>
      </c>
    </row>
    <row r="298" spans="1:20">
      <c r="A298" s="167" t="s">
        <v>791</v>
      </c>
      <c r="B298" s="146" t="s">
        <v>860</v>
      </c>
      <c r="C298" s="167" t="s">
        <v>861</v>
      </c>
      <c r="D298" s="217" t="s">
        <v>862</v>
      </c>
      <c r="E298" s="167"/>
      <c r="F298" s="183" t="s">
        <v>44</v>
      </c>
      <c r="G298" s="171">
        <v>2</v>
      </c>
      <c r="H298" s="172"/>
      <c r="I298" s="173"/>
      <c r="J298" s="174"/>
      <c r="K298" s="174" t="str">
        <f>VLOOKUP(B298,电搭接情况统计!$B$2:$H$423,7,0)</f>
        <v>NA</v>
      </c>
      <c r="L298" s="175"/>
      <c r="M298" s="167"/>
      <c r="N298" s="202" t="s">
        <v>26</v>
      </c>
      <c r="O298" s="202" t="s">
        <v>26</v>
      </c>
      <c r="P298" s="179"/>
      <c r="Q298" s="179"/>
      <c r="R298" s="179"/>
    </row>
    <row r="299" spans="1:20">
      <c r="A299" s="167" t="s">
        <v>791</v>
      </c>
      <c r="B299" s="146" t="s">
        <v>863</v>
      </c>
      <c r="C299" s="167" t="s">
        <v>864</v>
      </c>
      <c r="D299" s="217" t="s">
        <v>865</v>
      </c>
      <c r="E299" s="167"/>
      <c r="F299" s="183" t="s">
        <v>50</v>
      </c>
      <c r="G299" s="171">
        <v>2</v>
      </c>
      <c r="H299" s="172"/>
      <c r="I299" s="173"/>
      <c r="J299" s="174"/>
      <c r="K299" s="174" t="str">
        <f>VLOOKUP(B299,电搭接情况统计!$B$2:$H$423,7,0)</f>
        <v>NA</v>
      </c>
      <c r="L299" s="175"/>
      <c r="M299" s="167"/>
      <c r="N299" s="202" t="s">
        <v>26</v>
      </c>
      <c r="O299" s="202" t="s">
        <v>26</v>
      </c>
      <c r="P299" s="179"/>
      <c r="Q299" s="179"/>
      <c r="R299" s="179"/>
    </row>
    <row r="300" spans="1:20">
      <c r="A300" s="167" t="s">
        <v>791</v>
      </c>
      <c r="B300" s="184" t="s">
        <v>866</v>
      </c>
      <c r="C300" s="167" t="s">
        <v>867</v>
      </c>
      <c r="D300" s="178" t="s">
        <v>868</v>
      </c>
      <c r="E300" s="167"/>
      <c r="F300" s="183" t="s">
        <v>94</v>
      </c>
      <c r="G300" s="171">
        <v>2</v>
      </c>
      <c r="H300" s="172"/>
      <c r="I300" s="173"/>
      <c r="J300" s="174"/>
      <c r="K300" s="174" t="str">
        <f>VLOOKUP(B300,电搭接情况统计!$B$2:$H$423,7,0)</f>
        <v>A类</v>
      </c>
      <c r="L300" s="175"/>
      <c r="M300" s="167"/>
      <c r="N300" s="202" t="s">
        <v>26</v>
      </c>
      <c r="O300" s="202" t="s">
        <v>32</v>
      </c>
      <c r="P300" s="179"/>
      <c r="Q300" s="179"/>
      <c r="R300" s="179"/>
      <c r="S300" s="13" t="s">
        <v>27</v>
      </c>
      <c r="T300" s="8" t="s">
        <v>869</v>
      </c>
    </row>
    <row r="301" spans="1:20">
      <c r="A301" s="167" t="s">
        <v>791</v>
      </c>
      <c r="B301" s="184" t="s">
        <v>870</v>
      </c>
      <c r="C301" s="167" t="s">
        <v>867</v>
      </c>
      <c r="D301" s="178" t="s">
        <v>871</v>
      </c>
      <c r="E301" s="167"/>
      <c r="F301" s="183" t="s">
        <v>94</v>
      </c>
      <c r="G301" s="171">
        <v>2</v>
      </c>
      <c r="H301" s="172"/>
      <c r="I301" s="173"/>
      <c r="J301" s="174"/>
      <c r="K301" s="174" t="str">
        <f>VLOOKUP(B301,电搭接情况统计!$B$2:$H$423,7,0)</f>
        <v>A类</v>
      </c>
      <c r="L301" s="175"/>
      <c r="M301" s="167"/>
      <c r="N301" s="202" t="s">
        <v>26</v>
      </c>
      <c r="O301" s="202" t="s">
        <v>32</v>
      </c>
      <c r="P301" s="179"/>
      <c r="Q301" s="179"/>
      <c r="R301" s="179"/>
      <c r="S301" s="13" t="s">
        <v>27</v>
      </c>
      <c r="T301" s="8" t="s">
        <v>869</v>
      </c>
    </row>
    <row r="302" spans="1:20">
      <c r="A302" s="167" t="s">
        <v>791</v>
      </c>
      <c r="B302" s="184" t="s">
        <v>872</v>
      </c>
      <c r="C302" s="167" t="s">
        <v>873</v>
      </c>
      <c r="D302" s="178" t="s">
        <v>874</v>
      </c>
      <c r="E302" s="167"/>
      <c r="F302" s="183" t="s">
        <v>94</v>
      </c>
      <c r="G302" s="171">
        <v>2</v>
      </c>
      <c r="H302" s="172"/>
      <c r="I302" s="173"/>
      <c r="J302" s="174"/>
      <c r="K302" s="174" t="str">
        <f>VLOOKUP(B302,电搭接情况统计!$B$2:$H$423,7,0)</f>
        <v>C类</v>
      </c>
      <c r="L302" s="175"/>
      <c r="M302" s="167"/>
      <c r="N302" s="202" t="s">
        <v>26</v>
      </c>
      <c r="O302" s="202" t="s">
        <v>32</v>
      </c>
      <c r="P302" s="179"/>
      <c r="Q302" s="179"/>
      <c r="R302" s="179"/>
      <c r="S302" s="13" t="s">
        <v>27</v>
      </c>
      <c r="T302" s="8" t="s">
        <v>869</v>
      </c>
    </row>
    <row r="303" spans="1:20">
      <c r="A303" s="167" t="s">
        <v>791</v>
      </c>
      <c r="B303" s="146" t="s">
        <v>875</v>
      </c>
      <c r="C303" s="167" t="s">
        <v>876</v>
      </c>
      <c r="D303" s="178" t="s">
        <v>877</v>
      </c>
      <c r="E303" s="167"/>
      <c r="F303" s="183" t="s">
        <v>300</v>
      </c>
      <c r="G303" s="171">
        <v>2</v>
      </c>
      <c r="H303" s="172"/>
      <c r="I303" s="182" t="str">
        <f>VLOOKUP($B303,设备架接口信息!$A$1:$G$69,4,0)</f>
        <v>两角螺栓安装</v>
      </c>
      <c r="J303" s="175" t="str">
        <f>VLOOKUP($B303,设备架接口信息!$A$1:$G$69,5,0)</f>
        <v>面搭接</v>
      </c>
      <c r="K303" s="174" t="str">
        <f>VLOOKUP(B303,电搭接情况统计!$B$2:$H$423,7,0)</f>
        <v>C类</v>
      </c>
      <c r="L303" s="175">
        <f>VLOOKUP($B303,设备架接口信息!$A$1:$G$69,6,0)</f>
        <v>0.079161</v>
      </c>
      <c r="M303" s="167"/>
      <c r="N303" s="202" t="s">
        <v>26</v>
      </c>
      <c r="O303" s="202" t="s">
        <v>32</v>
      </c>
      <c r="P303" s="179"/>
      <c r="Q303" s="179"/>
      <c r="R303" s="179"/>
      <c r="S303" s="13" t="s">
        <v>27</v>
      </c>
      <c r="T303" s="8" t="s">
        <v>869</v>
      </c>
    </row>
    <row r="304" spans="1:20">
      <c r="A304" s="167" t="s">
        <v>791</v>
      </c>
      <c r="B304" s="146" t="s">
        <v>878</v>
      </c>
      <c r="C304" s="167" t="s">
        <v>876</v>
      </c>
      <c r="D304" s="178" t="s">
        <v>879</v>
      </c>
      <c r="E304" s="167"/>
      <c r="F304" s="183" t="s">
        <v>303</v>
      </c>
      <c r="G304" s="171">
        <v>2</v>
      </c>
      <c r="H304" s="172"/>
      <c r="I304" s="182" t="str">
        <f>VLOOKUP($B304,设备架接口信息!$A$1:$G$69,4,0)</f>
        <v>两角螺栓安装</v>
      </c>
      <c r="J304" s="175" t="str">
        <f>VLOOKUP($B304,设备架接口信息!$A$1:$G$69,5,0)</f>
        <v>面搭接</v>
      </c>
      <c r="K304" s="174" t="str">
        <f>VLOOKUP(B304,电搭接情况统计!$B$2:$H$423,7,0)</f>
        <v>C类</v>
      </c>
      <c r="L304" s="175">
        <f>VLOOKUP($B304,设备架接口信息!$A$1:$G$69,6,0)</f>
        <v>0.079261</v>
      </c>
      <c r="M304" s="167"/>
      <c r="N304" s="202" t="s">
        <v>26</v>
      </c>
      <c r="O304" s="202" t="s">
        <v>32</v>
      </c>
      <c r="P304" s="179"/>
      <c r="Q304" s="179"/>
      <c r="R304" s="179"/>
      <c r="S304" s="13" t="s">
        <v>27</v>
      </c>
      <c r="T304" s="8" t="s">
        <v>869</v>
      </c>
    </row>
    <row r="305" spans="1:19">
      <c r="A305" s="167" t="s">
        <v>791</v>
      </c>
      <c r="B305" s="184" t="s">
        <v>880</v>
      </c>
      <c r="C305" s="167" t="s">
        <v>881</v>
      </c>
      <c r="D305" s="178" t="s">
        <v>882</v>
      </c>
      <c r="E305" s="167"/>
      <c r="F305" s="183" t="s">
        <v>110</v>
      </c>
      <c r="G305" s="171">
        <v>1</v>
      </c>
      <c r="H305" s="172"/>
      <c r="I305" s="173"/>
      <c r="J305" s="174"/>
      <c r="K305" s="174" t="str">
        <f>VLOOKUP(B305,电搭接情况统计!$B$2:$H$423,7,0)</f>
        <v>A类</v>
      </c>
      <c r="L305" s="175"/>
      <c r="M305" s="167"/>
      <c r="N305" s="202" t="s">
        <v>26</v>
      </c>
      <c r="O305" s="202" t="s">
        <v>32</v>
      </c>
      <c r="P305" s="179"/>
      <c r="Q305" s="179"/>
      <c r="R305" s="179"/>
      <c r="S305" s="13" t="s">
        <v>27</v>
      </c>
    </row>
    <row r="306" spans="1:19">
      <c r="A306" s="167" t="s">
        <v>791</v>
      </c>
      <c r="B306" s="184" t="s">
        <v>883</v>
      </c>
      <c r="C306" s="167" t="s">
        <v>881</v>
      </c>
      <c r="D306" s="178" t="s">
        <v>884</v>
      </c>
      <c r="E306" s="167"/>
      <c r="F306" s="183" t="s">
        <v>110</v>
      </c>
      <c r="G306" s="171">
        <v>1</v>
      </c>
      <c r="H306" s="172"/>
      <c r="I306" s="173"/>
      <c r="J306" s="174"/>
      <c r="K306" s="174" t="str">
        <f>VLOOKUP(B306,电搭接情况统计!$B$2:$H$423,7,0)</f>
        <v>A类</v>
      </c>
      <c r="L306" s="175"/>
      <c r="M306" s="167"/>
      <c r="N306" s="202" t="s">
        <v>26</v>
      </c>
      <c r="O306" s="202" t="s">
        <v>32</v>
      </c>
      <c r="P306" s="179"/>
      <c r="Q306" s="179"/>
      <c r="R306" s="179"/>
      <c r="S306" s="13" t="s">
        <v>27</v>
      </c>
    </row>
    <row r="307" spans="1:19">
      <c r="A307" s="167" t="s">
        <v>791</v>
      </c>
      <c r="B307" s="184" t="s">
        <v>885</v>
      </c>
      <c r="C307" s="167" t="s">
        <v>881</v>
      </c>
      <c r="D307" s="178" t="s">
        <v>886</v>
      </c>
      <c r="E307" s="167"/>
      <c r="F307" s="183" t="s">
        <v>110</v>
      </c>
      <c r="G307" s="171">
        <v>1</v>
      </c>
      <c r="H307" s="172"/>
      <c r="I307" s="173"/>
      <c r="J307" s="174"/>
      <c r="K307" s="174" t="str">
        <f>VLOOKUP(B307,电搭接情况统计!$B$2:$H$423,7,0)</f>
        <v>A类</v>
      </c>
      <c r="L307" s="175"/>
      <c r="M307" s="167"/>
      <c r="N307" s="202" t="s">
        <v>26</v>
      </c>
      <c r="O307" s="202" t="s">
        <v>32</v>
      </c>
      <c r="P307" s="179"/>
      <c r="Q307" s="179"/>
      <c r="R307" s="179"/>
      <c r="S307" s="13" t="s">
        <v>27</v>
      </c>
    </row>
    <row r="308" spans="1:19">
      <c r="A308" s="167" t="s">
        <v>791</v>
      </c>
      <c r="B308" s="184" t="s">
        <v>887</v>
      </c>
      <c r="C308" s="167" t="s">
        <v>881</v>
      </c>
      <c r="D308" s="178" t="s">
        <v>888</v>
      </c>
      <c r="E308" s="167"/>
      <c r="F308" s="183" t="s">
        <v>110</v>
      </c>
      <c r="G308" s="171">
        <v>1</v>
      </c>
      <c r="H308" s="172"/>
      <c r="I308" s="173"/>
      <c r="J308" s="174"/>
      <c r="K308" s="174" t="str">
        <f>VLOOKUP(B308,电搭接情况统计!$B$2:$H$423,7,0)</f>
        <v>A类</v>
      </c>
      <c r="L308" s="175"/>
      <c r="M308" s="167"/>
      <c r="N308" s="202" t="s">
        <v>26</v>
      </c>
      <c r="O308" s="202" t="s">
        <v>32</v>
      </c>
      <c r="P308" s="179"/>
      <c r="Q308" s="179"/>
      <c r="R308" s="179"/>
      <c r="S308" s="13" t="s">
        <v>27</v>
      </c>
    </row>
    <row r="309" spans="1:19">
      <c r="A309" s="167" t="s">
        <v>791</v>
      </c>
      <c r="B309" s="184" t="s">
        <v>889</v>
      </c>
      <c r="C309" s="167" t="s">
        <v>890</v>
      </c>
      <c r="D309" s="178" t="s">
        <v>891</v>
      </c>
      <c r="E309" s="167"/>
      <c r="F309" s="183" t="s">
        <v>119</v>
      </c>
      <c r="G309" s="171">
        <v>1</v>
      </c>
      <c r="H309" s="172"/>
      <c r="I309" s="173"/>
      <c r="J309" s="174"/>
      <c r="K309" s="174" t="str">
        <f>VLOOKUP(B309,电搭接情况统计!$B$2:$H$423,7,0)</f>
        <v>C类</v>
      </c>
      <c r="L309" s="175"/>
      <c r="M309" s="167"/>
      <c r="N309" s="202" t="s">
        <v>26</v>
      </c>
      <c r="O309" s="202" t="s">
        <v>26</v>
      </c>
      <c r="P309" s="179"/>
      <c r="Q309" s="179"/>
      <c r="R309" s="179"/>
      <c r="S309" s="13" t="s">
        <v>27</v>
      </c>
    </row>
    <row r="310" spans="1:19">
      <c r="A310" s="167" t="s">
        <v>791</v>
      </c>
      <c r="B310" s="184" t="s">
        <v>892</v>
      </c>
      <c r="C310" s="167" t="s">
        <v>890</v>
      </c>
      <c r="D310" s="178" t="s">
        <v>893</v>
      </c>
      <c r="E310" s="167"/>
      <c r="F310" s="183" t="s">
        <v>119</v>
      </c>
      <c r="G310" s="171">
        <v>1</v>
      </c>
      <c r="H310" s="172"/>
      <c r="I310" s="173"/>
      <c r="J310" s="174"/>
      <c r="K310" s="174" t="str">
        <f>VLOOKUP(B310,电搭接情况统计!$B$2:$H$423,7,0)</f>
        <v>C类</v>
      </c>
      <c r="L310" s="175"/>
      <c r="M310" s="167"/>
      <c r="N310" s="202" t="s">
        <v>26</v>
      </c>
      <c r="O310" s="202" t="s">
        <v>26</v>
      </c>
      <c r="P310" s="179"/>
      <c r="Q310" s="179"/>
      <c r="R310" s="179"/>
      <c r="S310" s="13" t="s">
        <v>27</v>
      </c>
    </row>
    <row r="311" spans="1:19">
      <c r="A311" s="167" t="s">
        <v>791</v>
      </c>
      <c r="B311" s="184" t="s">
        <v>894</v>
      </c>
      <c r="C311" s="167" t="s">
        <v>895</v>
      </c>
      <c r="D311" s="178" t="s">
        <v>896</v>
      </c>
      <c r="E311" s="167"/>
      <c r="F311" s="183" t="s">
        <v>36</v>
      </c>
      <c r="G311" s="171">
        <v>1</v>
      </c>
      <c r="H311" s="172" t="s">
        <v>897</v>
      </c>
      <c r="I311" s="182" t="s">
        <v>898</v>
      </c>
      <c r="J311" s="175" t="str">
        <f>VLOOKUP($B311,设备架接口信息!$A$1:$G$69,5,0)</f>
        <v>线搭接</v>
      </c>
      <c r="K311" s="174" t="str">
        <f>VLOOKUP(B311,电搭接情况统计!$B$2:$H$423,7,0)</f>
        <v>C类</v>
      </c>
      <c r="L311" s="175">
        <f>VLOOKUP($B311,设备架接口信息!$A$1:$G$69,6,0)</f>
        <v>5.335745</v>
      </c>
      <c r="M311" s="167"/>
      <c r="N311" s="202" t="s">
        <v>26</v>
      </c>
      <c r="O311" s="202" t="s">
        <v>26</v>
      </c>
      <c r="P311" s="179"/>
      <c r="Q311" s="179"/>
      <c r="R311" s="179"/>
      <c r="S311" s="67" t="s">
        <v>37</v>
      </c>
    </row>
    <row r="312" spans="1:19">
      <c r="A312" s="167" t="s">
        <v>791</v>
      </c>
      <c r="B312" s="184" t="s">
        <v>899</v>
      </c>
      <c r="C312" s="167" t="s">
        <v>900</v>
      </c>
      <c r="D312" s="178" t="s">
        <v>901</v>
      </c>
      <c r="E312" s="167"/>
      <c r="F312" s="183" t="s">
        <v>36</v>
      </c>
      <c r="G312" s="171">
        <v>1</v>
      </c>
      <c r="H312" s="172" t="s">
        <v>897</v>
      </c>
      <c r="I312" s="182" t="s">
        <v>898</v>
      </c>
      <c r="J312" s="175" t="str">
        <f>VLOOKUP($B312,设备架接口信息!$A$1:$G$69,5,0)</f>
        <v>线搭接</v>
      </c>
      <c r="K312" s="174" t="str">
        <f>VLOOKUP(B312,电搭接情况统计!$B$2:$H$423,7,0)</f>
        <v>C类</v>
      </c>
      <c r="L312" s="175">
        <f>VLOOKUP($B312,设备架接口信息!$A$1:$G$69,6,0)</f>
        <v>5.4398</v>
      </c>
      <c r="M312" s="167"/>
      <c r="N312" s="202" t="s">
        <v>26</v>
      </c>
      <c r="O312" s="202" t="s">
        <v>26</v>
      </c>
      <c r="P312" s="179"/>
      <c r="Q312" s="179"/>
      <c r="R312" s="179"/>
      <c r="S312" s="67" t="s">
        <v>37</v>
      </c>
    </row>
    <row r="313" spans="1:19">
      <c r="A313" s="167" t="s">
        <v>791</v>
      </c>
      <c r="B313" s="184" t="s">
        <v>902</v>
      </c>
      <c r="C313" s="167" t="s">
        <v>903</v>
      </c>
      <c r="D313" s="178" t="s">
        <v>904</v>
      </c>
      <c r="E313" s="167"/>
      <c r="F313" s="183" t="s">
        <v>364</v>
      </c>
      <c r="G313" s="171">
        <v>1</v>
      </c>
      <c r="H313" s="172" t="s">
        <v>897</v>
      </c>
      <c r="I313" s="173"/>
      <c r="J313" s="174"/>
      <c r="K313" s="174" t="str">
        <f>VLOOKUP(B313,电搭接情况统计!$B$2:$H$423,7,0)</f>
        <v>C类</v>
      </c>
      <c r="L313" s="175"/>
      <c r="M313" s="167"/>
      <c r="N313" s="202" t="s">
        <v>26</v>
      </c>
      <c r="O313" s="202" t="s">
        <v>26</v>
      </c>
      <c r="P313" s="179"/>
      <c r="Q313" s="179"/>
      <c r="R313" s="179"/>
      <c r="S313" s="13" t="s">
        <v>27</v>
      </c>
    </row>
    <row r="314" spans="1:19">
      <c r="A314" s="167" t="s">
        <v>791</v>
      </c>
      <c r="B314" s="146" t="s">
        <v>905</v>
      </c>
      <c r="C314" s="167" t="s">
        <v>906</v>
      </c>
      <c r="D314" s="178" t="s">
        <v>907</v>
      </c>
      <c r="E314" s="167"/>
      <c r="F314" s="183" t="s">
        <v>300</v>
      </c>
      <c r="G314" s="171">
        <v>2</v>
      </c>
      <c r="H314" s="172" t="s">
        <v>908</v>
      </c>
      <c r="I314" s="182" t="s">
        <v>898</v>
      </c>
      <c r="J314" s="175" t="str">
        <f>VLOOKUP($B314,设备架接口信息!$A$1:$G$69,5,0)</f>
        <v>线搭接</v>
      </c>
      <c r="K314" s="174" t="str">
        <f>VLOOKUP(B314,电搭接情况统计!$B$2:$H$423,7,0)</f>
        <v>C类</v>
      </c>
      <c r="L314" s="175">
        <f>VLOOKUP($B314,设备架接口信息!$A$1:$G$69,6,0)</f>
        <v>7.21038</v>
      </c>
      <c r="M314" s="167"/>
      <c r="N314" s="202" t="s">
        <v>26</v>
      </c>
      <c r="O314" s="202" t="s">
        <v>26</v>
      </c>
      <c r="P314" s="179"/>
      <c r="Q314" s="179"/>
      <c r="R314" s="179"/>
      <c r="S314" s="13" t="s">
        <v>27</v>
      </c>
    </row>
    <row r="315" spans="1:19">
      <c r="A315" s="167" t="s">
        <v>791</v>
      </c>
      <c r="B315" s="146" t="s">
        <v>909</v>
      </c>
      <c r="C315" s="167" t="s">
        <v>910</v>
      </c>
      <c r="D315" s="178" t="s">
        <v>911</v>
      </c>
      <c r="E315" s="167"/>
      <c r="F315" s="183" t="s">
        <v>303</v>
      </c>
      <c r="G315" s="171">
        <v>2</v>
      </c>
      <c r="H315" s="172" t="s">
        <v>908</v>
      </c>
      <c r="I315" s="182" t="s">
        <v>898</v>
      </c>
      <c r="J315" s="175" t="str">
        <f>VLOOKUP($B315,设备架接口信息!$A$1:$G$69,5,0)</f>
        <v>线搭接</v>
      </c>
      <c r="K315" s="174" t="str">
        <f>VLOOKUP(B315,电搭接情况统计!$B$2:$H$423,7,0)</f>
        <v>C类</v>
      </c>
      <c r="L315" s="175">
        <f>VLOOKUP($B315,设备架接口信息!$A$1:$G$69,6,0)</f>
        <v>6.045385</v>
      </c>
      <c r="M315" s="167"/>
      <c r="N315" s="202" t="s">
        <v>26</v>
      </c>
      <c r="O315" s="202" t="s">
        <v>26</v>
      </c>
      <c r="P315" s="179"/>
      <c r="Q315" s="179"/>
      <c r="R315" s="179"/>
      <c r="S315" s="67" t="s">
        <v>37</v>
      </c>
    </row>
    <row r="316" spans="1:19">
      <c r="A316" s="167" t="s">
        <v>791</v>
      </c>
      <c r="B316" s="184" t="s">
        <v>912</v>
      </c>
      <c r="C316" s="167" t="s">
        <v>913</v>
      </c>
      <c r="D316" s="178" t="s">
        <v>914</v>
      </c>
      <c r="E316" s="167"/>
      <c r="F316" s="183" t="s">
        <v>31</v>
      </c>
      <c r="G316" s="171">
        <v>2</v>
      </c>
      <c r="H316" s="172" t="s">
        <v>915</v>
      </c>
      <c r="I316" s="173"/>
      <c r="J316" s="174"/>
      <c r="K316" s="174" t="str">
        <f>VLOOKUP(B316,电搭接情况统计!$B$2:$H$423,7,0)</f>
        <v>A类</v>
      </c>
      <c r="L316" s="175"/>
      <c r="M316" s="167"/>
      <c r="N316" s="202" t="s">
        <v>26</v>
      </c>
      <c r="O316" s="202" t="s">
        <v>32</v>
      </c>
      <c r="P316" s="179"/>
      <c r="Q316" s="179"/>
      <c r="R316" s="179"/>
      <c r="S316" s="13" t="s">
        <v>27</v>
      </c>
    </row>
    <row r="317" spans="1:19">
      <c r="A317" s="167" t="s">
        <v>791</v>
      </c>
      <c r="B317" s="146" t="s">
        <v>916</v>
      </c>
      <c r="C317" s="167" t="s">
        <v>913</v>
      </c>
      <c r="D317" s="178" t="s">
        <v>917</v>
      </c>
      <c r="E317" s="167"/>
      <c r="F317" s="183" t="s">
        <v>110</v>
      </c>
      <c r="G317" s="171">
        <v>2</v>
      </c>
      <c r="H317" s="172" t="s">
        <v>915</v>
      </c>
      <c r="I317" s="173"/>
      <c r="J317" s="174"/>
      <c r="K317" s="174" t="str">
        <f>VLOOKUP(B317,电搭接情况统计!$B$2:$H$423,7,0)</f>
        <v>A类</v>
      </c>
      <c r="L317" s="175"/>
      <c r="M317" s="167"/>
      <c r="N317" s="202" t="s">
        <v>26</v>
      </c>
      <c r="O317" s="202" t="s">
        <v>32</v>
      </c>
      <c r="P317" s="179"/>
      <c r="Q317" s="179"/>
      <c r="R317" s="179"/>
      <c r="S317" s="13" t="s">
        <v>27</v>
      </c>
    </row>
    <row r="318" spans="1:19">
      <c r="A318" s="167" t="s">
        <v>791</v>
      </c>
      <c r="B318" s="184" t="s">
        <v>918</v>
      </c>
      <c r="C318" s="167" t="s">
        <v>913</v>
      </c>
      <c r="D318" s="178" t="s">
        <v>919</v>
      </c>
      <c r="E318" s="167"/>
      <c r="F318" s="183" t="s">
        <v>31</v>
      </c>
      <c r="G318" s="171">
        <v>2</v>
      </c>
      <c r="H318" s="172" t="s">
        <v>915</v>
      </c>
      <c r="I318" s="173"/>
      <c r="J318" s="174"/>
      <c r="K318" s="174" t="str">
        <f>VLOOKUP(B318,电搭接情况统计!$B$2:$H$423,7,0)</f>
        <v>A类</v>
      </c>
      <c r="L318" s="175"/>
      <c r="M318" s="167"/>
      <c r="N318" s="202" t="s">
        <v>26</v>
      </c>
      <c r="O318" s="202" t="s">
        <v>32</v>
      </c>
      <c r="P318" s="179"/>
      <c r="Q318" s="179"/>
      <c r="R318" s="179"/>
      <c r="S318" s="13" t="s">
        <v>27</v>
      </c>
    </row>
    <row r="319" spans="1:19">
      <c r="A319" s="167" t="s">
        <v>791</v>
      </c>
      <c r="B319" s="146" t="s">
        <v>920</v>
      </c>
      <c r="C319" s="167" t="s">
        <v>921</v>
      </c>
      <c r="D319" s="178" t="s">
        <v>922</v>
      </c>
      <c r="E319" s="167"/>
      <c r="F319" s="183" t="s">
        <v>36</v>
      </c>
      <c r="G319" s="171">
        <v>1</v>
      </c>
      <c r="H319" s="172"/>
      <c r="I319" s="182" t="s">
        <v>371</v>
      </c>
      <c r="J319" s="175" t="str">
        <f>VLOOKUP($B319,设备架接口信息!$A$1:$G$69,5,0)</f>
        <v>面搭接</v>
      </c>
      <c r="K319" s="174"/>
      <c r="L319" s="175">
        <f>VLOOKUP($B319,设备架接口信息!$A$1:$G$69,6,0)</f>
        <v>9.5</v>
      </c>
      <c r="M319" s="167"/>
      <c r="N319" s="202" t="s">
        <v>26</v>
      </c>
      <c r="O319" s="202" t="s">
        <v>26</v>
      </c>
      <c r="P319" s="179"/>
      <c r="Q319" s="179"/>
      <c r="R319" s="179"/>
      <c r="S319" s="67" t="s">
        <v>923</v>
      </c>
    </row>
    <row r="320" spans="1:19">
      <c r="A320" s="167" t="s">
        <v>791</v>
      </c>
      <c r="B320" s="146" t="s">
        <v>924</v>
      </c>
      <c r="C320" s="167" t="s">
        <v>925</v>
      </c>
      <c r="D320" s="178" t="s">
        <v>926</v>
      </c>
      <c r="E320" s="167"/>
      <c r="F320" s="183" t="s">
        <v>31</v>
      </c>
      <c r="G320" s="171">
        <v>1</v>
      </c>
      <c r="H320" s="172"/>
      <c r="I320" s="173"/>
      <c r="J320" s="174"/>
      <c r="K320" s="174"/>
      <c r="L320" s="175"/>
      <c r="M320" s="167"/>
      <c r="N320" s="202" t="s">
        <v>26</v>
      </c>
      <c r="O320" s="202" t="s">
        <v>32</v>
      </c>
      <c r="P320" s="179"/>
      <c r="Q320" s="179"/>
      <c r="R320" s="179"/>
      <c r="S320" s="13" t="s">
        <v>27</v>
      </c>
    </row>
    <row r="321" spans="1:20">
      <c r="A321" s="167" t="s">
        <v>791</v>
      </c>
      <c r="B321" s="146" t="s">
        <v>927</v>
      </c>
      <c r="C321" s="167" t="s">
        <v>925</v>
      </c>
      <c r="D321" s="178" t="s">
        <v>928</v>
      </c>
      <c r="E321" s="167"/>
      <c r="F321" s="183" t="s">
        <v>110</v>
      </c>
      <c r="G321" s="171">
        <v>1</v>
      </c>
      <c r="H321" s="172"/>
      <c r="I321" s="173"/>
      <c r="J321" s="174"/>
      <c r="K321" s="174"/>
      <c r="L321" s="175"/>
      <c r="M321" s="167"/>
      <c r="N321" s="202" t="s">
        <v>26</v>
      </c>
      <c r="O321" s="202" t="s">
        <v>32</v>
      </c>
      <c r="P321" s="179"/>
      <c r="Q321" s="179"/>
      <c r="R321" s="179"/>
      <c r="S321" s="13" t="s">
        <v>27</v>
      </c>
    </row>
    <row r="322" spans="1:20">
      <c r="A322" s="167" t="s">
        <v>791</v>
      </c>
      <c r="B322" s="146" t="s">
        <v>929</v>
      </c>
      <c r="C322" s="167" t="s">
        <v>930</v>
      </c>
      <c r="D322" s="178" t="s">
        <v>931</v>
      </c>
      <c r="E322" s="167"/>
      <c r="F322" s="183" t="s">
        <v>932</v>
      </c>
      <c r="G322" s="171">
        <v>2</v>
      </c>
      <c r="H322" s="172"/>
      <c r="I322" s="173"/>
      <c r="J322" s="174"/>
      <c r="K322" s="174" t="str">
        <f>VLOOKUP(B322,电搭接情况统计!$B$2:$H$423,7,0)</f>
        <v>C类</v>
      </c>
      <c r="L322" s="175"/>
      <c r="M322" s="167"/>
      <c r="N322" s="202" t="s">
        <v>26</v>
      </c>
      <c r="O322" s="202" t="s">
        <v>26</v>
      </c>
      <c r="P322" s="179"/>
      <c r="Q322" s="179"/>
      <c r="R322" s="179"/>
      <c r="S322" s="13" t="s">
        <v>27</v>
      </c>
    </row>
    <row r="323" spans="1:20">
      <c r="A323" s="167" t="s">
        <v>791</v>
      </c>
      <c r="B323" s="146" t="s">
        <v>933</v>
      </c>
      <c r="C323" s="167" t="s">
        <v>683</v>
      </c>
      <c r="D323" s="178" t="s">
        <v>683</v>
      </c>
      <c r="E323" s="167"/>
      <c r="F323" s="183" t="s">
        <v>683</v>
      </c>
      <c r="G323" s="171">
        <v>2</v>
      </c>
      <c r="H323" s="172"/>
      <c r="I323" s="173"/>
      <c r="J323" s="174"/>
      <c r="K323" s="174"/>
      <c r="L323" s="175"/>
      <c r="M323" s="167"/>
      <c r="N323" s="202" t="s">
        <v>26</v>
      </c>
      <c r="O323" s="202" t="s">
        <v>26</v>
      </c>
      <c r="P323" s="179"/>
      <c r="Q323" s="179"/>
      <c r="R323" s="179"/>
      <c r="S323" s="13" t="s">
        <v>27</v>
      </c>
      <c r="T323" s="8"/>
    </row>
    <row r="324" spans="1:20">
      <c r="A324" s="167" t="s">
        <v>791</v>
      </c>
      <c r="B324" s="184" t="s">
        <v>934</v>
      </c>
      <c r="C324" s="167" t="s">
        <v>935</v>
      </c>
      <c r="D324" s="178" t="s">
        <v>936</v>
      </c>
      <c r="E324" s="167"/>
      <c r="F324" s="183" t="s">
        <v>31</v>
      </c>
      <c r="G324" s="171">
        <v>1</v>
      </c>
      <c r="H324" s="172"/>
      <c r="I324" s="173"/>
      <c r="J324" s="174"/>
      <c r="K324" s="174" t="str">
        <f>VLOOKUP(B324,电搭接情况统计!$B$2:$H$423,7,0)</f>
        <v>A类</v>
      </c>
      <c r="L324" s="175"/>
      <c r="M324" s="167"/>
      <c r="N324" s="202" t="s">
        <v>26</v>
      </c>
      <c r="O324" s="202" t="s">
        <v>32</v>
      </c>
      <c r="P324" s="179"/>
      <c r="Q324" s="179"/>
      <c r="R324" s="179"/>
      <c r="S324" s="13" t="s">
        <v>27</v>
      </c>
    </row>
    <row r="325" spans="1:20">
      <c r="A325" s="167" t="s">
        <v>791</v>
      </c>
      <c r="B325" s="184" t="s">
        <v>937</v>
      </c>
      <c r="C325" s="167" t="s">
        <v>935</v>
      </c>
      <c r="D325" s="178" t="s">
        <v>938</v>
      </c>
      <c r="E325" s="167"/>
      <c r="F325" s="183" t="s">
        <v>31</v>
      </c>
      <c r="G325" s="171">
        <v>1</v>
      </c>
      <c r="H325" s="172"/>
      <c r="I325" s="173"/>
      <c r="J325" s="174"/>
      <c r="K325" s="174" t="str">
        <f>VLOOKUP(B325,电搭接情况统计!$B$2:$H$423,7,0)</f>
        <v>A类</v>
      </c>
      <c r="L325" s="175"/>
      <c r="M325" s="167"/>
      <c r="N325" s="202" t="s">
        <v>26</v>
      </c>
      <c r="O325" s="202" t="s">
        <v>32</v>
      </c>
      <c r="P325" s="179"/>
      <c r="Q325" s="179"/>
      <c r="R325" s="179"/>
      <c r="S325" s="13" t="s">
        <v>27</v>
      </c>
    </row>
    <row r="326" spans="1:20">
      <c r="A326" s="167" t="s">
        <v>791</v>
      </c>
      <c r="B326" s="184" t="s">
        <v>939</v>
      </c>
      <c r="C326" s="167" t="s">
        <v>940</v>
      </c>
      <c r="D326" s="178" t="s">
        <v>941</v>
      </c>
      <c r="E326" s="167"/>
      <c r="F326" s="183" t="s">
        <v>300</v>
      </c>
      <c r="G326" s="171">
        <v>1</v>
      </c>
      <c r="H326" s="172"/>
      <c r="I326" s="182" t="str">
        <f>VLOOKUP($B326,设备架接口信息!$A$1:$G$69,4,0)</f>
        <v>四角螺栓安装</v>
      </c>
      <c r="J326" s="175" t="str">
        <f>VLOOKUP($B326,设备架接口信息!$A$1:$G$69,5,0)</f>
        <v>面搭接</v>
      </c>
      <c r="K326" s="174" t="str">
        <f>VLOOKUP(B326,电搭接情况统计!$B$2:$H$423,7,0)</f>
        <v>C类</v>
      </c>
      <c r="L326" s="175">
        <f>VLOOKUP($B326,设备架接口信息!$A$1:$G$69,6,0)</f>
        <v>0.289052</v>
      </c>
      <c r="M326" s="167"/>
      <c r="N326" s="202" t="s">
        <v>26</v>
      </c>
      <c r="O326" s="202" t="s">
        <v>32</v>
      </c>
      <c r="P326" s="179"/>
      <c r="Q326" s="179"/>
      <c r="R326" s="179"/>
      <c r="S326" s="13" t="s">
        <v>27</v>
      </c>
    </row>
    <row r="327" spans="1:20">
      <c r="A327" s="167" t="s">
        <v>791</v>
      </c>
      <c r="B327" s="184" t="s">
        <v>942</v>
      </c>
      <c r="C327" s="167" t="s">
        <v>940</v>
      </c>
      <c r="D327" s="178" t="s">
        <v>943</v>
      </c>
      <c r="E327" s="167"/>
      <c r="F327" s="183" t="s">
        <v>303</v>
      </c>
      <c r="G327" s="171">
        <v>5</v>
      </c>
      <c r="H327" s="172"/>
      <c r="I327" s="182" t="str">
        <f>VLOOKUP($B327,设备架接口信息!$A$1:$G$69,4,0)</f>
        <v>四角螺栓安装</v>
      </c>
      <c r="J327" s="175" t="str">
        <f>VLOOKUP($B327,设备架接口信息!$A$1:$G$69,5,0)</f>
        <v>面搭接</v>
      </c>
      <c r="K327" s="174" t="str">
        <f>VLOOKUP(B327,电搭接情况统计!$B$2:$H$423,7,0)</f>
        <v>C类</v>
      </c>
      <c r="L327" s="175">
        <f>VLOOKUP($B327,设备架接口信息!$A$1:$G$69,6,0)</f>
        <v>0.289152</v>
      </c>
      <c r="M327" s="167"/>
      <c r="N327" s="202" t="s">
        <v>26</v>
      </c>
      <c r="O327" s="202" t="s">
        <v>32</v>
      </c>
      <c r="P327" s="179"/>
      <c r="Q327" s="179"/>
      <c r="R327" s="179"/>
      <c r="S327" s="13" t="s">
        <v>27</v>
      </c>
      <c r="T327" s="8" t="s">
        <v>944</v>
      </c>
    </row>
    <row r="328" spans="1:20">
      <c r="A328" s="167" t="s">
        <v>791</v>
      </c>
      <c r="B328" s="184" t="s">
        <v>945</v>
      </c>
      <c r="C328" s="167" t="s">
        <v>946</v>
      </c>
      <c r="D328" s="178" t="s">
        <v>947</v>
      </c>
      <c r="E328" s="167"/>
      <c r="F328" s="183" t="s">
        <v>315</v>
      </c>
      <c r="G328" s="171">
        <v>5</v>
      </c>
      <c r="H328" s="172"/>
      <c r="I328" s="173"/>
      <c r="J328" s="174"/>
      <c r="K328" s="174" t="str">
        <f>VLOOKUP(B328,电搭接情况统计!$B$2:$H$423,7,0)</f>
        <v>C类</v>
      </c>
      <c r="L328" s="175"/>
      <c r="M328" s="167"/>
      <c r="N328" s="202" t="s">
        <v>26</v>
      </c>
      <c r="O328" s="202" t="s">
        <v>26</v>
      </c>
      <c r="P328" s="179"/>
      <c r="Q328" s="179"/>
      <c r="R328" s="179"/>
      <c r="S328" s="13" t="s">
        <v>27</v>
      </c>
      <c r="T328" s="8"/>
    </row>
    <row r="329" spans="1:20">
      <c r="A329" s="167" t="s">
        <v>791</v>
      </c>
      <c r="B329" s="184" t="s">
        <v>948</v>
      </c>
      <c r="C329" s="167" t="s">
        <v>946</v>
      </c>
      <c r="D329" s="178" t="s">
        <v>949</v>
      </c>
      <c r="E329" s="167"/>
      <c r="F329" s="183" t="s">
        <v>315</v>
      </c>
      <c r="G329" s="171">
        <v>5</v>
      </c>
      <c r="H329" s="172"/>
      <c r="I329" s="173"/>
      <c r="J329" s="174"/>
      <c r="K329" s="174" t="str">
        <f>VLOOKUP(B329,电搭接情况统计!$B$2:$H$423,7,0)</f>
        <v>C类</v>
      </c>
      <c r="L329" s="175"/>
      <c r="M329" s="167"/>
      <c r="N329" s="202" t="s">
        <v>26</v>
      </c>
      <c r="O329" s="202" t="s">
        <v>26</v>
      </c>
      <c r="P329" s="179"/>
      <c r="Q329" s="179"/>
      <c r="R329" s="179"/>
      <c r="S329" s="13" t="s">
        <v>27</v>
      </c>
      <c r="T329" s="8"/>
    </row>
    <row r="330" spans="1:20">
      <c r="A330" s="167" t="s">
        <v>950</v>
      </c>
      <c r="B330" s="146" t="s">
        <v>951</v>
      </c>
      <c r="C330" s="167"/>
      <c r="D330" s="178"/>
      <c r="E330" s="167"/>
      <c r="F330" s="183"/>
      <c r="G330" s="171">
        <v>3</v>
      </c>
      <c r="H330" s="172"/>
      <c r="I330" s="173"/>
      <c r="J330" s="174"/>
      <c r="K330" s="174"/>
      <c r="L330" s="175"/>
      <c r="M330" s="167" t="s">
        <v>51</v>
      </c>
      <c r="N330" s="202" t="s">
        <v>32</v>
      </c>
      <c r="O330" s="202" t="s">
        <v>32</v>
      </c>
      <c r="P330" s="179"/>
      <c r="Q330" s="179"/>
      <c r="R330" s="179"/>
      <c r="S330" s="13" t="s">
        <v>27</v>
      </c>
    </row>
    <row r="331" spans="1:20">
      <c r="A331" s="167" t="s">
        <v>950</v>
      </c>
      <c r="B331" s="146" t="s">
        <v>952</v>
      </c>
      <c r="C331" s="167"/>
      <c r="D331" s="178"/>
      <c r="E331" s="167"/>
      <c r="F331" s="183"/>
      <c r="G331" s="171">
        <v>3</v>
      </c>
      <c r="H331" s="172"/>
      <c r="I331" s="173"/>
      <c r="J331" s="174"/>
      <c r="K331" s="174"/>
      <c r="L331" s="175"/>
      <c r="M331" s="167" t="s">
        <v>51</v>
      </c>
      <c r="N331" s="202" t="s">
        <v>32</v>
      </c>
      <c r="O331" s="202" t="s">
        <v>32</v>
      </c>
      <c r="P331" s="179"/>
      <c r="Q331" s="179"/>
      <c r="R331" s="179"/>
      <c r="S331" s="13" t="s">
        <v>27</v>
      </c>
      <c r="T331" s="8"/>
    </row>
    <row r="332" spans="1:20">
      <c r="A332" s="167" t="s">
        <v>953</v>
      </c>
      <c r="B332" s="184" t="s">
        <v>954</v>
      </c>
      <c r="C332" s="167" t="s">
        <v>955</v>
      </c>
      <c r="D332" s="217" t="s">
        <v>956</v>
      </c>
      <c r="E332" s="167" t="s">
        <v>957</v>
      </c>
      <c r="F332" s="192" t="s">
        <v>152</v>
      </c>
      <c r="G332" s="171">
        <v>1</v>
      </c>
      <c r="H332" s="172" t="s">
        <v>106</v>
      </c>
      <c r="I332" s="182" t="str">
        <f>VLOOKUP($B332,设备架接口信息!$A$1:$G$69,4,0)</f>
        <v>4MCU托架安装，A类锁紧器</v>
      </c>
      <c r="J332" s="175" t="str">
        <f>VLOOKUP($B332,设备架接口信息!$A$1:$G$69,5,0)</f>
        <v>面搭接</v>
      </c>
      <c r="K332" s="174" t="str">
        <f>VLOOKUP(B332,电搭接情况统计!$B$2:$H$423,7,0)</f>
        <v>C类</v>
      </c>
      <c r="L332" s="175">
        <f>VLOOKUP($B332,设备架接口信息!$A$1:$G$69,6,0)</f>
        <v>3.8</v>
      </c>
      <c r="M332" s="167"/>
      <c r="N332" s="202" t="s">
        <v>26</v>
      </c>
      <c r="O332" s="202" t="s">
        <v>26</v>
      </c>
      <c r="P332" s="179"/>
      <c r="Q332" s="179"/>
      <c r="R332" s="179"/>
      <c r="S332" s="67" t="s">
        <v>958</v>
      </c>
    </row>
    <row r="333" spans="1:20">
      <c r="A333" s="167" t="s">
        <v>953</v>
      </c>
      <c r="B333" s="184" t="s">
        <v>959</v>
      </c>
      <c r="C333" s="167" t="s">
        <v>955</v>
      </c>
      <c r="D333" s="217" t="s">
        <v>960</v>
      </c>
      <c r="E333" s="167" t="s">
        <v>957</v>
      </c>
      <c r="F333" s="192" t="s">
        <v>961</v>
      </c>
      <c r="G333" s="171">
        <v>1</v>
      </c>
      <c r="H333" s="172" t="s">
        <v>106</v>
      </c>
      <c r="I333" s="182" t="str">
        <f>VLOOKUP($B333,设备架接口信息!$A$1:$G$69,4,0)</f>
        <v>4MCU托架安装，A类锁紧器</v>
      </c>
      <c r="J333" s="175" t="str">
        <f>VLOOKUP($B333,设备架接口信息!$A$1:$G$69,5,0)</f>
        <v>面搭接</v>
      </c>
      <c r="K333" s="174" t="str">
        <f>VLOOKUP(B333,电搭接情况统计!$B$2:$H$423,7,0)</f>
        <v>C类</v>
      </c>
      <c r="L333" s="175">
        <f>VLOOKUP($B333,设备架接口信息!$A$1:$G$69,6,0)</f>
        <v>3.8</v>
      </c>
      <c r="M333" s="167"/>
      <c r="N333" s="202" t="s">
        <v>26</v>
      </c>
      <c r="O333" s="202" t="s">
        <v>26</v>
      </c>
      <c r="P333" s="179"/>
      <c r="Q333" s="179"/>
      <c r="R333" s="179"/>
      <c r="S333" s="67" t="s">
        <v>958</v>
      </c>
    </row>
    <row r="334" spans="1:20">
      <c r="A334" s="167" t="s">
        <v>953</v>
      </c>
      <c r="B334" s="184" t="s">
        <v>962</v>
      </c>
      <c r="C334" s="167" t="s">
        <v>963</v>
      </c>
      <c r="D334" s="178" t="s">
        <v>964</v>
      </c>
      <c r="E334" s="167"/>
      <c r="F334" s="183" t="s">
        <v>315</v>
      </c>
      <c r="G334" s="171">
        <v>5</v>
      </c>
      <c r="H334" s="172"/>
      <c r="I334" s="173"/>
      <c r="J334" s="174"/>
      <c r="K334" s="174" t="str">
        <f>VLOOKUP(B334,电搭接情况统计!$B$2:$H$423,7,0)</f>
        <v>C类</v>
      </c>
      <c r="L334" s="175"/>
      <c r="M334" s="167"/>
      <c r="N334" s="202" t="s">
        <v>26</v>
      </c>
      <c r="O334" s="202" t="s">
        <v>26</v>
      </c>
      <c r="P334" s="179"/>
      <c r="Q334" s="179"/>
      <c r="R334" s="179"/>
      <c r="S334" s="13" t="s">
        <v>316</v>
      </c>
    </row>
    <row r="335" spans="1:20">
      <c r="A335" s="167" t="s">
        <v>953</v>
      </c>
      <c r="B335" s="184" t="s">
        <v>965</v>
      </c>
      <c r="C335" s="167" t="s">
        <v>963</v>
      </c>
      <c r="D335" s="178" t="s">
        <v>966</v>
      </c>
      <c r="E335" s="167"/>
      <c r="F335" s="183" t="s">
        <v>315</v>
      </c>
      <c r="G335" s="171">
        <v>5</v>
      </c>
      <c r="H335" s="172"/>
      <c r="I335" s="173"/>
      <c r="J335" s="174"/>
      <c r="K335" s="174" t="str">
        <f>VLOOKUP(B335,电搭接情况统计!$B$2:$H$423,7,0)</f>
        <v>C类</v>
      </c>
      <c r="L335" s="175"/>
      <c r="M335" s="167"/>
      <c r="N335" s="202" t="s">
        <v>26</v>
      </c>
      <c r="O335" s="202" t="s">
        <v>26</v>
      </c>
      <c r="P335" s="179"/>
      <c r="Q335" s="179"/>
      <c r="R335" s="179"/>
      <c r="S335" s="13" t="s">
        <v>316</v>
      </c>
    </row>
    <row r="336" spans="1:20">
      <c r="A336" s="167" t="s">
        <v>953</v>
      </c>
      <c r="B336" s="184" t="s">
        <v>967</v>
      </c>
      <c r="C336" s="167" t="s">
        <v>968</v>
      </c>
      <c r="D336" s="178" t="s">
        <v>969</v>
      </c>
      <c r="E336" s="167" t="s">
        <v>970</v>
      </c>
      <c r="F336" s="183" t="s">
        <v>40</v>
      </c>
      <c r="G336" s="171">
        <v>1</v>
      </c>
      <c r="H336" s="172" t="s">
        <v>106</v>
      </c>
      <c r="I336" s="182" t="str">
        <f>VLOOKUP($B336,设备架接口信息!$A$1:$G$69,4,0)</f>
        <v>3MCU托架安装，A类锁紧器</v>
      </c>
      <c r="J336" s="175" t="str">
        <f>VLOOKUP($B336,设备架接口信息!$A$1:$G$69,5,0)</f>
        <v>面搭接</v>
      </c>
      <c r="K336" s="174" t="str">
        <f>VLOOKUP(B336,电搭接情况统计!$B$2:$H$423,7,0)</f>
        <v>C类</v>
      </c>
      <c r="L336" s="175">
        <f>VLOOKUP($B336,设备架接口信息!$A$1:$G$69,6,0)</f>
        <v>3</v>
      </c>
      <c r="M336" s="167"/>
      <c r="N336" s="202" t="s">
        <v>26</v>
      </c>
      <c r="O336" s="202" t="s">
        <v>26</v>
      </c>
      <c r="P336" s="179"/>
      <c r="Q336" s="179"/>
      <c r="R336" s="179"/>
      <c r="S336" s="67" t="s">
        <v>958</v>
      </c>
    </row>
    <row r="337" spans="1:20">
      <c r="A337" s="167" t="s">
        <v>953</v>
      </c>
      <c r="B337" s="184" t="s">
        <v>971</v>
      </c>
      <c r="C337" s="167" t="s">
        <v>968</v>
      </c>
      <c r="D337" s="178" t="s">
        <v>972</v>
      </c>
      <c r="E337" s="167" t="s">
        <v>970</v>
      </c>
      <c r="F337" s="183" t="s">
        <v>40</v>
      </c>
      <c r="G337" s="171">
        <v>1</v>
      </c>
      <c r="H337" s="172" t="s">
        <v>106</v>
      </c>
      <c r="I337" s="182" t="str">
        <f>VLOOKUP($B337,设备架接口信息!$A$1:$G$69,4,0)</f>
        <v>3MCU托架安装，A类锁紧器</v>
      </c>
      <c r="J337" s="175" t="str">
        <f>VLOOKUP($B337,设备架接口信息!$A$1:$G$69,5,0)</f>
        <v>面搭接</v>
      </c>
      <c r="K337" s="174" t="str">
        <f>VLOOKUP(B337,电搭接情况统计!$B$2:$H$423,7,0)</f>
        <v>C类</v>
      </c>
      <c r="L337" s="175">
        <f>VLOOKUP($B337,设备架接口信息!$A$1:$G$69,6,0)</f>
        <v>3</v>
      </c>
      <c r="M337" s="167"/>
      <c r="N337" s="202" t="s">
        <v>26</v>
      </c>
      <c r="O337" s="202" t="s">
        <v>26</v>
      </c>
      <c r="P337" s="179"/>
      <c r="Q337" s="179"/>
      <c r="R337" s="179"/>
      <c r="S337" s="67" t="s">
        <v>958</v>
      </c>
    </row>
    <row r="338" spans="1:20">
      <c r="A338" s="167" t="s">
        <v>953</v>
      </c>
      <c r="B338" s="184" t="s">
        <v>973</v>
      </c>
      <c r="C338" s="167" t="s">
        <v>968</v>
      </c>
      <c r="D338" s="178" t="s">
        <v>974</v>
      </c>
      <c r="E338" s="167" t="s">
        <v>970</v>
      </c>
      <c r="F338" s="183" t="s">
        <v>36</v>
      </c>
      <c r="G338" s="171">
        <v>1</v>
      </c>
      <c r="H338" s="172" t="s">
        <v>106</v>
      </c>
      <c r="I338" s="182" t="str">
        <f>VLOOKUP($B338,设备架接口信息!$A$1:$G$69,4,0)</f>
        <v>3MCU托架安装，A类锁紧器</v>
      </c>
      <c r="J338" s="175" t="str">
        <f>VLOOKUP($B338,设备架接口信息!$A$1:$G$69,5,0)</f>
        <v>面搭接</v>
      </c>
      <c r="K338" s="174" t="str">
        <f>VLOOKUP(B338,电搭接情况统计!$B$2:$H$423,7,0)</f>
        <v>C类</v>
      </c>
      <c r="L338" s="175">
        <f>VLOOKUP($B338,设备架接口信息!$A$1:$G$69,6,0)</f>
        <v>3</v>
      </c>
      <c r="M338" s="167"/>
      <c r="N338" s="202" t="s">
        <v>26</v>
      </c>
      <c r="O338" s="202" t="s">
        <v>26</v>
      </c>
      <c r="P338" s="179"/>
      <c r="Q338" s="179"/>
      <c r="R338" s="179"/>
      <c r="S338" s="67" t="s">
        <v>958</v>
      </c>
    </row>
    <row r="339" spans="1:20">
      <c r="A339" s="167" t="s">
        <v>953</v>
      </c>
      <c r="B339" s="184" t="s">
        <v>975</v>
      </c>
      <c r="C339" s="167" t="s">
        <v>968</v>
      </c>
      <c r="D339" s="178" t="s">
        <v>976</v>
      </c>
      <c r="E339" s="167" t="s">
        <v>970</v>
      </c>
      <c r="F339" s="183" t="s">
        <v>303</v>
      </c>
      <c r="G339" s="171">
        <v>1</v>
      </c>
      <c r="H339" s="172" t="s">
        <v>106</v>
      </c>
      <c r="I339" s="182" t="str">
        <f>VLOOKUP($B339,设备架接口信息!$A$1:$G$69,4,0)</f>
        <v>3MCU托架安装，A类锁紧器</v>
      </c>
      <c r="J339" s="175" t="str">
        <f>VLOOKUP($B339,设备架接口信息!$A$1:$G$69,5,0)</f>
        <v>面搭接</v>
      </c>
      <c r="K339" s="174" t="str">
        <f>VLOOKUP(B339,电搭接情况统计!$B$2:$H$423,7,0)</f>
        <v>C类</v>
      </c>
      <c r="L339" s="175">
        <f>VLOOKUP($B339,设备架接口信息!$A$1:$G$69,6,0)</f>
        <v>3</v>
      </c>
      <c r="M339" s="167"/>
      <c r="N339" s="202" t="s">
        <v>26</v>
      </c>
      <c r="O339" s="202" t="s">
        <v>26</v>
      </c>
      <c r="P339" s="179"/>
      <c r="Q339" s="179"/>
      <c r="R339" s="179"/>
      <c r="S339" s="67" t="s">
        <v>958</v>
      </c>
    </row>
    <row r="340" spans="1:20">
      <c r="A340" s="167" t="s">
        <v>953</v>
      </c>
      <c r="B340" s="184" t="s">
        <v>977</v>
      </c>
      <c r="C340" s="167" t="s">
        <v>968</v>
      </c>
      <c r="D340" s="178" t="s">
        <v>978</v>
      </c>
      <c r="E340" s="167" t="s">
        <v>970</v>
      </c>
      <c r="F340" s="183" t="s">
        <v>303</v>
      </c>
      <c r="G340" s="171">
        <v>1</v>
      </c>
      <c r="H340" s="172" t="s">
        <v>106</v>
      </c>
      <c r="I340" s="182" t="str">
        <f>VLOOKUP($B340,设备架接口信息!$A$1:$G$69,4,0)</f>
        <v>3MCU托架安装，A类锁紧器</v>
      </c>
      <c r="J340" s="175" t="str">
        <f>VLOOKUP($B340,设备架接口信息!$A$1:$G$69,5,0)</f>
        <v>面搭接</v>
      </c>
      <c r="K340" s="174" t="str">
        <f>VLOOKUP(B340,电搭接情况统计!$B$2:$H$423,7,0)</f>
        <v>C类</v>
      </c>
      <c r="L340" s="175">
        <f>VLOOKUP($B340,设备架接口信息!$A$1:$G$69,6,0)</f>
        <v>3</v>
      </c>
      <c r="M340" s="167"/>
      <c r="N340" s="202" t="s">
        <v>26</v>
      </c>
      <c r="O340" s="202" t="s">
        <v>26</v>
      </c>
      <c r="P340" s="179"/>
      <c r="Q340" s="179"/>
      <c r="R340" s="179"/>
      <c r="S340" s="67" t="s">
        <v>958</v>
      </c>
    </row>
    <row r="341" spans="1:20">
      <c r="A341" s="167" t="s">
        <v>953</v>
      </c>
      <c r="B341" s="184" t="s">
        <v>979</v>
      </c>
      <c r="C341" s="167" t="s">
        <v>968</v>
      </c>
      <c r="D341" s="178" t="s">
        <v>980</v>
      </c>
      <c r="E341" s="167" t="s">
        <v>970</v>
      </c>
      <c r="F341" s="183" t="s">
        <v>300</v>
      </c>
      <c r="G341" s="171">
        <v>1</v>
      </c>
      <c r="H341" s="172" t="s">
        <v>106</v>
      </c>
      <c r="I341" s="182" t="str">
        <f>VLOOKUP($B341,设备架接口信息!$A$1:$G$69,4,0)</f>
        <v>3MCU托架安装，A类锁紧器</v>
      </c>
      <c r="J341" s="175" t="str">
        <f>VLOOKUP($B341,设备架接口信息!$A$1:$G$69,5,0)</f>
        <v>面搭接</v>
      </c>
      <c r="K341" s="174" t="str">
        <f>VLOOKUP(B341,电搭接情况统计!$B$2:$H$423,7,0)</f>
        <v>C类</v>
      </c>
      <c r="L341" s="175">
        <f>VLOOKUP($B341,设备架接口信息!$A$1:$G$69,6,0)</f>
        <v>3</v>
      </c>
      <c r="M341" s="167"/>
      <c r="N341" s="202" t="s">
        <v>26</v>
      </c>
      <c r="O341" s="202" t="s">
        <v>26</v>
      </c>
      <c r="P341" s="179"/>
      <c r="Q341" s="179"/>
      <c r="R341" s="179"/>
      <c r="S341" s="67" t="s">
        <v>958</v>
      </c>
    </row>
    <row r="342" spans="1:20">
      <c r="A342" s="167" t="s">
        <v>981</v>
      </c>
      <c r="B342" s="184" t="s">
        <v>982</v>
      </c>
      <c r="C342" s="167" t="s">
        <v>983</v>
      </c>
      <c r="D342" s="178" t="s">
        <v>984</v>
      </c>
      <c r="E342" s="167"/>
      <c r="F342" s="183" t="s">
        <v>303</v>
      </c>
      <c r="G342" s="171">
        <v>1</v>
      </c>
      <c r="H342" s="172" t="s">
        <v>985</v>
      </c>
      <c r="I342" s="182" t="str">
        <f>VLOOKUP($B342,设备架接口信息!$A$1:$G$69,4,0)</f>
        <v>四角螺栓安装</v>
      </c>
      <c r="J342" s="175" t="str">
        <f>VLOOKUP($B342,设备架接口信息!$A$1:$G$69,5,0)</f>
        <v>面搭接</v>
      </c>
      <c r="K342" s="174" t="str">
        <f>VLOOKUP(B342,电搭接情况统计!$B$2:$H$423,7,0)</f>
        <v>S类</v>
      </c>
      <c r="L342" s="175">
        <f>VLOOKUP($B342,设备架接口信息!$A$1:$G$69,6,0)</f>
        <v>1.153028</v>
      </c>
      <c r="M342" s="167"/>
      <c r="N342" s="202" t="s">
        <v>26</v>
      </c>
      <c r="O342" s="202" t="s">
        <v>26</v>
      </c>
      <c r="P342" s="179"/>
      <c r="Q342" s="179"/>
      <c r="R342" s="179"/>
      <c r="S342" s="13" t="s">
        <v>27</v>
      </c>
      <c r="T342" s="8" t="s">
        <v>986</v>
      </c>
    </row>
    <row r="343" spans="1:20">
      <c r="A343" s="167" t="s">
        <v>981</v>
      </c>
      <c r="B343" s="184" t="s">
        <v>987</v>
      </c>
      <c r="C343" s="167" t="s">
        <v>988</v>
      </c>
      <c r="D343" s="178" t="s">
        <v>989</v>
      </c>
      <c r="E343" s="167"/>
      <c r="F343" s="183" t="s">
        <v>110</v>
      </c>
      <c r="G343" s="171">
        <v>1</v>
      </c>
      <c r="H343" s="172"/>
      <c r="I343" s="173"/>
      <c r="J343" s="174"/>
      <c r="K343" s="174" t="str">
        <f>VLOOKUP(B343,电搭接情况统计!$B$2:$H$423,7,0)</f>
        <v>NA</v>
      </c>
      <c r="L343" s="175"/>
      <c r="M343" s="167"/>
      <c r="N343" s="202" t="s">
        <v>26</v>
      </c>
      <c r="O343" s="202" t="s">
        <v>26</v>
      </c>
      <c r="P343" s="179"/>
      <c r="Q343" s="179"/>
      <c r="R343" s="179"/>
      <c r="S343" s="13" t="s">
        <v>27</v>
      </c>
      <c r="T343" s="8" t="s">
        <v>990</v>
      </c>
    </row>
    <row r="344" spans="1:20">
      <c r="A344" s="167" t="s">
        <v>981</v>
      </c>
      <c r="B344" s="184" t="s">
        <v>991</v>
      </c>
      <c r="C344" s="167" t="s">
        <v>992</v>
      </c>
      <c r="D344" s="178" t="s">
        <v>993</v>
      </c>
      <c r="E344" s="167" t="s">
        <v>970</v>
      </c>
      <c r="F344" s="183" t="s">
        <v>303</v>
      </c>
      <c r="G344" s="171">
        <v>1</v>
      </c>
      <c r="H344" s="172" t="s">
        <v>106</v>
      </c>
      <c r="I344" s="182" t="str">
        <f>VLOOKUP($B344,设备架接口信息!$A$1:$G$69,4,0)</f>
        <v>4MCU托架安装，A类锁紧器</v>
      </c>
      <c r="J344" s="175" t="str">
        <f>VLOOKUP($B344,设备架接口信息!$A$1:$G$69,5,0)</f>
        <v>面搭接</v>
      </c>
      <c r="K344" s="174" t="str">
        <f>VLOOKUP(B344,电搭接情况统计!$B$2:$H$423,7,0)</f>
        <v>C类</v>
      </c>
      <c r="L344" s="175">
        <f>VLOOKUP($B344,设备架接口信息!$A$1:$G$69,6,0)</f>
        <v>6.220516</v>
      </c>
      <c r="M344" s="167"/>
      <c r="N344" s="202" t="s">
        <v>26</v>
      </c>
      <c r="O344" s="202" t="s">
        <v>26</v>
      </c>
      <c r="P344" s="179"/>
      <c r="Q344" s="179"/>
      <c r="R344" s="179"/>
      <c r="S344" s="67" t="s">
        <v>994</v>
      </c>
    </row>
    <row r="345" spans="1:20">
      <c r="A345" s="167" t="s">
        <v>981</v>
      </c>
      <c r="B345" s="146" t="s">
        <v>995</v>
      </c>
      <c r="C345" s="167" t="s">
        <v>996</v>
      </c>
      <c r="D345" s="178" t="s">
        <v>997</v>
      </c>
      <c r="E345" s="167"/>
      <c r="F345" s="183" t="s">
        <v>186</v>
      </c>
      <c r="G345" s="171">
        <v>2</v>
      </c>
      <c r="H345" s="172"/>
      <c r="I345" s="173"/>
      <c r="J345" s="174"/>
      <c r="K345" s="174"/>
      <c r="L345" s="175"/>
      <c r="M345" s="167" t="s">
        <v>51</v>
      </c>
      <c r="N345" s="202" t="s">
        <v>32</v>
      </c>
      <c r="O345" s="202" t="s">
        <v>32</v>
      </c>
      <c r="P345" s="179"/>
      <c r="Q345" s="179"/>
      <c r="R345" s="179"/>
      <c r="S345" s="13" t="s">
        <v>27</v>
      </c>
    </row>
    <row r="346" spans="1:20">
      <c r="A346" s="167" t="s">
        <v>981</v>
      </c>
      <c r="B346" s="146" t="s">
        <v>998</v>
      </c>
      <c r="C346" s="167" t="s">
        <v>996</v>
      </c>
      <c r="D346" s="178" t="s">
        <v>999</v>
      </c>
      <c r="E346" s="167"/>
      <c r="F346" s="183" t="s">
        <v>186</v>
      </c>
      <c r="G346" s="171">
        <v>2</v>
      </c>
      <c r="H346" s="172"/>
      <c r="I346" s="173"/>
      <c r="J346" s="174"/>
      <c r="K346" s="174"/>
      <c r="L346" s="175"/>
      <c r="M346" s="167" t="s">
        <v>51</v>
      </c>
      <c r="N346" s="202" t="s">
        <v>32</v>
      </c>
      <c r="O346" s="202" t="s">
        <v>32</v>
      </c>
      <c r="P346" s="179"/>
      <c r="Q346" s="179"/>
      <c r="R346" s="179"/>
      <c r="S346" s="13" t="s">
        <v>27</v>
      </c>
    </row>
    <row r="347" spans="1:20">
      <c r="A347" s="167" t="s">
        <v>981</v>
      </c>
      <c r="B347" s="184" t="s">
        <v>1000</v>
      </c>
      <c r="C347" s="167" t="s">
        <v>1001</v>
      </c>
      <c r="D347" s="178" t="s">
        <v>1002</v>
      </c>
      <c r="E347" s="167"/>
      <c r="F347" s="183" t="s">
        <v>94</v>
      </c>
      <c r="G347" s="171">
        <v>1</v>
      </c>
      <c r="H347" s="172"/>
      <c r="I347" s="173"/>
      <c r="J347" s="174"/>
      <c r="K347" s="174" t="str">
        <f>VLOOKUP(B347,电搭接情况统计!$B$2:$H$423,7,0)</f>
        <v>NA</v>
      </c>
      <c r="L347" s="175"/>
      <c r="M347" s="167"/>
      <c r="N347" s="202" t="s">
        <v>26</v>
      </c>
      <c r="O347" s="202" t="s">
        <v>26</v>
      </c>
      <c r="P347" s="179"/>
      <c r="Q347" s="179"/>
      <c r="R347" s="179"/>
      <c r="S347" s="13" t="s">
        <v>322</v>
      </c>
      <c r="T347" s="8" t="s">
        <v>990</v>
      </c>
    </row>
    <row r="348" spans="1:20">
      <c r="A348" s="167" t="s">
        <v>981</v>
      </c>
      <c r="B348" s="184" t="s">
        <v>1003</v>
      </c>
      <c r="C348" s="167" t="s">
        <v>1004</v>
      </c>
      <c r="D348" s="178" t="s">
        <v>1005</v>
      </c>
      <c r="E348" s="167"/>
      <c r="F348" s="183" t="s">
        <v>110</v>
      </c>
      <c r="G348" s="171">
        <v>1</v>
      </c>
      <c r="H348" s="172"/>
      <c r="I348" s="173"/>
      <c r="J348" s="174"/>
      <c r="K348" s="174" t="str">
        <f>VLOOKUP(B348,电搭接情况统计!$B$2:$H$423,7,0)</f>
        <v>NA</v>
      </c>
      <c r="L348" s="175"/>
      <c r="M348" s="167"/>
      <c r="N348" s="202" t="s">
        <v>26</v>
      </c>
      <c r="O348" s="202" t="s">
        <v>26</v>
      </c>
      <c r="P348" s="179"/>
      <c r="Q348" s="179"/>
      <c r="R348" s="179"/>
      <c r="S348" s="13" t="s">
        <v>322</v>
      </c>
      <c r="T348" s="8" t="s">
        <v>990</v>
      </c>
    </row>
    <row r="349" spans="1:20">
      <c r="A349" s="167" t="s">
        <v>981</v>
      </c>
      <c r="B349" s="184" t="s">
        <v>1006</v>
      </c>
      <c r="C349" s="167" t="s">
        <v>1007</v>
      </c>
      <c r="D349" s="178" t="s">
        <v>1008</v>
      </c>
      <c r="E349" s="167"/>
      <c r="F349" s="183" t="s">
        <v>742</v>
      </c>
      <c r="G349" s="171">
        <v>1</v>
      </c>
      <c r="H349" s="172"/>
      <c r="I349" s="173"/>
      <c r="J349" s="174"/>
      <c r="K349" s="174" t="str">
        <f>VLOOKUP(B349,电搭接情况统计!$B$2:$H$423,7,0)</f>
        <v>NA</v>
      </c>
      <c r="L349" s="175"/>
      <c r="M349" s="167"/>
      <c r="N349" s="202" t="s">
        <v>26</v>
      </c>
      <c r="O349" s="202" t="s">
        <v>26</v>
      </c>
      <c r="P349" s="179"/>
      <c r="Q349" s="179"/>
      <c r="R349" s="179"/>
      <c r="S349" s="13" t="s">
        <v>322</v>
      </c>
      <c r="T349" s="8" t="s">
        <v>990</v>
      </c>
    </row>
    <row r="350" spans="1:20">
      <c r="A350" s="167" t="s">
        <v>981</v>
      </c>
      <c r="B350" s="184" t="s">
        <v>1009</v>
      </c>
      <c r="C350" s="167" t="s">
        <v>1010</v>
      </c>
      <c r="D350" s="178" t="s">
        <v>1011</v>
      </c>
      <c r="E350" s="167"/>
      <c r="F350" s="183" t="s">
        <v>31</v>
      </c>
      <c r="G350" s="171">
        <v>1</v>
      </c>
      <c r="H350" s="172"/>
      <c r="I350" s="173"/>
      <c r="J350" s="174"/>
      <c r="K350" s="174" t="str">
        <f>VLOOKUP(B350,电搭接情况统计!$B$2:$H$423,7,0)</f>
        <v>NA</v>
      </c>
      <c r="L350" s="175"/>
      <c r="M350" s="167"/>
      <c r="N350" s="202" t="s">
        <v>26</v>
      </c>
      <c r="O350" s="202" t="s">
        <v>26</v>
      </c>
      <c r="P350" s="179"/>
      <c r="Q350" s="179"/>
      <c r="R350" s="179"/>
      <c r="S350" s="13" t="s">
        <v>322</v>
      </c>
      <c r="T350" s="8" t="s">
        <v>990</v>
      </c>
    </row>
    <row r="351" spans="1:20">
      <c r="A351" s="167" t="s">
        <v>981</v>
      </c>
      <c r="B351" s="184" t="s">
        <v>1012</v>
      </c>
      <c r="C351" s="167" t="s">
        <v>1013</v>
      </c>
      <c r="D351" s="178" t="s">
        <v>1014</v>
      </c>
      <c r="E351" s="167"/>
      <c r="F351" s="183" t="s">
        <v>31</v>
      </c>
      <c r="G351" s="171">
        <v>1</v>
      </c>
      <c r="H351" s="172"/>
      <c r="I351" s="173"/>
      <c r="J351" s="174"/>
      <c r="K351" s="174" t="str">
        <f>VLOOKUP(B351,电搭接情况统计!$B$2:$H$423,7,0)</f>
        <v>NA</v>
      </c>
      <c r="L351" s="175"/>
      <c r="M351" s="167"/>
      <c r="N351" s="202" t="s">
        <v>26</v>
      </c>
      <c r="O351" s="202" t="s">
        <v>26</v>
      </c>
      <c r="P351" s="179"/>
      <c r="Q351" s="179"/>
      <c r="R351" s="179"/>
      <c r="S351" s="13" t="s">
        <v>322</v>
      </c>
      <c r="T351" s="8" t="s">
        <v>990</v>
      </c>
    </row>
    <row r="352" spans="1:20">
      <c r="A352" s="167" t="s">
        <v>981</v>
      </c>
      <c r="B352" s="184" t="s">
        <v>1015</v>
      </c>
      <c r="C352" s="167" t="s">
        <v>1016</v>
      </c>
      <c r="D352" s="178" t="s">
        <v>1017</v>
      </c>
      <c r="E352" s="167"/>
      <c r="F352" s="183" t="s">
        <v>1018</v>
      </c>
      <c r="G352" s="171">
        <v>1</v>
      </c>
      <c r="H352" s="172"/>
      <c r="I352" s="173"/>
      <c r="J352" s="174"/>
      <c r="K352" s="174"/>
      <c r="L352" s="175"/>
      <c r="M352" s="167"/>
      <c r="N352" s="202" t="s">
        <v>32</v>
      </c>
      <c r="O352" s="202" t="s">
        <v>32</v>
      </c>
      <c r="P352" s="179"/>
      <c r="Q352" s="179"/>
      <c r="R352" s="179"/>
      <c r="S352" s="13" t="s">
        <v>322</v>
      </c>
      <c r="T352" s="8" t="s">
        <v>990</v>
      </c>
    </row>
    <row r="353" spans="1:20">
      <c r="A353" s="167" t="s">
        <v>981</v>
      </c>
      <c r="B353" s="184" t="s">
        <v>1019</v>
      </c>
      <c r="C353" s="167" t="s">
        <v>1016</v>
      </c>
      <c r="D353" s="178" t="s">
        <v>1020</v>
      </c>
      <c r="E353" s="167"/>
      <c r="F353" s="183" t="s">
        <v>1021</v>
      </c>
      <c r="G353" s="171">
        <v>1</v>
      </c>
      <c r="H353" s="172"/>
      <c r="I353" s="173"/>
      <c r="J353" s="174"/>
      <c r="K353" s="174"/>
      <c r="L353" s="175"/>
      <c r="M353" s="167"/>
      <c r="N353" s="202" t="s">
        <v>32</v>
      </c>
      <c r="O353" s="202" t="s">
        <v>32</v>
      </c>
      <c r="P353" s="179"/>
      <c r="Q353" s="179"/>
      <c r="R353" s="179"/>
      <c r="S353" s="13" t="s">
        <v>322</v>
      </c>
      <c r="T353" s="8" t="s">
        <v>990</v>
      </c>
    </row>
    <row r="354" spans="1:20">
      <c r="A354" s="167" t="s">
        <v>981</v>
      </c>
      <c r="B354" s="184" t="s">
        <v>1022</v>
      </c>
      <c r="C354" s="167" t="s">
        <v>1016</v>
      </c>
      <c r="D354" s="178" t="s">
        <v>1023</v>
      </c>
      <c r="E354" s="167"/>
      <c r="F354" s="183" t="s">
        <v>1024</v>
      </c>
      <c r="G354" s="171">
        <v>1</v>
      </c>
      <c r="H354" s="172"/>
      <c r="I354" s="173"/>
      <c r="J354" s="174"/>
      <c r="K354" s="174"/>
      <c r="L354" s="175"/>
      <c r="M354" s="167"/>
      <c r="N354" s="202" t="s">
        <v>32</v>
      </c>
      <c r="O354" s="202" t="s">
        <v>32</v>
      </c>
      <c r="P354" s="179"/>
      <c r="Q354" s="179"/>
      <c r="R354" s="179"/>
      <c r="S354" s="13" t="s">
        <v>322</v>
      </c>
      <c r="T354" s="8" t="s">
        <v>990</v>
      </c>
    </row>
    <row r="355" spans="1:20">
      <c r="A355" s="167" t="s">
        <v>981</v>
      </c>
      <c r="B355" s="184" t="s">
        <v>1025</v>
      </c>
      <c r="C355" s="167" t="s">
        <v>1016</v>
      </c>
      <c r="D355" s="178" t="s">
        <v>1026</v>
      </c>
      <c r="E355" s="167"/>
      <c r="F355" s="183" t="s">
        <v>1027</v>
      </c>
      <c r="G355" s="171">
        <v>1</v>
      </c>
      <c r="H355" s="172"/>
      <c r="I355" s="173"/>
      <c r="J355" s="174"/>
      <c r="K355" s="174"/>
      <c r="L355" s="175"/>
      <c r="M355" s="167"/>
      <c r="N355" s="202" t="s">
        <v>32</v>
      </c>
      <c r="O355" s="202" t="s">
        <v>32</v>
      </c>
      <c r="P355" s="179"/>
      <c r="Q355" s="179"/>
      <c r="R355" s="179"/>
      <c r="S355" s="13" t="s">
        <v>322</v>
      </c>
      <c r="T355" s="8" t="s">
        <v>990</v>
      </c>
    </row>
    <row r="356" spans="1:20">
      <c r="A356" s="167" t="s">
        <v>981</v>
      </c>
      <c r="B356" s="184" t="s">
        <v>1028</v>
      </c>
      <c r="C356" s="167" t="s">
        <v>1016</v>
      </c>
      <c r="D356" s="178" t="s">
        <v>1029</v>
      </c>
      <c r="E356" s="167"/>
      <c r="F356" s="183" t="s">
        <v>1030</v>
      </c>
      <c r="G356" s="171">
        <v>1</v>
      </c>
      <c r="H356" s="172"/>
      <c r="I356" s="173"/>
      <c r="J356" s="174"/>
      <c r="K356" s="174"/>
      <c r="L356" s="175"/>
      <c r="M356" s="167"/>
      <c r="N356" s="202" t="s">
        <v>32</v>
      </c>
      <c r="O356" s="202" t="s">
        <v>32</v>
      </c>
      <c r="P356" s="179"/>
      <c r="Q356" s="179"/>
      <c r="R356" s="179"/>
      <c r="S356" s="13" t="s">
        <v>322</v>
      </c>
      <c r="T356" s="8" t="s">
        <v>990</v>
      </c>
    </row>
    <row r="357" spans="1:20">
      <c r="A357" s="167" t="s">
        <v>981</v>
      </c>
      <c r="B357" s="184" t="s">
        <v>1031</v>
      </c>
      <c r="C357" s="167" t="s">
        <v>1032</v>
      </c>
      <c r="D357" s="178" t="s">
        <v>1033</v>
      </c>
      <c r="E357" s="167"/>
      <c r="F357" s="183" t="s">
        <v>795</v>
      </c>
      <c r="G357" s="171">
        <v>1</v>
      </c>
      <c r="H357" s="172"/>
      <c r="I357" s="173"/>
      <c r="J357" s="174"/>
      <c r="K357" s="174" t="str">
        <f>VLOOKUP(B357,电搭接情况统计!$B$2:$H$423,7,0)</f>
        <v>NA</v>
      </c>
      <c r="L357" s="175"/>
      <c r="M357" s="167"/>
      <c r="N357" s="202" t="s">
        <v>26</v>
      </c>
      <c r="O357" s="202" t="s">
        <v>26</v>
      </c>
      <c r="P357" s="179"/>
      <c r="Q357" s="179"/>
      <c r="R357" s="179"/>
      <c r="S357" s="13" t="s">
        <v>322</v>
      </c>
      <c r="T357" s="8" t="s">
        <v>990</v>
      </c>
    </row>
    <row r="358" spans="1:20">
      <c r="A358" s="167" t="s">
        <v>981</v>
      </c>
      <c r="B358" s="184" t="s">
        <v>1034</v>
      </c>
      <c r="C358" s="167" t="s">
        <v>1035</v>
      </c>
      <c r="D358" s="178" t="s">
        <v>1036</v>
      </c>
      <c r="E358" s="167"/>
      <c r="F358" s="183" t="s">
        <v>31</v>
      </c>
      <c r="G358" s="171">
        <v>1</v>
      </c>
      <c r="H358" s="172"/>
      <c r="I358" s="173"/>
      <c r="J358" s="174"/>
      <c r="K358" s="174" t="str">
        <f>VLOOKUP(B358,电搭接情况统计!$B$2:$H$423,7,0)</f>
        <v>NA</v>
      </c>
      <c r="L358" s="175"/>
      <c r="M358" s="167"/>
      <c r="N358" s="202" t="s">
        <v>26</v>
      </c>
      <c r="O358" s="202" t="s">
        <v>26</v>
      </c>
      <c r="P358" s="179"/>
      <c r="Q358" s="179"/>
      <c r="R358" s="179"/>
      <c r="S358" s="13" t="s">
        <v>322</v>
      </c>
      <c r="T358" s="8" t="s">
        <v>990</v>
      </c>
    </row>
    <row r="359" spans="1:20">
      <c r="A359" s="167" t="s">
        <v>981</v>
      </c>
      <c r="B359" s="184" t="s">
        <v>1037</v>
      </c>
      <c r="C359" s="167" t="s">
        <v>1038</v>
      </c>
      <c r="D359" s="178" t="s">
        <v>1039</v>
      </c>
      <c r="E359" s="167"/>
      <c r="F359" s="183" t="s">
        <v>110</v>
      </c>
      <c r="G359" s="171">
        <v>1</v>
      </c>
      <c r="H359" s="172"/>
      <c r="I359" s="173"/>
      <c r="J359" s="174"/>
      <c r="K359" s="174" t="str">
        <f>VLOOKUP(B359,电搭接情况统计!$B$2:$H$423,7,0)</f>
        <v>NA</v>
      </c>
      <c r="L359" s="175"/>
      <c r="M359" s="167"/>
      <c r="N359" s="202" t="s">
        <v>26</v>
      </c>
      <c r="O359" s="202" t="s">
        <v>26</v>
      </c>
      <c r="P359" s="179"/>
      <c r="Q359" s="179"/>
      <c r="R359" s="179"/>
      <c r="S359" s="13" t="s">
        <v>322</v>
      </c>
      <c r="T359" s="8" t="s">
        <v>990</v>
      </c>
    </row>
    <row r="360" spans="1:20">
      <c r="A360" s="167" t="s">
        <v>981</v>
      </c>
      <c r="B360" s="184" t="s">
        <v>1040</v>
      </c>
      <c r="C360" s="167" t="s">
        <v>1041</v>
      </c>
      <c r="D360" s="178" t="s">
        <v>1042</v>
      </c>
      <c r="E360" s="167"/>
      <c r="F360" s="183" t="s">
        <v>110</v>
      </c>
      <c r="G360" s="171">
        <v>1</v>
      </c>
      <c r="H360" s="172"/>
      <c r="I360" s="173"/>
      <c r="J360" s="174"/>
      <c r="K360" s="174" t="str">
        <f>VLOOKUP(B360,电搭接情况统计!$B$2:$H$423,7,0)</f>
        <v>NA</v>
      </c>
      <c r="L360" s="175"/>
      <c r="M360" s="167"/>
      <c r="N360" s="202" t="s">
        <v>26</v>
      </c>
      <c r="O360" s="202" t="s">
        <v>26</v>
      </c>
      <c r="P360" s="179"/>
      <c r="Q360" s="179"/>
      <c r="R360" s="179"/>
      <c r="S360" s="13" t="s">
        <v>322</v>
      </c>
      <c r="T360" s="8" t="s">
        <v>990</v>
      </c>
    </row>
    <row r="361" spans="1:20">
      <c r="A361" s="167" t="s">
        <v>1043</v>
      </c>
      <c r="B361" s="184" t="s">
        <v>1044</v>
      </c>
      <c r="C361" s="167" t="s">
        <v>1045</v>
      </c>
      <c r="D361" s="178" t="s">
        <v>1046</v>
      </c>
      <c r="E361" s="167"/>
      <c r="F361" s="183" t="s">
        <v>1047</v>
      </c>
      <c r="G361" s="171">
        <v>1</v>
      </c>
      <c r="H361" s="172"/>
      <c r="I361" s="173"/>
      <c r="J361" s="174"/>
      <c r="K361" s="174" t="str">
        <f>VLOOKUP(B361,电搭接情况统计!$B$2:$H$423,7,0)</f>
        <v>C类，28V负极在ERN回流；
L类，壳体搭接；</v>
      </c>
      <c r="L361" s="175"/>
      <c r="M361" s="167"/>
      <c r="N361" s="202" t="s">
        <v>26</v>
      </c>
      <c r="O361" s="202" t="s">
        <v>26</v>
      </c>
      <c r="P361" s="179"/>
      <c r="Q361" s="179"/>
      <c r="R361" s="179"/>
      <c r="S361" s="13" t="s">
        <v>27</v>
      </c>
    </row>
    <row r="362" spans="1:20">
      <c r="A362" s="167" t="s">
        <v>1043</v>
      </c>
      <c r="B362" s="184" t="s">
        <v>1048</v>
      </c>
      <c r="C362" s="167" t="s">
        <v>1045</v>
      </c>
      <c r="D362" s="178" t="s">
        <v>1049</v>
      </c>
      <c r="E362" s="167"/>
      <c r="F362" s="183" t="s">
        <v>1050</v>
      </c>
      <c r="G362" s="171">
        <v>1</v>
      </c>
      <c r="H362" s="172"/>
      <c r="I362" s="173"/>
      <c r="J362" s="174"/>
      <c r="K362" s="174" t="str">
        <f>VLOOKUP(B362,电搭接情况统计!$B$2:$H$423,7,0)</f>
        <v>C类，28V负极在机身部分通过ERN回流；
R类、H类、S类，壳体搭接</v>
      </c>
      <c r="L362" s="175"/>
      <c r="M362" s="167"/>
      <c r="N362" s="202" t="s">
        <v>26</v>
      </c>
      <c r="O362" s="202" t="s">
        <v>26</v>
      </c>
      <c r="P362" s="179"/>
      <c r="Q362" s="179"/>
      <c r="R362" s="179"/>
      <c r="S362" s="13" t="s">
        <v>27</v>
      </c>
    </row>
    <row r="363" spans="1:20">
      <c r="A363" s="167" t="s">
        <v>1043</v>
      </c>
      <c r="B363" s="184" t="s">
        <v>1051</v>
      </c>
      <c r="C363" s="167" t="s">
        <v>1045</v>
      </c>
      <c r="D363" s="178" t="s">
        <v>1052</v>
      </c>
      <c r="E363" s="167"/>
      <c r="F363" s="183" t="s">
        <v>1053</v>
      </c>
      <c r="G363" s="171">
        <v>1</v>
      </c>
      <c r="H363" s="172"/>
      <c r="I363" s="173"/>
      <c r="J363" s="174"/>
      <c r="K363" s="174" t="str">
        <f>VLOOKUP(B363,电搭接情况统计!$B$2:$H$423,7,0)</f>
        <v>C类，28V负极在机身部分通过ERN回流；
R类、H类、S类，壳体搭接</v>
      </c>
      <c r="L363" s="175"/>
      <c r="M363" s="167"/>
      <c r="N363" s="202" t="s">
        <v>26</v>
      </c>
      <c r="O363" s="202" t="s">
        <v>26</v>
      </c>
      <c r="P363" s="179"/>
      <c r="Q363" s="179"/>
      <c r="R363" s="179"/>
      <c r="S363" s="13" t="s">
        <v>27</v>
      </c>
    </row>
    <row r="364" spans="1:20">
      <c r="A364" s="167" t="s">
        <v>1043</v>
      </c>
      <c r="B364" s="184" t="s">
        <v>1054</v>
      </c>
      <c r="C364" s="167" t="s">
        <v>1045</v>
      </c>
      <c r="D364" s="178" t="s">
        <v>1055</v>
      </c>
      <c r="E364" s="167"/>
      <c r="F364" s="183" t="s">
        <v>1056</v>
      </c>
      <c r="G364" s="171">
        <v>1</v>
      </c>
      <c r="H364" s="172"/>
      <c r="I364" s="173"/>
      <c r="J364" s="174"/>
      <c r="K364" s="174" t="str">
        <f>VLOOKUP(B364,电搭接情况统计!$B$2:$H$423,7,0)</f>
        <v>C类，28V负极在机身部分通过ERN回流；
R类、H类、S类，壳体搭接</v>
      </c>
      <c r="L364" s="175"/>
      <c r="M364" s="167"/>
      <c r="N364" s="202" t="s">
        <v>26</v>
      </c>
      <c r="O364" s="202" t="s">
        <v>26</v>
      </c>
      <c r="P364" s="179"/>
      <c r="Q364" s="179"/>
      <c r="R364" s="179"/>
      <c r="S364" s="13" t="s">
        <v>27</v>
      </c>
    </row>
    <row r="365" spans="1:20">
      <c r="A365" s="167" t="s">
        <v>1043</v>
      </c>
      <c r="B365" s="184" t="s">
        <v>1057</v>
      </c>
      <c r="C365" s="167" t="s">
        <v>1045</v>
      </c>
      <c r="D365" s="178" t="s">
        <v>1058</v>
      </c>
      <c r="E365" s="167"/>
      <c r="F365" s="183" t="s">
        <v>1059</v>
      </c>
      <c r="G365" s="171">
        <v>1</v>
      </c>
      <c r="H365" s="172"/>
      <c r="I365" s="173"/>
      <c r="J365" s="174"/>
      <c r="K365" s="174" t="str">
        <f>VLOOKUP(B365,电搭接情况统计!$B$2:$H$423,7,0)</f>
        <v>C类，28V负极在机身部分通过ERN回流；
R类、H类、S类，壳体搭接</v>
      </c>
      <c r="L365" s="175"/>
      <c r="M365" s="167"/>
      <c r="N365" s="202" t="s">
        <v>26</v>
      </c>
      <c r="O365" s="202" t="s">
        <v>26</v>
      </c>
      <c r="P365" s="179"/>
      <c r="Q365" s="179"/>
      <c r="R365" s="179"/>
      <c r="S365" s="13" t="s">
        <v>27</v>
      </c>
    </row>
    <row r="366" spans="1:20">
      <c r="A366" s="167" t="s">
        <v>1043</v>
      </c>
      <c r="B366" s="184" t="s">
        <v>1060</v>
      </c>
      <c r="C366" s="167" t="s">
        <v>1045</v>
      </c>
      <c r="D366" s="178" t="s">
        <v>1061</v>
      </c>
      <c r="E366" s="167"/>
      <c r="F366" s="183" t="s">
        <v>1047</v>
      </c>
      <c r="G366" s="171">
        <v>1</v>
      </c>
      <c r="H366" s="172"/>
      <c r="I366" s="173"/>
      <c r="J366" s="174"/>
      <c r="K366" s="174" t="str">
        <f>VLOOKUP(B366,电搭接情况统计!$B$2:$H$423,7,0)</f>
        <v>C类，28V负极在机身部分通过ERN回流；
R类、H类、S类，壳体搭接</v>
      </c>
      <c r="L366" s="175"/>
      <c r="M366" s="167"/>
      <c r="N366" s="202" t="s">
        <v>26</v>
      </c>
      <c r="O366" s="202" t="s">
        <v>26</v>
      </c>
      <c r="P366" s="179"/>
      <c r="Q366" s="179"/>
      <c r="R366" s="179"/>
      <c r="S366" s="13" t="s">
        <v>27</v>
      </c>
    </row>
    <row r="367" spans="1:20">
      <c r="A367" s="167" t="s">
        <v>1043</v>
      </c>
      <c r="B367" s="184" t="s">
        <v>1062</v>
      </c>
      <c r="C367" s="167" t="s">
        <v>1045</v>
      </c>
      <c r="D367" s="178" t="s">
        <v>1063</v>
      </c>
      <c r="E367" s="167"/>
      <c r="F367" s="183" t="s">
        <v>1050</v>
      </c>
      <c r="G367" s="171">
        <v>1</v>
      </c>
      <c r="H367" s="172"/>
      <c r="I367" s="173"/>
      <c r="J367" s="174"/>
      <c r="K367" s="174" t="str">
        <f>VLOOKUP(B367,电搭接情况统计!$B$2:$H$423,7,0)</f>
        <v>C类，28V负极在机身部分通过ERN回流；
R类、H类、S类，壳体搭接</v>
      </c>
      <c r="L367" s="175"/>
      <c r="M367" s="167"/>
      <c r="N367" s="202" t="s">
        <v>26</v>
      </c>
      <c r="O367" s="202" t="s">
        <v>26</v>
      </c>
      <c r="P367" s="179"/>
      <c r="Q367" s="179"/>
      <c r="R367" s="179"/>
      <c r="S367" s="13" t="s">
        <v>27</v>
      </c>
    </row>
    <row r="368" spans="1:20">
      <c r="A368" s="167" t="s">
        <v>1043</v>
      </c>
      <c r="B368" s="184" t="s">
        <v>1064</v>
      </c>
      <c r="C368" s="167" t="s">
        <v>1045</v>
      </c>
      <c r="D368" s="178" t="s">
        <v>1065</v>
      </c>
      <c r="E368" s="167"/>
      <c r="F368" s="183" t="s">
        <v>1053</v>
      </c>
      <c r="G368" s="171">
        <v>1</v>
      </c>
      <c r="H368" s="172"/>
      <c r="I368" s="173"/>
      <c r="J368" s="174"/>
      <c r="K368" s="174" t="str">
        <f>VLOOKUP(B368,电搭接情况统计!$B$2:$H$423,7,0)</f>
        <v>C类，28V负极在机身部分通过ERN回流；
R类、H类、S类，壳体搭接</v>
      </c>
      <c r="L368" s="175"/>
      <c r="M368" s="167"/>
      <c r="N368" s="202" t="s">
        <v>26</v>
      </c>
      <c r="O368" s="202" t="s">
        <v>26</v>
      </c>
      <c r="P368" s="179"/>
      <c r="Q368" s="179"/>
      <c r="R368" s="179"/>
      <c r="S368" s="13" t="s">
        <v>27</v>
      </c>
    </row>
    <row r="369" spans="1:19">
      <c r="A369" s="167" t="s">
        <v>1043</v>
      </c>
      <c r="B369" s="184" t="s">
        <v>1066</v>
      </c>
      <c r="C369" s="167" t="s">
        <v>1045</v>
      </c>
      <c r="D369" s="178" t="s">
        <v>1067</v>
      </c>
      <c r="E369" s="167"/>
      <c r="F369" s="183" t="s">
        <v>1056</v>
      </c>
      <c r="G369" s="171">
        <v>1</v>
      </c>
      <c r="H369" s="172"/>
      <c r="I369" s="173"/>
      <c r="J369" s="174"/>
      <c r="K369" s="174" t="str">
        <f>VLOOKUP(B369,电搭接情况统计!$B$2:$H$423,7,0)</f>
        <v>C类，28V负极在机身部分通过ERN回流；
R类、H类、S类，壳体搭接</v>
      </c>
      <c r="L369" s="175"/>
      <c r="M369" s="167"/>
      <c r="N369" s="202" t="s">
        <v>26</v>
      </c>
      <c r="O369" s="202" t="s">
        <v>26</v>
      </c>
      <c r="P369" s="179"/>
      <c r="Q369" s="179"/>
      <c r="R369" s="179"/>
      <c r="S369" s="13" t="s">
        <v>27</v>
      </c>
    </row>
    <row r="370" spans="1:19">
      <c r="A370" s="167" t="s">
        <v>1043</v>
      </c>
      <c r="B370" s="184" t="s">
        <v>1068</v>
      </c>
      <c r="C370" s="167" t="s">
        <v>1045</v>
      </c>
      <c r="D370" s="178" t="s">
        <v>1069</v>
      </c>
      <c r="E370" s="167"/>
      <c r="F370" s="183" t="s">
        <v>1059</v>
      </c>
      <c r="G370" s="171">
        <v>1</v>
      </c>
      <c r="H370" s="172"/>
      <c r="I370" s="173"/>
      <c r="J370" s="174"/>
      <c r="K370" s="174" t="str">
        <f>VLOOKUP(B370,电搭接情况统计!$B$2:$H$423,7,0)</f>
        <v>C类，28V负极在机身部分通过ERN回流；
R类、H类、S类，壳体搭接</v>
      </c>
      <c r="L370" s="175"/>
      <c r="M370" s="167"/>
      <c r="N370" s="202" t="s">
        <v>26</v>
      </c>
      <c r="O370" s="202" t="s">
        <v>26</v>
      </c>
      <c r="P370" s="179"/>
      <c r="Q370" s="179"/>
      <c r="R370" s="179"/>
      <c r="S370" s="13" t="s">
        <v>27</v>
      </c>
    </row>
    <row r="371" spans="1:19">
      <c r="A371" s="167" t="s">
        <v>1043</v>
      </c>
      <c r="B371" s="146" t="s">
        <v>1070</v>
      </c>
      <c r="C371" s="167" t="e">
        <f>VLOOKUP(#REF!,#REF!,2,FALSE)</f>
        <v>#REF!</v>
      </c>
      <c r="D371" s="178" t="s">
        <v>1071</v>
      </c>
      <c r="E371" s="167"/>
      <c r="F371" s="183" t="s">
        <v>1018</v>
      </c>
      <c r="G371" s="171">
        <v>1</v>
      </c>
      <c r="H371" s="172"/>
      <c r="I371" s="173"/>
      <c r="J371" s="174"/>
      <c r="K371" s="174" t="str">
        <f>VLOOKUP(B371,电搭接情况统计!$B$2:$H$423,7,0)</f>
        <v>双线制
R H S类，壳体搭接；</v>
      </c>
      <c r="L371" s="175"/>
      <c r="M371" s="167"/>
      <c r="N371" s="202" t="s">
        <v>26</v>
      </c>
      <c r="O371" s="202" t="s">
        <v>26</v>
      </c>
      <c r="P371" s="179"/>
      <c r="Q371" s="179"/>
      <c r="R371" s="179"/>
      <c r="S371" s="13" t="s">
        <v>27</v>
      </c>
    </row>
    <row r="372" spans="1:19">
      <c r="A372" s="167" t="s">
        <v>1043</v>
      </c>
      <c r="B372" s="146" t="s">
        <v>1072</v>
      </c>
      <c r="C372" s="167" t="e">
        <f>VLOOKUP(#REF!,#REF!,2,FALSE)</f>
        <v>#REF!</v>
      </c>
      <c r="D372" s="178" t="s">
        <v>1073</v>
      </c>
      <c r="E372" s="167"/>
      <c r="F372" s="183" t="s">
        <v>1021</v>
      </c>
      <c r="G372" s="171">
        <v>1</v>
      </c>
      <c r="H372" s="172"/>
      <c r="I372" s="173"/>
      <c r="J372" s="174"/>
      <c r="K372" s="174" t="str">
        <f>VLOOKUP(B372,电搭接情况统计!$B$2:$H$423,7,0)</f>
        <v>双线制
R H S类，壳体搭接；</v>
      </c>
      <c r="L372" s="175"/>
      <c r="M372" s="167"/>
      <c r="N372" s="202" t="s">
        <v>26</v>
      </c>
      <c r="O372" s="202" t="s">
        <v>26</v>
      </c>
      <c r="P372" s="179"/>
      <c r="Q372" s="179"/>
      <c r="R372" s="179"/>
      <c r="S372" s="13" t="s">
        <v>27</v>
      </c>
    </row>
    <row r="373" spans="1:19">
      <c r="A373" s="167" t="s">
        <v>1043</v>
      </c>
      <c r="B373" s="146" t="s">
        <v>1074</v>
      </c>
      <c r="C373" s="167" t="e">
        <f>VLOOKUP(#REF!,#REF!,2,FALSE)</f>
        <v>#REF!</v>
      </c>
      <c r="D373" s="178" t="s">
        <v>1075</v>
      </c>
      <c r="E373" s="167"/>
      <c r="F373" s="183" t="s">
        <v>1024</v>
      </c>
      <c r="G373" s="171">
        <v>1</v>
      </c>
      <c r="H373" s="172"/>
      <c r="I373" s="173"/>
      <c r="J373" s="174"/>
      <c r="K373" s="174" t="str">
        <f>VLOOKUP(B373,电搭接情况统计!$B$2:$H$423,7,0)</f>
        <v>双线制
R H S类，壳体搭接；</v>
      </c>
      <c r="L373" s="175"/>
      <c r="M373" s="167"/>
      <c r="N373" s="202" t="s">
        <v>26</v>
      </c>
      <c r="O373" s="202" t="s">
        <v>26</v>
      </c>
      <c r="P373" s="179"/>
      <c r="Q373" s="179"/>
      <c r="R373" s="179"/>
      <c r="S373" s="13" t="s">
        <v>27</v>
      </c>
    </row>
    <row r="374" spans="1:19">
      <c r="A374" s="167" t="s">
        <v>1043</v>
      </c>
      <c r="B374" s="146" t="s">
        <v>1076</v>
      </c>
      <c r="C374" s="167" t="e">
        <f>VLOOKUP(#REF!,#REF!,2,FALSE)</f>
        <v>#REF!</v>
      </c>
      <c r="D374" s="178" t="s">
        <v>1077</v>
      </c>
      <c r="E374" s="167"/>
      <c r="F374" s="183" t="s">
        <v>1027</v>
      </c>
      <c r="G374" s="171">
        <v>1</v>
      </c>
      <c r="H374" s="172"/>
      <c r="I374" s="173"/>
      <c r="J374" s="174"/>
      <c r="K374" s="174" t="str">
        <f>VLOOKUP(B374,电搭接情况统计!$B$2:$H$423,7,0)</f>
        <v>双线制
R H S类，壳体搭接；</v>
      </c>
      <c r="L374" s="175"/>
      <c r="M374" s="167"/>
      <c r="N374" s="202" t="s">
        <v>26</v>
      </c>
      <c r="O374" s="202" t="s">
        <v>26</v>
      </c>
      <c r="P374" s="179"/>
      <c r="Q374" s="179"/>
      <c r="R374" s="179"/>
      <c r="S374" s="13" t="s">
        <v>27</v>
      </c>
    </row>
    <row r="375" spans="1:19">
      <c r="A375" s="167" t="s">
        <v>1043</v>
      </c>
      <c r="B375" s="146" t="s">
        <v>1078</v>
      </c>
      <c r="C375" s="167" t="e">
        <f>VLOOKUP(#REF!,#REF!,2,FALSE)</f>
        <v>#REF!</v>
      </c>
      <c r="D375" s="178" t="s">
        <v>1079</v>
      </c>
      <c r="E375" s="167"/>
      <c r="F375" s="183" t="s">
        <v>1030</v>
      </c>
      <c r="G375" s="171">
        <v>1</v>
      </c>
      <c r="H375" s="172"/>
      <c r="I375" s="173"/>
      <c r="J375" s="174"/>
      <c r="K375" s="174" t="str">
        <f>VLOOKUP(B375,电搭接情况统计!$B$2:$H$423,7,0)</f>
        <v>双线制
R H S类，壳体搭接；</v>
      </c>
      <c r="L375" s="175"/>
      <c r="M375" s="167"/>
      <c r="N375" s="202" t="s">
        <v>26</v>
      </c>
      <c r="O375" s="202" t="s">
        <v>26</v>
      </c>
      <c r="P375" s="179"/>
      <c r="Q375" s="179"/>
      <c r="R375" s="179"/>
      <c r="S375" s="13" t="s">
        <v>27</v>
      </c>
    </row>
    <row r="376" spans="1:19">
      <c r="A376" s="167" t="s">
        <v>1043</v>
      </c>
      <c r="B376" s="146" t="s">
        <v>1080</v>
      </c>
      <c r="C376" s="167"/>
      <c r="D376" s="186" t="s">
        <v>1081</v>
      </c>
      <c r="E376" s="167"/>
      <c r="F376" s="183"/>
      <c r="G376" s="171">
        <v>1</v>
      </c>
      <c r="H376" s="172"/>
      <c r="I376" s="173"/>
      <c r="J376" s="174"/>
      <c r="K376" s="174"/>
      <c r="L376" s="175"/>
      <c r="M376" s="167"/>
      <c r="N376" s="202" t="s">
        <v>26</v>
      </c>
      <c r="O376" s="202" t="s">
        <v>26</v>
      </c>
      <c r="P376" s="179"/>
      <c r="Q376" s="179"/>
      <c r="R376" s="179"/>
      <c r="S376" s="13" t="s">
        <v>27</v>
      </c>
    </row>
    <row r="377" spans="1:19">
      <c r="A377" s="167" t="s">
        <v>1043</v>
      </c>
      <c r="B377" s="184" t="s">
        <v>1082</v>
      </c>
      <c r="C377" s="167" t="s">
        <v>1083</v>
      </c>
      <c r="D377" s="178" t="s">
        <v>1084</v>
      </c>
      <c r="E377" s="167"/>
      <c r="F377" s="183" t="s">
        <v>1018</v>
      </c>
      <c r="G377" s="171">
        <v>1</v>
      </c>
      <c r="H377" s="172"/>
      <c r="I377" s="173"/>
      <c r="J377" s="174"/>
      <c r="K377" s="174"/>
      <c r="L377" s="175"/>
      <c r="M377" s="167"/>
      <c r="N377" s="202" t="s">
        <v>32</v>
      </c>
      <c r="O377" s="202" t="s">
        <v>32</v>
      </c>
      <c r="P377" s="179"/>
      <c r="Q377" s="179"/>
      <c r="R377" s="179"/>
      <c r="S377" s="13" t="s">
        <v>1085</v>
      </c>
    </row>
    <row r="378" spans="1:19">
      <c r="A378" s="167" t="s">
        <v>1043</v>
      </c>
      <c r="B378" s="184" t="s">
        <v>1086</v>
      </c>
      <c r="C378" s="167" t="s">
        <v>1087</v>
      </c>
      <c r="D378" s="178" t="s">
        <v>1088</v>
      </c>
      <c r="E378" s="167"/>
      <c r="F378" s="183" t="s">
        <v>1021</v>
      </c>
      <c r="G378" s="171">
        <v>1</v>
      </c>
      <c r="H378" s="172"/>
      <c r="I378" s="173"/>
      <c r="J378" s="174"/>
      <c r="K378" s="174"/>
      <c r="L378" s="175"/>
      <c r="M378" s="167"/>
      <c r="N378" s="202" t="s">
        <v>32</v>
      </c>
      <c r="O378" s="202" t="s">
        <v>32</v>
      </c>
      <c r="P378" s="179"/>
      <c r="Q378" s="179"/>
      <c r="R378" s="179"/>
      <c r="S378" s="13" t="s">
        <v>1085</v>
      </c>
    </row>
    <row r="379" spans="1:19">
      <c r="A379" s="167" t="s">
        <v>1043</v>
      </c>
      <c r="B379" s="184" t="s">
        <v>1089</v>
      </c>
      <c r="C379" s="167" t="s">
        <v>1090</v>
      </c>
      <c r="D379" s="178" t="s">
        <v>1091</v>
      </c>
      <c r="E379" s="167"/>
      <c r="F379" s="183" t="s">
        <v>1024</v>
      </c>
      <c r="G379" s="171">
        <v>1</v>
      </c>
      <c r="H379" s="172"/>
      <c r="I379" s="173"/>
      <c r="J379" s="174"/>
      <c r="K379" s="174"/>
      <c r="L379" s="175"/>
      <c r="M379" s="167"/>
      <c r="N379" s="202" t="s">
        <v>32</v>
      </c>
      <c r="O379" s="202" t="s">
        <v>32</v>
      </c>
      <c r="P379" s="179"/>
      <c r="Q379" s="179"/>
      <c r="R379" s="179"/>
      <c r="S379" s="13" t="s">
        <v>1085</v>
      </c>
    </row>
    <row r="380" spans="1:19">
      <c r="A380" s="167" t="s">
        <v>1043</v>
      </c>
      <c r="B380" s="184" t="s">
        <v>1092</v>
      </c>
      <c r="C380" s="189" t="s">
        <v>1093</v>
      </c>
      <c r="D380" s="178" t="s">
        <v>1094</v>
      </c>
      <c r="E380" s="167"/>
      <c r="F380" s="183" t="s">
        <v>124</v>
      </c>
      <c r="G380" s="171">
        <v>1</v>
      </c>
      <c r="H380" s="172"/>
      <c r="I380" s="173"/>
      <c r="J380" s="174"/>
      <c r="K380" s="174"/>
      <c r="L380" s="175"/>
      <c r="M380" s="167"/>
      <c r="N380" s="202" t="s">
        <v>32</v>
      </c>
      <c r="O380" s="202" t="s">
        <v>32</v>
      </c>
      <c r="P380" s="179"/>
      <c r="Q380" s="179"/>
      <c r="R380" s="179"/>
      <c r="S380" s="174" t="s">
        <v>1095</v>
      </c>
    </row>
    <row r="381" spans="1:19">
      <c r="A381" s="167" t="s">
        <v>1043</v>
      </c>
      <c r="B381" s="184" t="s">
        <v>1096</v>
      </c>
      <c r="C381" s="167" t="s">
        <v>1097</v>
      </c>
      <c r="D381" s="178" t="s">
        <v>1098</v>
      </c>
      <c r="E381" s="167"/>
      <c r="F381" s="183" t="s">
        <v>1027</v>
      </c>
      <c r="G381" s="171">
        <v>1</v>
      </c>
      <c r="H381" s="172"/>
      <c r="I381" s="173"/>
      <c r="J381" s="174"/>
      <c r="K381" s="174"/>
      <c r="L381" s="175"/>
      <c r="M381" s="167"/>
      <c r="N381" s="202" t="s">
        <v>32</v>
      </c>
      <c r="O381" s="202" t="s">
        <v>32</v>
      </c>
      <c r="P381" s="179"/>
      <c r="Q381" s="179"/>
      <c r="R381" s="179"/>
      <c r="S381" s="13" t="s">
        <v>1085</v>
      </c>
    </row>
    <row r="382" spans="1:19">
      <c r="A382" s="167" t="s">
        <v>1043</v>
      </c>
      <c r="B382" s="184" t="s">
        <v>1099</v>
      </c>
      <c r="C382" s="167" t="s">
        <v>1100</v>
      </c>
      <c r="D382" s="178" t="s">
        <v>1101</v>
      </c>
      <c r="E382" s="167"/>
      <c r="F382" s="183" t="s">
        <v>1030</v>
      </c>
      <c r="G382" s="171">
        <v>1</v>
      </c>
      <c r="H382" s="172"/>
      <c r="I382" s="173"/>
      <c r="J382" s="174"/>
      <c r="K382" s="174"/>
      <c r="L382" s="175"/>
      <c r="M382" s="167"/>
      <c r="N382" s="202" t="s">
        <v>32</v>
      </c>
      <c r="O382" s="202" t="s">
        <v>32</v>
      </c>
      <c r="P382" s="179"/>
      <c r="Q382" s="179"/>
      <c r="R382" s="179"/>
      <c r="S382" s="13" t="s">
        <v>1085</v>
      </c>
    </row>
    <row r="383" spans="1:19">
      <c r="A383" s="167" t="s">
        <v>1043</v>
      </c>
      <c r="B383" s="184" t="s">
        <v>1102</v>
      </c>
      <c r="C383" s="167" t="s">
        <v>1103</v>
      </c>
      <c r="D383" s="178" t="s">
        <v>1104</v>
      </c>
      <c r="E383" s="167"/>
      <c r="F383" s="183" t="s">
        <v>1047</v>
      </c>
      <c r="G383" s="171">
        <v>1</v>
      </c>
      <c r="H383" s="172"/>
      <c r="I383" s="173"/>
      <c r="J383" s="174"/>
      <c r="K383" s="174"/>
      <c r="L383" s="175"/>
      <c r="M383" s="167"/>
      <c r="N383" s="202" t="s">
        <v>32</v>
      </c>
      <c r="O383" s="202" t="s">
        <v>32</v>
      </c>
      <c r="P383" s="179"/>
      <c r="Q383" s="179"/>
      <c r="R383" s="179"/>
      <c r="S383" s="13" t="s">
        <v>27</v>
      </c>
    </row>
    <row r="384" spans="1:19">
      <c r="A384" s="167" t="s">
        <v>1043</v>
      </c>
      <c r="B384" s="184" t="s">
        <v>1105</v>
      </c>
      <c r="C384" s="167" t="s">
        <v>1103</v>
      </c>
      <c r="D384" s="178" t="s">
        <v>1106</v>
      </c>
      <c r="E384" s="167"/>
      <c r="F384" s="183" t="s">
        <v>1050</v>
      </c>
      <c r="G384" s="171">
        <v>1</v>
      </c>
      <c r="H384" s="172"/>
      <c r="I384" s="173"/>
      <c r="J384" s="174"/>
      <c r="K384" s="174"/>
      <c r="L384" s="175"/>
      <c r="M384" s="167"/>
      <c r="N384" s="202" t="s">
        <v>32</v>
      </c>
      <c r="O384" s="202" t="s">
        <v>32</v>
      </c>
      <c r="P384" s="179"/>
      <c r="Q384" s="179"/>
      <c r="R384" s="179"/>
      <c r="S384" s="13" t="s">
        <v>27</v>
      </c>
    </row>
    <row r="385" spans="1:19">
      <c r="A385" s="167" t="s">
        <v>1043</v>
      </c>
      <c r="B385" s="184" t="s">
        <v>1107</v>
      </c>
      <c r="C385" s="167" t="s">
        <v>1103</v>
      </c>
      <c r="D385" s="178" t="s">
        <v>1108</v>
      </c>
      <c r="E385" s="167"/>
      <c r="F385" s="183" t="s">
        <v>1053</v>
      </c>
      <c r="G385" s="171">
        <v>1</v>
      </c>
      <c r="H385" s="172"/>
      <c r="I385" s="173"/>
      <c r="J385" s="174"/>
      <c r="K385" s="174"/>
      <c r="L385" s="175"/>
      <c r="M385" s="167"/>
      <c r="N385" s="202" t="s">
        <v>32</v>
      </c>
      <c r="O385" s="202" t="s">
        <v>32</v>
      </c>
      <c r="P385" s="179"/>
      <c r="Q385" s="179"/>
      <c r="R385" s="179"/>
      <c r="S385" s="13" t="s">
        <v>27</v>
      </c>
    </row>
    <row r="386" spans="1:19">
      <c r="A386" s="167" t="s">
        <v>1043</v>
      </c>
      <c r="B386" s="184" t="s">
        <v>1109</v>
      </c>
      <c r="C386" s="167" t="s">
        <v>1103</v>
      </c>
      <c r="D386" s="178" t="s">
        <v>1110</v>
      </c>
      <c r="E386" s="167"/>
      <c r="F386" s="183" t="s">
        <v>1056</v>
      </c>
      <c r="G386" s="171">
        <v>1</v>
      </c>
      <c r="H386" s="172"/>
      <c r="I386" s="173"/>
      <c r="J386" s="174"/>
      <c r="K386" s="174"/>
      <c r="L386" s="175"/>
      <c r="M386" s="167"/>
      <c r="N386" s="202" t="s">
        <v>32</v>
      </c>
      <c r="O386" s="202" t="s">
        <v>32</v>
      </c>
      <c r="P386" s="179"/>
      <c r="Q386" s="179"/>
      <c r="R386" s="179"/>
      <c r="S386" s="13" t="s">
        <v>27</v>
      </c>
    </row>
    <row r="387" spans="1:19">
      <c r="A387" s="167" t="s">
        <v>1043</v>
      </c>
      <c r="B387" s="184" t="s">
        <v>1111</v>
      </c>
      <c r="C387" s="167" t="s">
        <v>1103</v>
      </c>
      <c r="D387" s="178" t="s">
        <v>1112</v>
      </c>
      <c r="E387" s="167"/>
      <c r="F387" s="183" t="s">
        <v>1047</v>
      </c>
      <c r="G387" s="171">
        <v>1</v>
      </c>
      <c r="H387" s="172"/>
      <c r="I387" s="173"/>
      <c r="J387" s="174"/>
      <c r="K387" s="174"/>
      <c r="L387" s="175"/>
      <c r="M387" s="167"/>
      <c r="N387" s="202" t="s">
        <v>32</v>
      </c>
      <c r="O387" s="202" t="s">
        <v>32</v>
      </c>
      <c r="P387" s="179"/>
      <c r="Q387" s="179"/>
      <c r="R387" s="179"/>
      <c r="S387" s="13" t="s">
        <v>27</v>
      </c>
    </row>
    <row r="388" spans="1:19">
      <c r="A388" s="167" t="s">
        <v>1043</v>
      </c>
      <c r="B388" s="184" t="s">
        <v>1113</v>
      </c>
      <c r="C388" s="167" t="s">
        <v>1103</v>
      </c>
      <c r="D388" s="178" t="s">
        <v>1114</v>
      </c>
      <c r="E388" s="167"/>
      <c r="F388" s="183" t="s">
        <v>1050</v>
      </c>
      <c r="G388" s="171">
        <v>1</v>
      </c>
      <c r="H388" s="172"/>
      <c r="I388" s="173"/>
      <c r="J388" s="174"/>
      <c r="K388" s="174"/>
      <c r="L388" s="175"/>
      <c r="M388" s="167"/>
      <c r="N388" s="202" t="s">
        <v>32</v>
      </c>
      <c r="O388" s="202" t="s">
        <v>32</v>
      </c>
      <c r="P388" s="179"/>
      <c r="Q388" s="179"/>
      <c r="R388" s="179"/>
      <c r="S388" s="13" t="s">
        <v>27</v>
      </c>
    </row>
    <row r="389" spans="1:19">
      <c r="A389" s="167" t="s">
        <v>1043</v>
      </c>
      <c r="B389" s="184" t="s">
        <v>1115</v>
      </c>
      <c r="C389" s="167" t="s">
        <v>1103</v>
      </c>
      <c r="D389" s="178" t="s">
        <v>1116</v>
      </c>
      <c r="E389" s="167"/>
      <c r="F389" s="183" t="s">
        <v>1053</v>
      </c>
      <c r="G389" s="171">
        <v>1</v>
      </c>
      <c r="H389" s="172"/>
      <c r="I389" s="173"/>
      <c r="J389" s="174"/>
      <c r="K389" s="174"/>
      <c r="L389" s="175"/>
      <c r="M389" s="167"/>
      <c r="N389" s="202" t="s">
        <v>32</v>
      </c>
      <c r="O389" s="202" t="s">
        <v>32</v>
      </c>
      <c r="P389" s="179"/>
      <c r="Q389" s="179"/>
      <c r="R389" s="179"/>
      <c r="S389" s="13" t="s">
        <v>27</v>
      </c>
    </row>
    <row r="390" spans="1:19">
      <c r="A390" s="167" t="s">
        <v>1043</v>
      </c>
      <c r="B390" s="184" t="s">
        <v>1117</v>
      </c>
      <c r="C390" s="167" t="s">
        <v>1103</v>
      </c>
      <c r="D390" s="178" t="s">
        <v>1118</v>
      </c>
      <c r="E390" s="167"/>
      <c r="F390" s="183" t="s">
        <v>1056</v>
      </c>
      <c r="G390" s="171">
        <v>1</v>
      </c>
      <c r="H390" s="172"/>
      <c r="I390" s="173"/>
      <c r="J390" s="174"/>
      <c r="K390" s="174"/>
      <c r="L390" s="175"/>
      <c r="M390" s="167"/>
      <c r="N390" s="202" t="s">
        <v>32</v>
      </c>
      <c r="O390" s="202" t="s">
        <v>32</v>
      </c>
      <c r="P390" s="179"/>
      <c r="Q390" s="179"/>
      <c r="R390" s="179"/>
      <c r="S390" s="13" t="s">
        <v>27</v>
      </c>
    </row>
    <row r="391" spans="1:19">
      <c r="A391" s="167" t="s">
        <v>1043</v>
      </c>
      <c r="B391" s="184" t="s">
        <v>1119</v>
      </c>
      <c r="C391" s="167" t="s">
        <v>1120</v>
      </c>
      <c r="D391" s="178" t="s">
        <v>1121</v>
      </c>
      <c r="E391" s="167"/>
      <c r="F391" s="183" t="s">
        <v>1059</v>
      </c>
      <c r="G391" s="171">
        <v>1</v>
      </c>
      <c r="H391" s="172"/>
      <c r="I391" s="173"/>
      <c r="J391" s="174"/>
      <c r="K391" s="174"/>
      <c r="L391" s="175"/>
      <c r="M391" s="167"/>
      <c r="N391" s="202" t="s">
        <v>32</v>
      </c>
      <c r="O391" s="202" t="s">
        <v>32</v>
      </c>
      <c r="P391" s="179"/>
      <c r="Q391" s="179"/>
      <c r="R391" s="179"/>
      <c r="S391" s="13" t="s">
        <v>27</v>
      </c>
    </row>
    <row r="392" spans="1:19">
      <c r="A392" s="167" t="s">
        <v>1043</v>
      </c>
      <c r="B392" s="184" t="s">
        <v>1122</v>
      </c>
      <c r="C392" s="167" t="s">
        <v>1123</v>
      </c>
      <c r="D392" s="178" t="s">
        <v>1124</v>
      </c>
      <c r="E392" s="167"/>
      <c r="F392" s="183" t="s">
        <v>1059</v>
      </c>
      <c r="G392" s="171">
        <v>1</v>
      </c>
      <c r="H392" s="172"/>
      <c r="I392" s="173"/>
      <c r="J392" s="174"/>
      <c r="K392" s="174"/>
      <c r="L392" s="175"/>
      <c r="M392" s="167"/>
      <c r="N392" s="202" t="s">
        <v>32</v>
      </c>
      <c r="O392" s="202" t="s">
        <v>32</v>
      </c>
      <c r="P392" s="179"/>
      <c r="Q392" s="179"/>
      <c r="R392" s="179"/>
      <c r="S392" s="13" t="s">
        <v>27</v>
      </c>
    </row>
    <row r="393" spans="1:19">
      <c r="A393" s="167" t="s">
        <v>1043</v>
      </c>
      <c r="B393" s="184" t="s">
        <v>1125</v>
      </c>
      <c r="C393" s="167" t="s">
        <v>1126</v>
      </c>
      <c r="D393" s="178" t="s">
        <v>1127</v>
      </c>
      <c r="E393" s="167"/>
      <c r="F393" s="183" t="s">
        <v>1050</v>
      </c>
      <c r="G393" s="171">
        <v>1</v>
      </c>
      <c r="H393" s="172"/>
      <c r="I393" s="173"/>
      <c r="J393" s="174"/>
      <c r="K393" s="174"/>
      <c r="L393" s="175"/>
      <c r="M393" s="167"/>
      <c r="N393" s="202" t="s">
        <v>32</v>
      </c>
      <c r="O393" s="202" t="s">
        <v>32</v>
      </c>
      <c r="P393" s="179"/>
      <c r="Q393" s="179"/>
      <c r="R393" s="179"/>
      <c r="S393" s="13" t="s">
        <v>27</v>
      </c>
    </row>
    <row r="394" spans="1:19">
      <c r="A394" s="167" t="s">
        <v>1043</v>
      </c>
      <c r="B394" s="184" t="s">
        <v>1128</v>
      </c>
      <c r="C394" s="167" t="s">
        <v>1126</v>
      </c>
      <c r="D394" s="178" t="s">
        <v>1129</v>
      </c>
      <c r="E394" s="167"/>
      <c r="F394" s="183" t="s">
        <v>1053</v>
      </c>
      <c r="G394" s="171">
        <v>1</v>
      </c>
      <c r="H394" s="172"/>
      <c r="I394" s="173"/>
      <c r="J394" s="174"/>
      <c r="K394" s="174"/>
      <c r="L394" s="175"/>
      <c r="M394" s="167"/>
      <c r="N394" s="202" t="s">
        <v>32</v>
      </c>
      <c r="O394" s="202" t="s">
        <v>32</v>
      </c>
      <c r="P394" s="179"/>
      <c r="Q394" s="179"/>
      <c r="R394" s="179"/>
      <c r="S394" s="13" t="s">
        <v>27</v>
      </c>
    </row>
    <row r="395" spans="1:19">
      <c r="A395" s="167" t="s">
        <v>1043</v>
      </c>
      <c r="B395" s="184" t="s">
        <v>1130</v>
      </c>
      <c r="C395" s="167" t="s">
        <v>1126</v>
      </c>
      <c r="D395" s="178" t="s">
        <v>1131</v>
      </c>
      <c r="E395" s="167"/>
      <c r="F395" s="183" t="s">
        <v>1056</v>
      </c>
      <c r="G395" s="171">
        <v>1</v>
      </c>
      <c r="H395" s="172"/>
      <c r="I395" s="173"/>
      <c r="J395" s="174"/>
      <c r="K395" s="174"/>
      <c r="L395" s="175"/>
      <c r="M395" s="167"/>
      <c r="N395" s="202" t="s">
        <v>32</v>
      </c>
      <c r="O395" s="202" t="s">
        <v>32</v>
      </c>
      <c r="P395" s="179"/>
      <c r="Q395" s="179"/>
      <c r="R395" s="179"/>
      <c r="S395" s="13" t="s">
        <v>27</v>
      </c>
    </row>
    <row r="396" spans="1:19">
      <c r="A396" s="167" t="s">
        <v>1043</v>
      </c>
      <c r="B396" s="184" t="s">
        <v>1132</v>
      </c>
      <c r="C396" s="167" t="s">
        <v>1133</v>
      </c>
      <c r="D396" s="178" t="s">
        <v>1134</v>
      </c>
      <c r="E396" s="167"/>
      <c r="F396" s="183" t="s">
        <v>1050</v>
      </c>
      <c r="G396" s="171">
        <v>1</v>
      </c>
      <c r="H396" s="172"/>
      <c r="I396" s="173"/>
      <c r="J396" s="174"/>
      <c r="K396" s="174"/>
      <c r="L396" s="175"/>
      <c r="M396" s="167"/>
      <c r="N396" s="202" t="s">
        <v>32</v>
      </c>
      <c r="O396" s="202" t="s">
        <v>32</v>
      </c>
      <c r="P396" s="179"/>
      <c r="Q396" s="179"/>
      <c r="R396" s="179"/>
      <c r="S396" s="13" t="s">
        <v>27</v>
      </c>
    </row>
    <row r="397" spans="1:19">
      <c r="A397" s="167" t="s">
        <v>1043</v>
      </c>
      <c r="B397" s="184" t="s">
        <v>1135</v>
      </c>
      <c r="C397" s="167" t="s">
        <v>1133</v>
      </c>
      <c r="D397" s="178" t="s">
        <v>1136</v>
      </c>
      <c r="E397" s="167"/>
      <c r="F397" s="183" t="s">
        <v>1053</v>
      </c>
      <c r="G397" s="171">
        <v>1</v>
      </c>
      <c r="H397" s="172"/>
      <c r="I397" s="173"/>
      <c r="J397" s="174"/>
      <c r="K397" s="174"/>
      <c r="L397" s="175"/>
      <c r="M397" s="167"/>
      <c r="N397" s="202" t="s">
        <v>32</v>
      </c>
      <c r="O397" s="202" t="s">
        <v>32</v>
      </c>
      <c r="P397" s="179"/>
      <c r="Q397" s="179"/>
      <c r="R397" s="179"/>
      <c r="S397" s="13" t="s">
        <v>27</v>
      </c>
    </row>
    <row r="398" spans="1:19">
      <c r="A398" s="167" t="s">
        <v>1043</v>
      </c>
      <c r="B398" s="184" t="s">
        <v>1137</v>
      </c>
      <c r="C398" s="167" t="s">
        <v>1133</v>
      </c>
      <c r="D398" s="178" t="s">
        <v>1138</v>
      </c>
      <c r="E398" s="167"/>
      <c r="F398" s="183" t="s">
        <v>1056</v>
      </c>
      <c r="G398" s="171">
        <v>1</v>
      </c>
      <c r="H398" s="172"/>
      <c r="I398" s="173"/>
      <c r="J398" s="174"/>
      <c r="K398" s="174"/>
      <c r="L398" s="175"/>
      <c r="M398" s="167"/>
      <c r="N398" s="202" t="s">
        <v>32</v>
      </c>
      <c r="O398" s="202" t="s">
        <v>32</v>
      </c>
      <c r="P398" s="179"/>
      <c r="Q398" s="179"/>
      <c r="R398" s="179"/>
      <c r="S398" s="13" t="s">
        <v>27</v>
      </c>
    </row>
    <row r="399" spans="1:19">
      <c r="A399" s="167" t="s">
        <v>1043</v>
      </c>
      <c r="B399" s="184" t="s">
        <v>1139</v>
      </c>
      <c r="C399" s="167" t="s">
        <v>1140</v>
      </c>
      <c r="D399" s="178" t="s">
        <v>1141</v>
      </c>
      <c r="E399" s="167"/>
      <c r="F399" s="183" t="s">
        <v>1047</v>
      </c>
      <c r="G399" s="171">
        <v>1</v>
      </c>
      <c r="H399" s="172"/>
      <c r="I399" s="173"/>
      <c r="J399" s="174"/>
      <c r="K399" s="174"/>
      <c r="L399" s="175"/>
      <c r="M399" s="167"/>
      <c r="N399" s="202" t="s">
        <v>32</v>
      </c>
      <c r="O399" s="202" t="s">
        <v>32</v>
      </c>
      <c r="P399" s="179"/>
      <c r="Q399" s="179"/>
      <c r="R399" s="179"/>
      <c r="S399" s="13" t="s">
        <v>27</v>
      </c>
    </row>
    <row r="400" spans="1:19">
      <c r="A400" s="167" t="s">
        <v>1043</v>
      </c>
      <c r="B400" s="184" t="s">
        <v>1142</v>
      </c>
      <c r="C400" s="167" t="s">
        <v>1143</v>
      </c>
      <c r="D400" s="178" t="s">
        <v>1144</v>
      </c>
      <c r="E400" s="167"/>
      <c r="F400" s="183" t="s">
        <v>1047</v>
      </c>
      <c r="G400" s="171">
        <v>1</v>
      </c>
      <c r="H400" s="172"/>
      <c r="I400" s="173"/>
      <c r="J400" s="174"/>
      <c r="K400" s="174"/>
      <c r="L400" s="175"/>
      <c r="M400" s="167"/>
      <c r="N400" s="202" t="s">
        <v>32</v>
      </c>
      <c r="O400" s="202" t="s">
        <v>32</v>
      </c>
      <c r="P400" s="179"/>
      <c r="Q400" s="179"/>
      <c r="R400" s="179"/>
      <c r="S400" s="13" t="s">
        <v>27</v>
      </c>
    </row>
    <row r="401" spans="1:19">
      <c r="A401" s="167" t="s">
        <v>1043</v>
      </c>
      <c r="B401" s="184" t="s">
        <v>1145</v>
      </c>
      <c r="C401" s="167" t="s">
        <v>1146</v>
      </c>
      <c r="D401" s="178" t="s">
        <v>1147</v>
      </c>
      <c r="E401" s="167"/>
      <c r="F401" s="183" t="s">
        <v>1059</v>
      </c>
      <c r="G401" s="171">
        <v>1</v>
      </c>
      <c r="H401" s="172"/>
      <c r="I401" s="173"/>
      <c r="J401" s="174"/>
      <c r="K401" s="174"/>
      <c r="L401" s="175"/>
      <c r="M401" s="167"/>
      <c r="N401" s="202" t="s">
        <v>32</v>
      </c>
      <c r="O401" s="202" t="s">
        <v>32</v>
      </c>
      <c r="P401" s="179"/>
      <c r="Q401" s="179"/>
      <c r="R401" s="179"/>
      <c r="S401" s="13" t="s">
        <v>27</v>
      </c>
    </row>
    <row r="402" spans="1:19">
      <c r="A402" s="167" t="s">
        <v>1043</v>
      </c>
      <c r="B402" s="184" t="s">
        <v>1148</v>
      </c>
      <c r="C402" s="167" t="s">
        <v>1149</v>
      </c>
      <c r="D402" s="178" t="s">
        <v>1150</v>
      </c>
      <c r="E402" s="167"/>
      <c r="F402" s="183" t="s">
        <v>1059</v>
      </c>
      <c r="G402" s="171">
        <v>1</v>
      </c>
      <c r="H402" s="172"/>
      <c r="I402" s="173"/>
      <c r="J402" s="174"/>
      <c r="K402" s="174"/>
      <c r="L402" s="175"/>
      <c r="M402" s="167"/>
      <c r="N402" s="202" t="s">
        <v>32</v>
      </c>
      <c r="O402" s="202" t="s">
        <v>32</v>
      </c>
      <c r="P402" s="179"/>
      <c r="Q402" s="179"/>
      <c r="R402" s="179"/>
      <c r="S402" s="13" t="s">
        <v>27</v>
      </c>
    </row>
    <row r="403" spans="1:19">
      <c r="A403" s="167" t="s">
        <v>1043</v>
      </c>
      <c r="B403" s="184" t="s">
        <v>1151</v>
      </c>
      <c r="C403" s="167" t="s">
        <v>1152</v>
      </c>
      <c r="D403" s="178" t="s">
        <v>1153</v>
      </c>
      <c r="E403" s="167"/>
      <c r="F403" s="183" t="s">
        <v>1047</v>
      </c>
      <c r="G403" s="171">
        <v>1</v>
      </c>
      <c r="H403" s="172"/>
      <c r="I403" s="173"/>
      <c r="J403" s="174"/>
      <c r="K403" s="174"/>
      <c r="L403" s="175"/>
      <c r="M403" s="167"/>
      <c r="N403" s="202" t="s">
        <v>32</v>
      </c>
      <c r="O403" s="202" t="s">
        <v>32</v>
      </c>
      <c r="P403" s="179"/>
      <c r="Q403" s="179"/>
      <c r="R403" s="179"/>
      <c r="S403" s="13" t="s">
        <v>27</v>
      </c>
    </row>
    <row r="404" spans="1:19">
      <c r="A404" s="167" t="s">
        <v>1043</v>
      </c>
      <c r="B404" s="184" t="s">
        <v>1154</v>
      </c>
      <c r="C404" s="167" t="s">
        <v>1152</v>
      </c>
      <c r="D404" s="178" t="s">
        <v>1155</v>
      </c>
      <c r="E404" s="167"/>
      <c r="F404" s="183" t="s">
        <v>1050</v>
      </c>
      <c r="G404" s="171">
        <v>1</v>
      </c>
      <c r="H404" s="172"/>
      <c r="I404" s="173"/>
      <c r="J404" s="174"/>
      <c r="K404" s="174"/>
      <c r="L404" s="175"/>
      <c r="M404" s="167"/>
      <c r="N404" s="202" t="s">
        <v>32</v>
      </c>
      <c r="O404" s="202" t="s">
        <v>32</v>
      </c>
      <c r="P404" s="179"/>
      <c r="Q404" s="179"/>
      <c r="R404" s="179"/>
      <c r="S404" s="13" t="s">
        <v>27</v>
      </c>
    </row>
    <row r="405" spans="1:19">
      <c r="A405" s="167" t="s">
        <v>1043</v>
      </c>
      <c r="B405" s="184" t="s">
        <v>1156</v>
      </c>
      <c r="C405" s="167" t="s">
        <v>1152</v>
      </c>
      <c r="D405" s="178" t="s">
        <v>1157</v>
      </c>
      <c r="E405" s="167"/>
      <c r="F405" s="183" t="s">
        <v>1053</v>
      </c>
      <c r="G405" s="171">
        <v>1</v>
      </c>
      <c r="H405" s="172"/>
      <c r="I405" s="173"/>
      <c r="J405" s="174"/>
      <c r="K405" s="174"/>
      <c r="L405" s="175"/>
      <c r="M405" s="167"/>
      <c r="N405" s="202" t="s">
        <v>32</v>
      </c>
      <c r="O405" s="202" t="s">
        <v>32</v>
      </c>
      <c r="P405" s="179"/>
      <c r="Q405" s="179"/>
      <c r="R405" s="179"/>
      <c r="S405" s="13" t="s">
        <v>27</v>
      </c>
    </row>
    <row r="406" spans="1:19">
      <c r="A406" s="167" t="s">
        <v>1043</v>
      </c>
      <c r="B406" s="184" t="s">
        <v>1158</v>
      </c>
      <c r="C406" s="167" t="s">
        <v>1152</v>
      </c>
      <c r="D406" s="178" t="s">
        <v>1159</v>
      </c>
      <c r="E406" s="167"/>
      <c r="F406" s="183" t="s">
        <v>1056</v>
      </c>
      <c r="G406" s="171">
        <v>1</v>
      </c>
      <c r="H406" s="172"/>
      <c r="I406" s="173"/>
      <c r="J406" s="174"/>
      <c r="K406" s="174"/>
      <c r="L406" s="175"/>
      <c r="M406" s="167"/>
      <c r="N406" s="202" t="s">
        <v>32</v>
      </c>
      <c r="O406" s="202" t="s">
        <v>32</v>
      </c>
      <c r="P406" s="179"/>
      <c r="Q406" s="179"/>
      <c r="R406" s="179"/>
      <c r="S406" s="13" t="s">
        <v>27</v>
      </c>
    </row>
    <row r="407" spans="1:19">
      <c r="A407" s="167" t="s">
        <v>1043</v>
      </c>
      <c r="B407" s="184" t="s">
        <v>1160</v>
      </c>
      <c r="C407" s="167" t="s">
        <v>1152</v>
      </c>
      <c r="D407" s="178" t="s">
        <v>1161</v>
      </c>
      <c r="E407" s="167"/>
      <c r="F407" s="183" t="s">
        <v>1059</v>
      </c>
      <c r="G407" s="171">
        <v>1</v>
      </c>
      <c r="H407" s="172"/>
      <c r="I407" s="173"/>
      <c r="J407" s="174"/>
      <c r="K407" s="174"/>
      <c r="L407" s="175"/>
      <c r="M407" s="167"/>
      <c r="N407" s="202" t="s">
        <v>32</v>
      </c>
      <c r="O407" s="202" t="s">
        <v>32</v>
      </c>
      <c r="P407" s="179"/>
      <c r="Q407" s="179"/>
      <c r="R407" s="179"/>
      <c r="S407" s="13" t="s">
        <v>27</v>
      </c>
    </row>
    <row r="408" spans="1:19">
      <c r="A408" s="167" t="s">
        <v>1043</v>
      </c>
      <c r="B408" s="184" t="s">
        <v>1162</v>
      </c>
      <c r="C408" s="167" t="s">
        <v>1152</v>
      </c>
      <c r="D408" s="178" t="s">
        <v>1163</v>
      </c>
      <c r="E408" s="167"/>
      <c r="F408" s="183" t="s">
        <v>1047</v>
      </c>
      <c r="G408" s="171">
        <v>1</v>
      </c>
      <c r="H408" s="172"/>
      <c r="I408" s="173"/>
      <c r="J408" s="174"/>
      <c r="K408" s="174"/>
      <c r="L408" s="175"/>
      <c r="M408" s="167"/>
      <c r="N408" s="202" t="s">
        <v>32</v>
      </c>
      <c r="O408" s="202" t="s">
        <v>32</v>
      </c>
      <c r="P408" s="179"/>
      <c r="Q408" s="179"/>
      <c r="R408" s="179"/>
      <c r="S408" s="13" t="s">
        <v>27</v>
      </c>
    </row>
    <row r="409" spans="1:19">
      <c r="A409" s="167" t="s">
        <v>1043</v>
      </c>
      <c r="B409" s="184" t="s">
        <v>1164</v>
      </c>
      <c r="C409" s="167" t="s">
        <v>1152</v>
      </c>
      <c r="D409" s="178" t="s">
        <v>1165</v>
      </c>
      <c r="E409" s="167"/>
      <c r="F409" s="183" t="s">
        <v>1050</v>
      </c>
      <c r="G409" s="171">
        <v>1</v>
      </c>
      <c r="H409" s="172"/>
      <c r="I409" s="173"/>
      <c r="J409" s="174"/>
      <c r="K409" s="174"/>
      <c r="L409" s="175"/>
      <c r="M409" s="167"/>
      <c r="N409" s="202" t="s">
        <v>32</v>
      </c>
      <c r="O409" s="202" t="s">
        <v>32</v>
      </c>
      <c r="P409" s="179"/>
      <c r="Q409" s="179"/>
      <c r="R409" s="179"/>
      <c r="S409" s="13" t="s">
        <v>27</v>
      </c>
    </row>
    <row r="410" spans="1:19">
      <c r="A410" s="167" t="s">
        <v>1043</v>
      </c>
      <c r="B410" s="184" t="s">
        <v>1166</v>
      </c>
      <c r="C410" s="167" t="s">
        <v>1152</v>
      </c>
      <c r="D410" s="178" t="s">
        <v>1167</v>
      </c>
      <c r="E410" s="167"/>
      <c r="F410" s="183" t="s">
        <v>1053</v>
      </c>
      <c r="G410" s="171">
        <v>1</v>
      </c>
      <c r="H410" s="172"/>
      <c r="I410" s="173"/>
      <c r="J410" s="174"/>
      <c r="K410" s="174"/>
      <c r="L410" s="175"/>
      <c r="M410" s="167"/>
      <c r="N410" s="202" t="s">
        <v>32</v>
      </c>
      <c r="O410" s="202" t="s">
        <v>32</v>
      </c>
      <c r="P410" s="179"/>
      <c r="Q410" s="179"/>
      <c r="R410" s="179"/>
      <c r="S410" s="13" t="s">
        <v>27</v>
      </c>
    </row>
    <row r="411" spans="1:19">
      <c r="A411" s="167" t="s">
        <v>1043</v>
      </c>
      <c r="B411" s="184" t="s">
        <v>1168</v>
      </c>
      <c r="C411" s="167" t="s">
        <v>1152</v>
      </c>
      <c r="D411" s="178" t="s">
        <v>1169</v>
      </c>
      <c r="E411" s="167"/>
      <c r="F411" s="183" t="s">
        <v>1056</v>
      </c>
      <c r="G411" s="171">
        <v>1</v>
      </c>
      <c r="H411" s="172"/>
      <c r="I411" s="173"/>
      <c r="J411" s="174"/>
      <c r="K411" s="174"/>
      <c r="L411" s="175"/>
      <c r="M411" s="167"/>
      <c r="N411" s="202" t="s">
        <v>32</v>
      </c>
      <c r="O411" s="202" t="s">
        <v>32</v>
      </c>
      <c r="P411" s="179"/>
      <c r="Q411" s="179"/>
      <c r="R411" s="179"/>
      <c r="S411" s="13" t="s">
        <v>27</v>
      </c>
    </row>
    <row r="412" spans="1:19">
      <c r="A412" s="167" t="s">
        <v>1043</v>
      </c>
      <c r="B412" s="184" t="s">
        <v>1170</v>
      </c>
      <c r="C412" s="167" t="s">
        <v>1152</v>
      </c>
      <c r="D412" s="178" t="s">
        <v>1171</v>
      </c>
      <c r="E412" s="167"/>
      <c r="F412" s="183" t="s">
        <v>1059</v>
      </c>
      <c r="G412" s="171">
        <v>1</v>
      </c>
      <c r="H412" s="172"/>
      <c r="I412" s="173"/>
      <c r="J412" s="174"/>
      <c r="K412" s="174"/>
      <c r="L412" s="175"/>
      <c r="M412" s="167"/>
      <c r="N412" s="202" t="s">
        <v>32</v>
      </c>
      <c r="O412" s="202" t="s">
        <v>32</v>
      </c>
      <c r="P412" s="179"/>
      <c r="Q412" s="179"/>
      <c r="R412" s="179"/>
      <c r="S412" s="13" t="s">
        <v>27</v>
      </c>
    </row>
    <row r="413" spans="1:19">
      <c r="A413" s="167" t="s">
        <v>1043</v>
      </c>
      <c r="B413" s="184" t="s">
        <v>1172</v>
      </c>
      <c r="C413" s="167" t="s">
        <v>1173</v>
      </c>
      <c r="D413" s="178" t="s">
        <v>1174</v>
      </c>
      <c r="E413" s="167"/>
      <c r="F413" s="183" t="s">
        <v>1047</v>
      </c>
      <c r="G413" s="171">
        <v>1</v>
      </c>
      <c r="H413" s="172"/>
      <c r="I413" s="173"/>
      <c r="J413" s="174"/>
      <c r="K413" s="174"/>
      <c r="L413" s="175"/>
      <c r="M413" s="167"/>
      <c r="N413" s="202" t="s">
        <v>32</v>
      </c>
      <c r="O413" s="202" t="s">
        <v>32</v>
      </c>
      <c r="P413" s="179"/>
      <c r="Q413" s="179"/>
      <c r="R413" s="179"/>
      <c r="S413" s="13" t="s">
        <v>27</v>
      </c>
    </row>
    <row r="414" spans="1:19">
      <c r="A414" s="167" t="s">
        <v>1043</v>
      </c>
      <c r="B414" s="184" t="s">
        <v>1175</v>
      </c>
      <c r="C414" s="167" t="s">
        <v>1173</v>
      </c>
      <c r="D414" s="178" t="s">
        <v>1176</v>
      </c>
      <c r="E414" s="167"/>
      <c r="F414" s="183" t="s">
        <v>1050</v>
      </c>
      <c r="G414" s="171">
        <v>1</v>
      </c>
      <c r="H414" s="172"/>
      <c r="I414" s="173"/>
      <c r="J414" s="174"/>
      <c r="K414" s="174"/>
      <c r="L414" s="175"/>
      <c r="M414" s="167"/>
      <c r="N414" s="202" t="s">
        <v>32</v>
      </c>
      <c r="O414" s="202" t="s">
        <v>32</v>
      </c>
      <c r="P414" s="179"/>
      <c r="Q414" s="179"/>
      <c r="R414" s="179"/>
      <c r="S414" s="13" t="s">
        <v>27</v>
      </c>
    </row>
    <row r="415" spans="1:19">
      <c r="A415" s="167" t="s">
        <v>1043</v>
      </c>
      <c r="B415" s="184" t="s">
        <v>1177</v>
      </c>
      <c r="C415" s="167" t="s">
        <v>1173</v>
      </c>
      <c r="D415" s="178" t="s">
        <v>1178</v>
      </c>
      <c r="E415" s="167"/>
      <c r="F415" s="183" t="s">
        <v>1053</v>
      </c>
      <c r="G415" s="171">
        <v>1</v>
      </c>
      <c r="H415" s="172"/>
      <c r="I415" s="173"/>
      <c r="J415" s="174"/>
      <c r="K415" s="174"/>
      <c r="L415" s="175"/>
      <c r="M415" s="167"/>
      <c r="N415" s="202" t="s">
        <v>32</v>
      </c>
      <c r="O415" s="202" t="s">
        <v>32</v>
      </c>
      <c r="P415" s="179"/>
      <c r="Q415" s="179"/>
      <c r="R415" s="179"/>
      <c r="S415" s="13" t="s">
        <v>27</v>
      </c>
    </row>
    <row r="416" spans="1:19">
      <c r="A416" s="167" t="s">
        <v>1043</v>
      </c>
      <c r="B416" s="184" t="s">
        <v>1179</v>
      </c>
      <c r="C416" s="167" t="s">
        <v>1173</v>
      </c>
      <c r="D416" s="178" t="s">
        <v>1180</v>
      </c>
      <c r="E416" s="167"/>
      <c r="F416" s="183" t="s">
        <v>1056</v>
      </c>
      <c r="G416" s="171">
        <v>1</v>
      </c>
      <c r="H416" s="172"/>
      <c r="I416" s="173"/>
      <c r="J416" s="174"/>
      <c r="K416" s="174"/>
      <c r="L416" s="175"/>
      <c r="M416" s="167"/>
      <c r="N416" s="202" t="s">
        <v>32</v>
      </c>
      <c r="O416" s="202" t="s">
        <v>32</v>
      </c>
      <c r="P416" s="179"/>
      <c r="Q416" s="179"/>
      <c r="R416" s="179"/>
      <c r="S416" s="13" t="s">
        <v>27</v>
      </c>
    </row>
    <row r="417" spans="1:19">
      <c r="A417" s="167" t="s">
        <v>1043</v>
      </c>
      <c r="B417" s="184" t="s">
        <v>1181</v>
      </c>
      <c r="C417" s="167" t="s">
        <v>1173</v>
      </c>
      <c r="D417" s="178" t="s">
        <v>1182</v>
      </c>
      <c r="E417" s="167"/>
      <c r="F417" s="183" t="s">
        <v>1059</v>
      </c>
      <c r="G417" s="171">
        <v>1</v>
      </c>
      <c r="H417" s="172"/>
      <c r="I417" s="173"/>
      <c r="J417" s="174"/>
      <c r="K417" s="174"/>
      <c r="L417" s="175"/>
      <c r="M417" s="167"/>
      <c r="N417" s="202" t="s">
        <v>32</v>
      </c>
      <c r="O417" s="202" t="s">
        <v>32</v>
      </c>
      <c r="P417" s="179"/>
      <c r="Q417" s="179"/>
      <c r="R417" s="179"/>
      <c r="S417" s="13" t="s">
        <v>27</v>
      </c>
    </row>
    <row r="418" spans="1:19">
      <c r="A418" s="167" t="s">
        <v>1043</v>
      </c>
      <c r="B418" s="184" t="s">
        <v>1183</v>
      </c>
      <c r="C418" s="167" t="s">
        <v>1184</v>
      </c>
      <c r="D418" s="178" t="s">
        <v>1185</v>
      </c>
      <c r="E418" s="167"/>
      <c r="F418" s="183" t="s">
        <v>1047</v>
      </c>
      <c r="G418" s="171">
        <v>1</v>
      </c>
      <c r="H418" s="172"/>
      <c r="I418" s="173"/>
      <c r="J418" s="174"/>
      <c r="K418" s="174"/>
      <c r="L418" s="175"/>
      <c r="M418" s="167"/>
      <c r="N418" s="202" t="s">
        <v>32</v>
      </c>
      <c r="O418" s="202" t="s">
        <v>32</v>
      </c>
      <c r="P418" s="179"/>
      <c r="Q418" s="179"/>
      <c r="R418" s="179"/>
      <c r="S418" s="13" t="s">
        <v>27</v>
      </c>
    </row>
    <row r="419" spans="1:19">
      <c r="A419" s="167" t="s">
        <v>1043</v>
      </c>
      <c r="B419" s="184" t="s">
        <v>1186</v>
      </c>
      <c r="C419" s="167" t="s">
        <v>1184</v>
      </c>
      <c r="D419" s="178" t="s">
        <v>1187</v>
      </c>
      <c r="E419" s="167"/>
      <c r="F419" s="183" t="s">
        <v>1050</v>
      </c>
      <c r="G419" s="171">
        <v>1</v>
      </c>
      <c r="H419" s="172"/>
      <c r="I419" s="173"/>
      <c r="J419" s="174"/>
      <c r="K419" s="174"/>
      <c r="L419" s="175"/>
      <c r="M419" s="167"/>
      <c r="N419" s="202" t="s">
        <v>32</v>
      </c>
      <c r="O419" s="202" t="s">
        <v>32</v>
      </c>
      <c r="P419" s="179"/>
      <c r="Q419" s="179"/>
      <c r="R419" s="179"/>
      <c r="S419" s="13" t="s">
        <v>27</v>
      </c>
    </row>
    <row r="420" spans="1:19">
      <c r="A420" s="167" t="s">
        <v>1043</v>
      </c>
      <c r="B420" s="184" t="s">
        <v>1188</v>
      </c>
      <c r="C420" s="167" t="s">
        <v>1184</v>
      </c>
      <c r="D420" s="178" t="s">
        <v>1189</v>
      </c>
      <c r="E420" s="167"/>
      <c r="F420" s="183" t="s">
        <v>1053</v>
      </c>
      <c r="G420" s="171">
        <v>1</v>
      </c>
      <c r="H420" s="172"/>
      <c r="I420" s="173"/>
      <c r="J420" s="174"/>
      <c r="K420" s="174"/>
      <c r="L420" s="175"/>
      <c r="M420" s="167"/>
      <c r="N420" s="202" t="s">
        <v>32</v>
      </c>
      <c r="O420" s="202" t="s">
        <v>32</v>
      </c>
      <c r="P420" s="179"/>
      <c r="Q420" s="179"/>
      <c r="R420" s="179"/>
      <c r="S420" s="13" t="s">
        <v>27</v>
      </c>
    </row>
    <row r="421" spans="1:19">
      <c r="A421" s="167" t="s">
        <v>1043</v>
      </c>
      <c r="B421" s="184" t="s">
        <v>1190</v>
      </c>
      <c r="C421" s="167" t="s">
        <v>1184</v>
      </c>
      <c r="D421" s="178" t="s">
        <v>1191</v>
      </c>
      <c r="E421" s="167"/>
      <c r="F421" s="183" t="s">
        <v>1056</v>
      </c>
      <c r="G421" s="171">
        <v>1</v>
      </c>
      <c r="H421" s="172"/>
      <c r="I421" s="173"/>
      <c r="J421" s="174"/>
      <c r="K421" s="174"/>
      <c r="L421" s="175"/>
      <c r="M421" s="167"/>
      <c r="N421" s="202" t="s">
        <v>32</v>
      </c>
      <c r="O421" s="202" t="s">
        <v>32</v>
      </c>
      <c r="P421" s="179"/>
      <c r="Q421" s="179"/>
      <c r="R421" s="179"/>
      <c r="S421" s="13" t="s">
        <v>27</v>
      </c>
    </row>
    <row r="422" spans="1:19">
      <c r="A422" s="167" t="s">
        <v>1043</v>
      </c>
      <c r="B422" s="184" t="s">
        <v>1192</v>
      </c>
      <c r="C422" s="167" t="s">
        <v>1184</v>
      </c>
      <c r="D422" s="178" t="s">
        <v>1193</v>
      </c>
      <c r="E422" s="167"/>
      <c r="F422" s="183" t="s">
        <v>1059</v>
      </c>
      <c r="G422" s="171">
        <v>1</v>
      </c>
      <c r="H422" s="172"/>
      <c r="I422" s="173"/>
      <c r="J422" s="174"/>
      <c r="K422" s="174"/>
      <c r="L422" s="175"/>
      <c r="M422" s="167"/>
      <c r="N422" s="202" t="s">
        <v>32</v>
      </c>
      <c r="O422" s="202" t="s">
        <v>32</v>
      </c>
      <c r="P422" s="179"/>
      <c r="Q422" s="179"/>
      <c r="R422" s="179"/>
      <c r="S422" s="13" t="s">
        <v>27</v>
      </c>
    </row>
    <row r="423" spans="1:19">
      <c r="A423" s="167" t="s">
        <v>1194</v>
      </c>
      <c r="B423" s="146" t="s">
        <v>1195</v>
      </c>
      <c r="C423" s="167" t="s">
        <v>1196</v>
      </c>
      <c r="D423" s="186" t="s">
        <v>1197</v>
      </c>
      <c r="E423" s="167"/>
      <c r="F423" s="183" t="s">
        <v>315</v>
      </c>
      <c r="G423" s="171">
        <v>5</v>
      </c>
      <c r="H423" s="172"/>
      <c r="I423" s="173"/>
      <c r="J423" s="174"/>
      <c r="K423" s="174" t="str">
        <f>VLOOKUP(B423,电搭接情况统计!$B$2:$H$423,7,0)</f>
        <v>NA</v>
      </c>
      <c r="L423" s="175"/>
      <c r="M423" s="167"/>
      <c r="N423" s="202" t="s">
        <v>32</v>
      </c>
      <c r="O423" s="202" t="s">
        <v>32</v>
      </c>
      <c r="P423" s="179"/>
      <c r="Q423" s="179"/>
      <c r="R423" s="179"/>
      <c r="S423" s="13" t="s">
        <v>27</v>
      </c>
    </row>
    <row r="424" spans="1:19">
      <c r="A424" s="167" t="s">
        <v>1194</v>
      </c>
      <c r="B424" s="146" t="s">
        <v>1198</v>
      </c>
      <c r="C424" s="167" t="s">
        <v>1199</v>
      </c>
      <c r="D424" s="178" t="s">
        <v>1200</v>
      </c>
      <c r="E424" s="167"/>
      <c r="F424" s="183" t="s">
        <v>315</v>
      </c>
      <c r="G424" s="171">
        <v>5</v>
      </c>
      <c r="H424" s="172"/>
      <c r="I424" s="173"/>
      <c r="J424" s="174"/>
      <c r="K424" s="174" t="str">
        <f>VLOOKUP(B424,电搭接情况统计!$B$2:$H$423,7,0)</f>
        <v>NA</v>
      </c>
      <c r="L424" s="175"/>
      <c r="M424" s="167"/>
      <c r="N424" s="202" t="s">
        <v>32</v>
      </c>
      <c r="O424" s="202" t="s">
        <v>32</v>
      </c>
      <c r="P424" s="179"/>
      <c r="Q424" s="179"/>
      <c r="R424" s="179"/>
      <c r="S424" s="13" t="s">
        <v>27</v>
      </c>
    </row>
    <row r="425" spans="1:19">
      <c r="A425" s="167" t="s">
        <v>1194</v>
      </c>
      <c r="B425" s="146" t="s">
        <v>1201</v>
      </c>
      <c r="C425" s="167" t="s">
        <v>1202</v>
      </c>
      <c r="D425" s="178" t="s">
        <v>1203</v>
      </c>
      <c r="E425" s="167"/>
      <c r="F425" s="183" t="s">
        <v>315</v>
      </c>
      <c r="G425" s="171">
        <v>5</v>
      </c>
      <c r="H425" s="172"/>
      <c r="I425" s="173"/>
      <c r="J425" s="174"/>
      <c r="K425" s="174" t="str">
        <f>VLOOKUP(B425,电搭接情况统计!$B$2:$H$423,7,0)</f>
        <v>S类，壳体搭接</v>
      </c>
      <c r="L425" s="175"/>
      <c r="M425" s="167"/>
      <c r="N425" s="202" t="s">
        <v>32</v>
      </c>
      <c r="O425" s="202" t="s">
        <v>32</v>
      </c>
      <c r="P425" s="179"/>
      <c r="Q425" s="179"/>
      <c r="R425" s="179"/>
      <c r="S425" s="13" t="s">
        <v>27</v>
      </c>
    </row>
    <row r="426" spans="1:19">
      <c r="A426" s="167" t="s">
        <v>1194</v>
      </c>
      <c r="B426" s="146" t="s">
        <v>1204</v>
      </c>
      <c r="C426" s="167" t="s">
        <v>1202</v>
      </c>
      <c r="D426" s="178" t="s">
        <v>1205</v>
      </c>
      <c r="E426" s="167"/>
      <c r="F426" s="183" t="s">
        <v>315</v>
      </c>
      <c r="G426" s="171">
        <v>5</v>
      </c>
      <c r="H426" s="172"/>
      <c r="I426" s="173"/>
      <c r="J426" s="174"/>
      <c r="K426" s="174" t="str">
        <f>VLOOKUP(B426,电搭接情况统计!$B$2:$H$423,7,0)</f>
        <v>S类，壳体搭接</v>
      </c>
      <c r="L426" s="175"/>
      <c r="M426" s="167"/>
      <c r="N426" s="202" t="s">
        <v>32</v>
      </c>
      <c r="O426" s="202" t="s">
        <v>32</v>
      </c>
      <c r="P426" s="179"/>
      <c r="Q426" s="179"/>
      <c r="R426" s="179"/>
      <c r="S426" s="13" t="s">
        <v>27</v>
      </c>
    </row>
    <row r="427" spans="1:19">
      <c r="A427" s="167" t="s">
        <v>1194</v>
      </c>
      <c r="B427" s="146" t="s">
        <v>1206</v>
      </c>
      <c r="C427" s="167" t="s">
        <v>1207</v>
      </c>
      <c r="D427" s="178" t="s">
        <v>1208</v>
      </c>
      <c r="E427" s="167"/>
      <c r="F427" s="183" t="s">
        <v>315</v>
      </c>
      <c r="G427" s="171">
        <v>5</v>
      </c>
      <c r="H427" s="172"/>
      <c r="I427" s="173"/>
      <c r="J427" s="174"/>
      <c r="K427" s="174" t="str">
        <f>VLOOKUP(B427,电搭接情况统计!$B$2:$H$423,7,0)</f>
        <v>S类，壳体搭接</v>
      </c>
      <c r="L427" s="175"/>
      <c r="M427" s="167"/>
      <c r="N427" s="202" t="s">
        <v>32</v>
      </c>
      <c r="O427" s="202" t="s">
        <v>32</v>
      </c>
      <c r="P427" s="179"/>
      <c r="Q427" s="179"/>
      <c r="R427" s="179"/>
      <c r="S427" s="13" t="s">
        <v>27</v>
      </c>
    </row>
    <row r="428" spans="1:19">
      <c r="A428" s="167" t="s">
        <v>1194</v>
      </c>
      <c r="B428" s="146" t="s">
        <v>1209</v>
      </c>
      <c r="C428" s="167" t="s">
        <v>1210</v>
      </c>
      <c r="D428" s="178" t="s">
        <v>1211</v>
      </c>
      <c r="E428" s="167"/>
      <c r="F428" s="183" t="s">
        <v>315</v>
      </c>
      <c r="G428" s="171">
        <v>5</v>
      </c>
      <c r="H428" s="172"/>
      <c r="I428" s="173"/>
      <c r="J428" s="174"/>
      <c r="K428" s="174" t="str">
        <f>VLOOKUP(B428,电搭接情况统计!$B$2:$H$423,7,0)</f>
        <v>NA</v>
      </c>
      <c r="L428" s="175"/>
      <c r="M428" s="167"/>
      <c r="N428" s="202" t="s">
        <v>32</v>
      </c>
      <c r="O428" s="202" t="s">
        <v>32</v>
      </c>
      <c r="P428" s="179"/>
      <c r="Q428" s="179"/>
      <c r="R428" s="179"/>
      <c r="S428" s="13" t="s">
        <v>27</v>
      </c>
    </row>
    <row r="429" spans="1:19">
      <c r="A429" s="167" t="s">
        <v>1194</v>
      </c>
      <c r="B429" s="146" t="s">
        <v>1212</v>
      </c>
      <c r="C429" s="167" t="s">
        <v>1213</v>
      </c>
      <c r="D429" s="178" t="s">
        <v>1214</v>
      </c>
      <c r="E429" s="167"/>
      <c r="F429" s="183" t="s">
        <v>315</v>
      </c>
      <c r="G429" s="171">
        <v>5</v>
      </c>
      <c r="H429" s="172"/>
      <c r="I429" s="173"/>
      <c r="J429" s="174"/>
      <c r="K429" s="174" t="str">
        <f>VLOOKUP(B429,电搭接情况统计!$B$2:$H$423,7,0)</f>
        <v>C类，28V负极在机身部分通过ERN回流；</v>
      </c>
      <c r="L429" s="175"/>
      <c r="M429" s="167"/>
      <c r="N429" s="202" t="s">
        <v>32</v>
      </c>
      <c r="O429" s="202" t="s">
        <v>32</v>
      </c>
      <c r="P429" s="179"/>
      <c r="Q429" s="179"/>
      <c r="R429" s="179"/>
      <c r="S429" s="13" t="s">
        <v>27</v>
      </c>
    </row>
    <row r="430" spans="1:19">
      <c r="A430" s="167" t="s">
        <v>1215</v>
      </c>
      <c r="B430" s="146" t="s">
        <v>1216</v>
      </c>
      <c r="C430" s="167" t="s">
        <v>1217</v>
      </c>
      <c r="D430" s="178" t="s">
        <v>1218</v>
      </c>
      <c r="E430" s="167"/>
      <c r="F430" s="183" t="s">
        <v>50</v>
      </c>
      <c r="G430" s="171">
        <v>4</v>
      </c>
      <c r="H430" s="172"/>
      <c r="I430" s="173"/>
      <c r="J430" s="174"/>
      <c r="K430" s="174" t="str">
        <f>VLOOKUP(B430,电搭接情况统计!$B$2:$H$423,7,0)</f>
        <v>S类</v>
      </c>
      <c r="L430" s="175"/>
      <c r="M430" s="167"/>
      <c r="N430" s="202" t="s">
        <v>26</v>
      </c>
      <c r="O430" s="202" t="s">
        <v>26</v>
      </c>
      <c r="P430" s="179"/>
      <c r="Q430" s="179"/>
      <c r="R430" s="179"/>
      <c r="S430" s="13" t="s">
        <v>136</v>
      </c>
    </row>
    <row r="431" spans="1:19">
      <c r="A431" s="167" t="s">
        <v>1215</v>
      </c>
      <c r="B431" s="146" t="s">
        <v>1219</v>
      </c>
      <c r="C431" s="167" t="s">
        <v>1220</v>
      </c>
      <c r="D431" s="178" t="s">
        <v>1221</v>
      </c>
      <c r="E431" s="167"/>
      <c r="F431" s="183" t="s">
        <v>50</v>
      </c>
      <c r="G431" s="171">
        <v>4</v>
      </c>
      <c r="H431" s="172"/>
      <c r="I431" s="173"/>
      <c r="J431" s="174"/>
      <c r="K431" s="174" t="str">
        <f>VLOOKUP(B431,电搭接情况统计!$B$2:$H$423,7,0)</f>
        <v>S类</v>
      </c>
      <c r="L431" s="175"/>
      <c r="M431" s="167"/>
      <c r="N431" s="202" t="s">
        <v>26</v>
      </c>
      <c r="O431" s="202" t="s">
        <v>26</v>
      </c>
      <c r="P431" s="179"/>
      <c r="Q431" s="179"/>
      <c r="R431" s="179"/>
      <c r="S431" s="13" t="s">
        <v>136</v>
      </c>
    </row>
    <row r="432" spans="1:19">
      <c r="A432" s="167" t="s">
        <v>1215</v>
      </c>
      <c r="B432" s="146" t="s">
        <v>1222</v>
      </c>
      <c r="C432" s="167" t="s">
        <v>1217</v>
      </c>
      <c r="D432" s="178" t="s">
        <v>1223</v>
      </c>
      <c r="E432" s="167"/>
      <c r="F432" s="183" t="s">
        <v>50</v>
      </c>
      <c r="G432" s="171">
        <v>4</v>
      </c>
      <c r="H432" s="172"/>
      <c r="I432" s="173"/>
      <c r="J432" s="174"/>
      <c r="K432" s="174" t="str">
        <f>VLOOKUP(B432,电搭接情况统计!$B$2:$H$423,7,0)</f>
        <v>S类</v>
      </c>
      <c r="L432" s="175"/>
      <c r="M432" s="167"/>
      <c r="N432" s="202" t="s">
        <v>26</v>
      </c>
      <c r="O432" s="202" t="s">
        <v>26</v>
      </c>
      <c r="P432" s="179"/>
      <c r="Q432" s="179"/>
      <c r="R432" s="179"/>
      <c r="S432" s="13" t="s">
        <v>136</v>
      </c>
    </row>
    <row r="433" spans="1:20">
      <c r="A433" s="167" t="s">
        <v>1215</v>
      </c>
      <c r="B433" s="146" t="s">
        <v>1224</v>
      </c>
      <c r="C433" s="167" t="s">
        <v>1220</v>
      </c>
      <c r="D433" s="178" t="s">
        <v>1225</v>
      </c>
      <c r="E433" s="167"/>
      <c r="F433" s="183" t="s">
        <v>50</v>
      </c>
      <c r="G433" s="171">
        <v>4</v>
      </c>
      <c r="H433" s="172"/>
      <c r="I433" s="173"/>
      <c r="J433" s="174"/>
      <c r="K433" s="174" t="str">
        <f>VLOOKUP(B433,电搭接情况统计!$B$2:$H$423,7,0)</f>
        <v>S类</v>
      </c>
      <c r="L433" s="175"/>
      <c r="M433" s="167"/>
      <c r="N433" s="202" t="s">
        <v>26</v>
      </c>
      <c r="O433" s="202" t="s">
        <v>26</v>
      </c>
      <c r="P433" s="179"/>
      <c r="Q433" s="179"/>
      <c r="R433" s="179"/>
      <c r="S433" s="13" t="s">
        <v>136</v>
      </c>
    </row>
    <row r="434" spans="1:20">
      <c r="A434" s="167" t="s">
        <v>1215</v>
      </c>
      <c r="B434" s="146" t="s">
        <v>1226</v>
      </c>
      <c r="C434" s="167" t="s">
        <v>1227</v>
      </c>
      <c r="D434" s="178" t="s">
        <v>1228</v>
      </c>
      <c r="E434" s="167"/>
      <c r="F434" s="183" t="s">
        <v>40</v>
      </c>
      <c r="G434" s="171">
        <v>4</v>
      </c>
      <c r="H434" s="172" t="s">
        <v>106</v>
      </c>
      <c r="I434" s="182" t="str">
        <f>VLOOKUP($B434,设备架接口信息!$A$1:$G$69,4,0)</f>
        <v>四角螺栓安装</v>
      </c>
      <c r="J434" s="175" t="str">
        <f>VLOOKUP($B434,设备架接口信息!$A$1:$G$69,5,0)</f>
        <v>面搭接</v>
      </c>
      <c r="K434" s="174" t="str">
        <f>VLOOKUP(B434,电搭接情况统计!$B$2:$H$423,7,0)</f>
        <v>C类</v>
      </c>
      <c r="L434" s="175">
        <f>VLOOKUP($B434,设备架接口信息!$A$1:$G$69,6,0)</f>
        <v>2.41</v>
      </c>
      <c r="M434" s="167"/>
      <c r="N434" s="202" t="s">
        <v>26</v>
      </c>
      <c r="O434" s="202" t="s">
        <v>26</v>
      </c>
      <c r="P434" s="179"/>
      <c r="Q434" s="179"/>
      <c r="R434" s="179"/>
      <c r="S434" s="13" t="s">
        <v>322</v>
      </c>
    </row>
    <row r="435" spans="1:20">
      <c r="A435" s="167" t="s">
        <v>1229</v>
      </c>
      <c r="B435" s="184" t="s">
        <v>1230</v>
      </c>
      <c r="C435" s="167" t="s">
        <v>1231</v>
      </c>
      <c r="D435" s="178" t="s">
        <v>1232</v>
      </c>
      <c r="E435" s="167"/>
      <c r="F435" s="183" t="s">
        <v>119</v>
      </c>
      <c r="G435" s="171">
        <v>5</v>
      </c>
      <c r="H435" s="172"/>
      <c r="I435" s="173"/>
      <c r="J435" s="174"/>
      <c r="K435" s="174" t="str">
        <f>VLOOKUP(B435,电搭接情况统计!$B$2:$H$423,7,0)</f>
        <v>C类</v>
      </c>
      <c r="L435" s="175"/>
      <c r="M435" s="167"/>
      <c r="N435" s="202" t="s">
        <v>26</v>
      </c>
      <c r="O435" s="202" t="s">
        <v>26</v>
      </c>
      <c r="P435" s="179"/>
      <c r="Q435" s="179"/>
      <c r="R435" s="179"/>
      <c r="S435" s="13" t="s">
        <v>27</v>
      </c>
    </row>
    <row r="436" spans="1:20">
      <c r="A436" s="167" t="s">
        <v>1229</v>
      </c>
      <c r="B436" s="184" t="s">
        <v>1233</v>
      </c>
      <c r="C436" s="167" t="s">
        <v>1234</v>
      </c>
      <c r="D436" s="178" t="s">
        <v>1235</v>
      </c>
      <c r="E436" s="167"/>
      <c r="F436" s="183" t="s">
        <v>110</v>
      </c>
      <c r="G436" s="171">
        <v>5</v>
      </c>
      <c r="H436" s="172"/>
      <c r="I436" s="173"/>
      <c r="J436" s="174"/>
      <c r="K436" s="174" t="str">
        <f>VLOOKUP(B436,电搭接情况统计!$B$2:$H$423,7,0)</f>
        <v>A类</v>
      </c>
      <c r="L436" s="175"/>
      <c r="M436" s="167"/>
      <c r="N436" s="202" t="s">
        <v>26</v>
      </c>
      <c r="O436" s="202" t="s">
        <v>32</v>
      </c>
      <c r="P436" s="179"/>
      <c r="Q436" s="179"/>
      <c r="R436" s="179"/>
      <c r="S436" s="13" t="s">
        <v>27</v>
      </c>
    </row>
    <row r="437" ht="13.05" customHeight="1" spans="1:20">
      <c r="A437" s="167" t="s">
        <v>1229</v>
      </c>
      <c r="B437" s="184" t="s">
        <v>1236</v>
      </c>
      <c r="C437" s="167" t="s">
        <v>1234</v>
      </c>
      <c r="D437" s="178" t="s">
        <v>1237</v>
      </c>
      <c r="E437" s="167"/>
      <c r="F437" s="183" t="s">
        <v>31</v>
      </c>
      <c r="G437" s="171">
        <v>5</v>
      </c>
      <c r="H437" s="172"/>
      <c r="I437" s="173"/>
      <c r="J437" s="174"/>
      <c r="K437" s="174" t="str">
        <f>VLOOKUP(B437,电搭接情况统计!$B$2:$H$423,7,0)</f>
        <v>A类</v>
      </c>
      <c r="L437" s="175"/>
      <c r="M437" s="167"/>
      <c r="N437" s="202" t="s">
        <v>26</v>
      </c>
      <c r="O437" s="202" t="s">
        <v>32</v>
      </c>
      <c r="P437" s="179"/>
      <c r="Q437" s="179"/>
      <c r="R437" s="179"/>
      <c r="S437" s="13" t="s">
        <v>27</v>
      </c>
    </row>
    <row r="438" spans="1:20">
      <c r="A438" s="167" t="s">
        <v>1229</v>
      </c>
      <c r="B438" s="184" t="s">
        <v>1238</v>
      </c>
      <c r="C438" s="167" t="s">
        <v>1239</v>
      </c>
      <c r="D438" s="178" t="s">
        <v>1240</v>
      </c>
      <c r="E438" s="167"/>
      <c r="F438" s="183" t="s">
        <v>119</v>
      </c>
      <c r="G438" s="171">
        <v>5</v>
      </c>
      <c r="H438" s="172"/>
      <c r="I438" s="173"/>
      <c r="J438" s="174"/>
      <c r="K438" s="174" t="str">
        <f>VLOOKUP(B438,电搭接情况统计!$B$2:$H$423,7,0)</f>
        <v>C类</v>
      </c>
      <c r="L438" s="175"/>
      <c r="M438" s="167"/>
      <c r="N438" s="202" t="s">
        <v>26</v>
      </c>
      <c r="O438" s="202" t="s">
        <v>26</v>
      </c>
      <c r="P438" s="179"/>
      <c r="Q438" s="179"/>
      <c r="R438" s="179"/>
      <c r="S438" s="13" t="s">
        <v>27</v>
      </c>
    </row>
    <row r="439" spans="1:20">
      <c r="A439" s="167" t="s">
        <v>1229</v>
      </c>
      <c r="B439" s="146" t="s">
        <v>1241</v>
      </c>
      <c r="C439" s="167" t="s">
        <v>1242</v>
      </c>
      <c r="D439" s="178" t="s">
        <v>1243</v>
      </c>
      <c r="E439" s="167"/>
      <c r="F439" s="183" t="s">
        <v>110</v>
      </c>
      <c r="G439" s="171">
        <v>5</v>
      </c>
      <c r="H439" s="172" t="s">
        <v>1244</v>
      </c>
      <c r="I439" s="173"/>
      <c r="J439" s="174"/>
      <c r="K439" s="174" t="str">
        <f>VLOOKUP(B439,电搭接情况统计!$B$2:$H$423,7,0)</f>
        <v>C类</v>
      </c>
      <c r="L439" s="175"/>
      <c r="M439" s="167"/>
      <c r="N439" s="202" t="s">
        <v>26</v>
      </c>
      <c r="O439" s="202" t="s">
        <v>32</v>
      </c>
      <c r="P439" s="179"/>
      <c r="Q439" s="179"/>
      <c r="R439" s="179"/>
      <c r="S439" s="13" t="s">
        <v>27</v>
      </c>
    </row>
    <row r="440" spans="1:20">
      <c r="A440" s="167" t="s">
        <v>1229</v>
      </c>
      <c r="B440" s="184" t="s">
        <v>1245</v>
      </c>
      <c r="C440" s="167" t="s">
        <v>1246</v>
      </c>
      <c r="D440" s="178" t="s">
        <v>1247</v>
      </c>
      <c r="E440" s="167"/>
      <c r="F440" s="183" t="s">
        <v>119</v>
      </c>
      <c r="G440" s="171">
        <v>5</v>
      </c>
      <c r="H440" s="172"/>
      <c r="I440" s="173"/>
      <c r="J440" s="174"/>
      <c r="K440" s="174" t="str">
        <f>VLOOKUP(B440,电搭接情况统计!$B$2:$H$423,7,0)</f>
        <v>C类</v>
      </c>
      <c r="L440" s="175"/>
      <c r="M440" s="167"/>
      <c r="N440" s="202" t="s">
        <v>26</v>
      </c>
      <c r="O440" s="202" t="s">
        <v>26</v>
      </c>
      <c r="P440" s="179"/>
      <c r="Q440" s="179"/>
      <c r="R440" s="179"/>
      <c r="S440" s="13" t="s">
        <v>27</v>
      </c>
    </row>
    <row r="441" spans="1:20">
      <c r="T441" s="8"/>
    </row>
    <row r="442" spans="1:20">
      <c r="T442" s="8" t="s">
        <v>1248</v>
      </c>
    </row>
    <row r="443" spans="1:20">
      <c r="T443" s="2" t="s">
        <v>1249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B$1048576" name="Range5"/>
    <protectedRange sqref="C$1:D$1048576" name="Range7"/>
    <protectedRange sqref="F$1:F$1048576" name="Range4"/>
    <protectedRange sqref="M$1:R$1048576" name="Range10"/>
  </protectedRanges>
  <autoFilter xmlns:etc="http://www.wps.cn/officeDocument/2017/etCustomData" ref="A1:T443" etc:filterBottomFollowUsedRange="1">
    <extLst/>
  </autoFilter>
  <conditionalFormatting sqref="I$1:I$1048576">
    <cfRule type="containsText" dxfId="0" priority="1" operator="between" text="托架安装">
      <formula>NOT(ISERROR(SEARCH("托架安装",I1)))</formula>
    </cfRule>
  </conditionalFormatting>
  <dataValidations count="1">
    <dataValidation type="list" allowBlank="1" showErrorMessage="1" errorTitle="错误提示" error="请输入下拉列表中的值" sqref="I2:I1048576">
      <formula1>"标准托架安装,非标准托架安装,紧固件-螺栓螺母安装,紧固件-托板螺母安装,粘接安装"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9"/>
  <sheetViews>
    <sheetView tabSelected="1" topLeftCell="A16" workbookViewId="0">
      <pane xSplit="4" topLeftCell="S1" activePane="topRight" state="frozen"/>
      <selection/>
      <selection pane="topRight" activeCell="S426" sqref="S426"/>
    </sheetView>
  </sheetViews>
  <sheetFormatPr defaultColWidth="8.66666666666667" defaultRowHeight="15"/>
  <cols>
    <col min="1" max="1" width="19.1083333333333" style="148" customWidth="1"/>
    <col min="2" max="2" width="34" style="13" customWidth="1"/>
    <col min="3" max="3" width="14.5" style="148" customWidth="1"/>
    <col min="4" max="4" width="10.3" style="149" customWidth="1"/>
    <col min="5" max="5" width="37.875" style="148" customWidth="1"/>
    <col min="6" max="6" width="22.8833333333333" style="150" customWidth="1"/>
    <col min="7" max="8" width="10.2333333333333" style="148" customWidth="1"/>
    <col min="9" max="9" width="25.625" style="13" customWidth="1"/>
    <col min="10" max="10" width="28.0333333333333" style="151" customWidth="1"/>
    <col min="11" max="11" width="11.8833333333333" style="152" customWidth="1"/>
    <col min="12" max="12" width="32.3833333333333" style="152" customWidth="1"/>
    <col min="13" max="13" width="14.7416666666667" style="152" customWidth="1"/>
    <col min="14" max="18" width="15.975" style="148" customWidth="1"/>
    <col min="19" max="19" width="33.975" style="13" customWidth="1"/>
    <col min="20" max="20" width="49.6666666666667" style="2" customWidth="1"/>
  </cols>
  <sheetData>
    <row r="1" s="147" customFormat="1" ht="42" spans="1:20">
      <c r="A1" s="153" t="s">
        <v>0</v>
      </c>
      <c r="B1" s="154" t="s">
        <v>1</v>
      </c>
      <c r="C1" s="155" t="s">
        <v>2</v>
      </c>
      <c r="D1" s="156" t="s">
        <v>3</v>
      </c>
      <c r="E1" s="157" t="s">
        <v>4</v>
      </c>
      <c r="F1" s="158" t="s">
        <v>5</v>
      </c>
      <c r="G1" s="155" t="s">
        <v>6</v>
      </c>
      <c r="H1" s="159" t="s">
        <v>1250</v>
      </c>
      <c r="I1" s="160" t="s">
        <v>7</v>
      </c>
      <c r="J1" s="161" t="s">
        <v>1251</v>
      </c>
      <c r="K1" s="162" t="s">
        <v>9</v>
      </c>
      <c r="L1" s="162" t="s">
        <v>10</v>
      </c>
      <c r="M1" s="163" t="s">
        <v>11</v>
      </c>
      <c r="N1" s="164" t="s">
        <v>12</v>
      </c>
      <c r="O1" s="165" t="s">
        <v>13</v>
      </c>
      <c r="P1" s="165" t="s">
        <v>15</v>
      </c>
      <c r="Q1" s="165" t="s">
        <v>16</v>
      </c>
      <c r="R1" s="165" t="s">
        <v>17</v>
      </c>
      <c r="S1" s="166" t="s">
        <v>18</v>
      </c>
      <c r="T1" s="2"/>
    </row>
    <row r="2" spans="1:20">
      <c r="A2" s="167" t="s">
        <v>1252</v>
      </c>
      <c r="B2" s="168" t="s">
        <v>683</v>
      </c>
      <c r="C2" s="155"/>
      <c r="D2" s="169"/>
      <c r="E2" s="155"/>
      <c r="F2" s="170" t="s">
        <v>683</v>
      </c>
      <c r="G2" s="171">
        <v>3</v>
      </c>
      <c r="H2" s="8" t="s">
        <v>26</v>
      </c>
      <c r="I2" s="172"/>
      <c r="J2" s="173"/>
      <c r="K2" s="174"/>
      <c r="L2" s="174"/>
      <c r="M2" s="175"/>
      <c r="N2" s="155"/>
      <c r="O2" s="176"/>
      <c r="P2" s="176"/>
      <c r="Q2" s="176"/>
      <c r="R2" s="176"/>
      <c r="S2" s="13" t="s">
        <v>27</v>
      </c>
      <c r="T2" s="177" t="s">
        <v>1253</v>
      </c>
    </row>
    <row r="3" spans="1:20">
      <c r="A3" s="167" t="s">
        <v>1254</v>
      </c>
      <c r="B3" s="146" t="s">
        <v>1255</v>
      </c>
      <c r="C3" s="167" t="s">
        <v>683</v>
      </c>
      <c r="D3" s="178" t="s">
        <v>683</v>
      </c>
      <c r="E3" s="167"/>
      <c r="F3" s="170" t="s">
        <v>683</v>
      </c>
      <c r="G3" s="171">
        <v>3</v>
      </c>
      <c r="H3" s="8" t="s">
        <v>26</v>
      </c>
      <c r="I3" s="172"/>
      <c r="J3" s="173"/>
      <c r="K3" s="174"/>
      <c r="L3" s="174" t="e">
        <f>VLOOKUP(B3,电搭接情况统计!$B$2:$H$423,7,0)</f>
        <v>#N/A</v>
      </c>
      <c r="M3" s="175"/>
      <c r="N3" s="167" t="s">
        <v>1256</v>
      </c>
      <c r="O3" s="179"/>
      <c r="P3" s="179"/>
      <c r="Q3" s="179"/>
      <c r="R3" s="179"/>
      <c r="T3"/>
    </row>
    <row r="4" spans="1:20">
      <c r="A4" s="167" t="s">
        <v>1254</v>
      </c>
      <c r="B4" s="146" t="s">
        <v>1257</v>
      </c>
      <c r="C4" s="167" t="s">
        <v>683</v>
      </c>
      <c r="D4" s="178" t="s">
        <v>683</v>
      </c>
      <c r="E4" s="167"/>
      <c r="F4" s="170" t="s">
        <v>683</v>
      </c>
      <c r="G4" s="171">
        <v>3</v>
      </c>
      <c r="H4" s="8" t="s">
        <v>26</v>
      </c>
      <c r="I4" s="172"/>
      <c r="J4" s="173"/>
      <c r="K4" s="174"/>
      <c r="L4" s="174" t="e">
        <f>VLOOKUP(B4,电搭接情况统计!$B$2:$H$423,7,0)</f>
        <v>#N/A</v>
      </c>
      <c r="M4" s="175"/>
      <c r="N4" s="167" t="s">
        <v>1256</v>
      </c>
      <c r="O4" s="179"/>
      <c r="P4" s="179"/>
      <c r="Q4" s="179"/>
      <c r="R4" s="179"/>
      <c r="T4"/>
    </row>
    <row r="5" spans="1:20">
      <c r="A5" s="167" t="s">
        <v>1254</v>
      </c>
      <c r="B5" s="146" t="s">
        <v>1258</v>
      </c>
      <c r="C5" s="167" t="s">
        <v>683</v>
      </c>
      <c r="D5" s="178" t="s">
        <v>683</v>
      </c>
      <c r="E5" s="167"/>
      <c r="F5" s="170" t="s">
        <v>683</v>
      </c>
      <c r="G5" s="171">
        <v>3</v>
      </c>
      <c r="H5" s="8" t="s">
        <v>26</v>
      </c>
      <c r="I5" s="172"/>
      <c r="J5" s="180"/>
      <c r="K5" s="174"/>
      <c r="L5" s="174" t="e">
        <f>VLOOKUP(B5,电搭接情况统计!$B$2:$H$423,7,0)</f>
        <v>#N/A</v>
      </c>
      <c r="M5" s="175"/>
      <c r="N5" s="167" t="s">
        <v>1256</v>
      </c>
      <c r="O5" s="179"/>
      <c r="P5" s="179"/>
      <c r="Q5" s="179"/>
      <c r="R5" s="179"/>
      <c r="T5"/>
    </row>
    <row r="6" spans="1:20">
      <c r="A6" s="167" t="s">
        <v>1254</v>
      </c>
      <c r="B6" s="146" t="s">
        <v>1259</v>
      </c>
      <c r="C6" s="167" t="s">
        <v>683</v>
      </c>
      <c r="D6" s="178" t="s">
        <v>683</v>
      </c>
      <c r="E6" s="167"/>
      <c r="F6" s="170" t="s">
        <v>683</v>
      </c>
      <c r="G6" s="171">
        <v>3</v>
      </c>
      <c r="H6" s="8" t="s">
        <v>26</v>
      </c>
      <c r="I6" s="172"/>
      <c r="J6" s="173"/>
      <c r="K6" s="174"/>
      <c r="L6" s="174" t="e">
        <f>VLOOKUP(B6,电搭接情况统计!$B$2:$H$423,7,0)</f>
        <v>#N/A</v>
      </c>
      <c r="M6" s="175"/>
      <c r="N6" s="167" t="s">
        <v>1256</v>
      </c>
      <c r="O6" s="179"/>
      <c r="P6" s="179"/>
      <c r="Q6" s="179"/>
      <c r="R6" s="179"/>
      <c r="T6"/>
    </row>
    <row r="7" spans="1:20">
      <c r="A7" s="167" t="s">
        <v>1254</v>
      </c>
      <c r="B7" s="146" t="s">
        <v>1260</v>
      </c>
      <c r="C7" s="167" t="s">
        <v>683</v>
      </c>
      <c r="D7" s="178" t="s">
        <v>683</v>
      </c>
      <c r="E7" s="167"/>
      <c r="F7" s="170" t="s">
        <v>683</v>
      </c>
      <c r="G7" s="171">
        <v>3</v>
      </c>
      <c r="H7" s="8" t="s">
        <v>26</v>
      </c>
      <c r="I7" s="172"/>
      <c r="J7" s="173"/>
      <c r="K7" s="174"/>
      <c r="L7" s="174" t="e">
        <f>VLOOKUP(B7,电搭接情况统计!$B$2:$H$423,7,0)</f>
        <v>#N/A</v>
      </c>
      <c r="M7" s="175"/>
      <c r="N7" s="167" t="s">
        <v>1256</v>
      </c>
      <c r="O7" s="179"/>
      <c r="P7" s="179"/>
      <c r="Q7" s="179"/>
      <c r="R7" s="179"/>
      <c r="T7"/>
    </row>
    <row r="8" spans="1:20">
      <c r="A8" s="167" t="s">
        <v>1254</v>
      </c>
      <c r="B8" s="146" t="s">
        <v>1261</v>
      </c>
      <c r="C8" s="167" t="s">
        <v>683</v>
      </c>
      <c r="D8" s="178" t="s">
        <v>683</v>
      </c>
      <c r="E8" s="167"/>
      <c r="F8" s="170" t="s">
        <v>683</v>
      </c>
      <c r="G8" s="171">
        <v>3</v>
      </c>
      <c r="H8" s="8" t="s">
        <v>26</v>
      </c>
      <c r="I8" s="172"/>
      <c r="J8" s="173"/>
      <c r="K8" s="174"/>
      <c r="L8" s="174" t="e">
        <f>VLOOKUP(B8,电搭接情况统计!$B$2:$H$423,7,0)</f>
        <v>#N/A</v>
      </c>
      <c r="M8" s="175"/>
      <c r="N8" s="167" t="s">
        <v>1256</v>
      </c>
      <c r="O8" s="179"/>
      <c r="P8" s="179"/>
      <c r="Q8" s="179"/>
      <c r="R8" s="179"/>
      <c r="T8"/>
    </row>
    <row r="9" spans="1:20">
      <c r="A9" s="167" t="s">
        <v>1254</v>
      </c>
      <c r="B9" s="146" t="s">
        <v>1262</v>
      </c>
      <c r="C9" s="167" t="s">
        <v>683</v>
      </c>
      <c r="D9" s="178" t="s">
        <v>683</v>
      </c>
      <c r="E9" s="167"/>
      <c r="F9" s="170" t="s">
        <v>683</v>
      </c>
      <c r="G9" s="171">
        <v>3</v>
      </c>
      <c r="H9" s="8" t="s">
        <v>26</v>
      </c>
      <c r="I9" s="172"/>
      <c r="J9" s="173"/>
      <c r="K9" s="174"/>
      <c r="L9" s="174" t="e">
        <f>VLOOKUP(B9,电搭接情况统计!$B$2:$H$423,7,0)</f>
        <v>#N/A</v>
      </c>
      <c r="M9" s="175"/>
      <c r="N9" s="167" t="s">
        <v>1256</v>
      </c>
      <c r="O9" s="179"/>
      <c r="P9" s="179"/>
      <c r="Q9" s="179"/>
      <c r="R9" s="179"/>
      <c r="T9"/>
    </row>
    <row r="10" spans="1:20">
      <c r="A10" s="167" t="s">
        <v>1254</v>
      </c>
      <c r="B10" s="146" t="s">
        <v>1263</v>
      </c>
      <c r="C10" s="167" t="s">
        <v>683</v>
      </c>
      <c r="D10" s="178" t="s">
        <v>683</v>
      </c>
      <c r="E10" s="167"/>
      <c r="F10" s="170" t="s">
        <v>683</v>
      </c>
      <c r="G10" s="171">
        <v>3</v>
      </c>
      <c r="H10" s="8" t="s">
        <v>26</v>
      </c>
      <c r="I10" s="172"/>
      <c r="J10" s="173"/>
      <c r="K10" s="174"/>
      <c r="L10" s="174" t="e">
        <f>VLOOKUP(B10,电搭接情况统计!$B$2:$H$423,7,0)</f>
        <v>#N/A</v>
      </c>
      <c r="M10" s="175"/>
      <c r="N10" s="167" t="s">
        <v>1256</v>
      </c>
      <c r="O10" s="179"/>
      <c r="P10" s="179"/>
      <c r="Q10" s="179"/>
      <c r="R10" s="179"/>
      <c r="T10" s="67" t="s">
        <v>1264</v>
      </c>
    </row>
    <row r="11" spans="1:20">
      <c r="A11" s="167" t="s">
        <v>1254</v>
      </c>
      <c r="B11" s="146" t="s">
        <v>1265</v>
      </c>
      <c r="C11" s="167" t="s">
        <v>683</v>
      </c>
      <c r="D11" s="178" t="s">
        <v>683</v>
      </c>
      <c r="E11" s="167"/>
      <c r="F11" s="170" t="s">
        <v>683</v>
      </c>
      <c r="G11" s="171">
        <v>3</v>
      </c>
      <c r="H11" s="8" t="s">
        <v>26</v>
      </c>
      <c r="I11" s="172"/>
      <c r="J11" s="173"/>
      <c r="K11" s="174"/>
      <c r="L11" s="174"/>
      <c r="M11" s="175"/>
      <c r="N11" s="167" t="s">
        <v>1266</v>
      </c>
      <c r="O11" s="179"/>
      <c r="P11" s="179"/>
      <c r="Q11" s="179"/>
      <c r="R11" s="179"/>
      <c r="T11" t="s">
        <v>1267</v>
      </c>
    </row>
    <row r="12" spans="1:20">
      <c r="A12" s="167" t="s">
        <v>1254</v>
      </c>
      <c r="B12" s="146" t="s">
        <v>1268</v>
      </c>
      <c r="C12" s="167" t="s">
        <v>683</v>
      </c>
      <c r="D12" s="178" t="s">
        <v>683</v>
      </c>
      <c r="E12" s="167"/>
      <c r="F12" s="170" t="s">
        <v>683</v>
      </c>
      <c r="G12" s="171">
        <v>3</v>
      </c>
      <c r="H12" s="8" t="s">
        <v>26</v>
      </c>
      <c r="I12" s="172"/>
      <c r="J12" s="173"/>
      <c r="K12" s="174"/>
      <c r="L12" s="174"/>
      <c r="M12" s="175"/>
      <c r="N12" s="167" t="s">
        <v>1266</v>
      </c>
      <c r="O12" s="179"/>
      <c r="P12" s="179"/>
      <c r="Q12" s="179"/>
      <c r="R12" s="179"/>
      <c r="T12" t="s">
        <v>1267</v>
      </c>
    </row>
    <row r="13" spans="1:20">
      <c r="A13" s="167" t="s">
        <v>1254</v>
      </c>
      <c r="B13" s="146" t="s">
        <v>1269</v>
      </c>
      <c r="C13" s="167" t="s">
        <v>683</v>
      </c>
      <c r="D13" s="178" t="s">
        <v>683</v>
      </c>
      <c r="E13" s="167"/>
      <c r="F13" s="170" t="s">
        <v>683</v>
      </c>
      <c r="G13" s="171">
        <v>3</v>
      </c>
      <c r="H13" s="8" t="s">
        <v>26</v>
      </c>
      <c r="I13" s="172"/>
      <c r="J13" s="173"/>
      <c r="K13" s="174"/>
      <c r="L13" s="174"/>
      <c r="M13" s="175"/>
      <c r="N13" s="167" t="s">
        <v>1266</v>
      </c>
      <c r="O13" s="179"/>
      <c r="P13" s="179"/>
      <c r="Q13" s="179"/>
      <c r="R13" s="179"/>
      <c r="T13" t="s">
        <v>1267</v>
      </c>
    </row>
    <row r="14" spans="1:20">
      <c r="A14" s="167" t="s">
        <v>1254</v>
      </c>
      <c r="B14" s="146" t="s">
        <v>1270</v>
      </c>
      <c r="C14" s="167" t="s">
        <v>683</v>
      </c>
      <c r="D14" s="178" t="s">
        <v>683</v>
      </c>
      <c r="E14" s="167"/>
      <c r="F14" s="170" t="s">
        <v>683</v>
      </c>
      <c r="G14" s="171">
        <v>3</v>
      </c>
      <c r="H14" s="8" t="s">
        <v>26</v>
      </c>
      <c r="I14" s="172"/>
      <c r="J14" s="173"/>
      <c r="K14" s="174"/>
      <c r="L14" s="174"/>
      <c r="M14" s="175"/>
      <c r="N14" s="167" t="s">
        <v>1266</v>
      </c>
      <c r="O14" s="179"/>
      <c r="P14" s="179"/>
      <c r="Q14" s="179"/>
      <c r="R14" s="179"/>
      <c r="T14" t="s">
        <v>1267</v>
      </c>
    </row>
    <row r="15" spans="1:20">
      <c r="A15" s="167" t="s">
        <v>1254</v>
      </c>
      <c r="B15" s="146" t="s">
        <v>1271</v>
      </c>
      <c r="C15" s="167" t="s">
        <v>683</v>
      </c>
      <c r="D15" s="178" t="s">
        <v>683</v>
      </c>
      <c r="E15" s="167"/>
      <c r="F15" s="170" t="s">
        <v>683</v>
      </c>
      <c r="G15" s="171">
        <v>3</v>
      </c>
      <c r="H15" s="8" t="s">
        <v>26</v>
      </c>
      <c r="I15" s="172"/>
      <c r="J15" s="173"/>
      <c r="K15" s="174"/>
      <c r="L15" s="174"/>
      <c r="M15" s="175"/>
      <c r="N15" s="167" t="s">
        <v>1266</v>
      </c>
      <c r="O15" s="179"/>
      <c r="P15" s="179"/>
      <c r="Q15" s="179"/>
      <c r="R15" s="179"/>
      <c r="T15"/>
    </row>
    <row r="16" spans="1:20">
      <c r="A16" s="167" t="s">
        <v>1254</v>
      </c>
      <c r="B16" s="146" t="s">
        <v>1272</v>
      </c>
      <c r="C16" s="167" t="s">
        <v>683</v>
      </c>
      <c r="D16" s="181" t="s">
        <v>683</v>
      </c>
      <c r="E16" s="167"/>
      <c r="F16" s="170" t="s">
        <v>683</v>
      </c>
      <c r="G16" s="171">
        <v>3</v>
      </c>
      <c r="H16" s="8" t="s">
        <v>26</v>
      </c>
      <c r="I16" s="172"/>
      <c r="J16" s="173"/>
      <c r="K16" s="174"/>
      <c r="L16" s="174" t="e">
        <f>VLOOKUP(B16,电搭接情况统计!$B$2:$H$423,7,0)</f>
        <v>#N/A</v>
      </c>
      <c r="M16" s="175"/>
      <c r="N16" s="167" t="s">
        <v>1256</v>
      </c>
      <c r="O16" s="179"/>
      <c r="P16" s="179"/>
      <c r="Q16" s="179"/>
      <c r="R16" s="179"/>
      <c r="T16"/>
    </row>
    <row r="17" spans="1:20">
      <c r="A17" s="167" t="s">
        <v>1254</v>
      </c>
      <c r="B17" s="146" t="s">
        <v>1273</v>
      </c>
      <c r="C17" s="167" t="s">
        <v>683</v>
      </c>
      <c r="D17" s="178" t="s">
        <v>683</v>
      </c>
      <c r="E17" s="167"/>
      <c r="F17" s="170" t="s">
        <v>683</v>
      </c>
      <c r="G17" s="171">
        <v>3</v>
      </c>
      <c r="H17" s="8" t="s">
        <v>26</v>
      </c>
      <c r="I17" s="172"/>
      <c r="J17" s="173"/>
      <c r="K17" s="174"/>
      <c r="L17" s="174"/>
      <c r="M17" s="175"/>
      <c r="N17" s="167" t="s">
        <v>1266</v>
      </c>
      <c r="O17" s="179"/>
      <c r="P17" s="179"/>
      <c r="Q17" s="179"/>
      <c r="R17" s="179"/>
      <c r="T17"/>
    </row>
    <row r="18" spans="1:20">
      <c r="A18" s="167" t="s">
        <v>1254</v>
      </c>
      <c r="B18" s="146" t="s">
        <v>1274</v>
      </c>
      <c r="C18" s="167" t="s">
        <v>683</v>
      </c>
      <c r="D18" s="178" t="s">
        <v>683</v>
      </c>
      <c r="E18" s="167"/>
      <c r="F18" s="170" t="s">
        <v>683</v>
      </c>
      <c r="G18" s="171">
        <v>3</v>
      </c>
      <c r="H18" s="8" t="s">
        <v>26</v>
      </c>
      <c r="I18" s="172"/>
      <c r="J18" s="173"/>
      <c r="K18" s="174"/>
      <c r="L18" s="174"/>
      <c r="M18" s="175"/>
      <c r="N18" s="167" t="s">
        <v>1266</v>
      </c>
      <c r="O18" s="179"/>
      <c r="P18" s="179"/>
      <c r="Q18" s="179"/>
      <c r="R18" s="179"/>
      <c r="T18"/>
    </row>
    <row r="19" spans="1:20">
      <c r="A19" s="167" t="s">
        <v>1254</v>
      </c>
      <c r="B19" s="146" t="s">
        <v>1275</v>
      </c>
      <c r="C19" s="167" t="s">
        <v>683</v>
      </c>
      <c r="D19" s="178" t="s">
        <v>683</v>
      </c>
      <c r="E19" s="167"/>
      <c r="F19" s="170" t="s">
        <v>683</v>
      </c>
      <c r="G19" s="171">
        <v>3</v>
      </c>
      <c r="H19" s="8" t="s">
        <v>26</v>
      </c>
      <c r="I19" s="172"/>
      <c r="J19" s="173"/>
      <c r="K19" s="174"/>
      <c r="L19" s="174"/>
      <c r="M19" s="175"/>
      <c r="N19" s="167" t="s">
        <v>1266</v>
      </c>
      <c r="O19" s="179"/>
      <c r="P19" s="179"/>
      <c r="Q19" s="179"/>
      <c r="R19" s="179"/>
      <c r="T19"/>
    </row>
    <row r="20" spans="1:20">
      <c r="A20" s="167" t="s">
        <v>1254</v>
      </c>
      <c r="B20" s="146" t="s">
        <v>1276</v>
      </c>
      <c r="C20" s="167" t="s">
        <v>683</v>
      </c>
      <c r="D20" s="178" t="s">
        <v>683</v>
      </c>
      <c r="E20" s="167"/>
      <c r="F20" s="170" t="s">
        <v>683</v>
      </c>
      <c r="G20" s="171">
        <v>3</v>
      </c>
      <c r="H20" s="8" t="s">
        <v>26</v>
      </c>
      <c r="I20" s="172"/>
      <c r="J20" s="173"/>
      <c r="K20" s="174"/>
      <c r="L20" s="174"/>
      <c r="M20" s="175"/>
      <c r="N20" s="167" t="s">
        <v>1266</v>
      </c>
      <c r="O20" s="179"/>
      <c r="P20" s="179"/>
      <c r="Q20" s="179"/>
      <c r="R20" s="179"/>
      <c r="T20"/>
    </row>
    <row r="21" spans="1:20">
      <c r="A21" s="167" t="s">
        <v>1254</v>
      </c>
      <c r="B21" s="146" t="s">
        <v>1277</v>
      </c>
      <c r="C21" s="167" t="s">
        <v>683</v>
      </c>
      <c r="D21" s="178" t="s">
        <v>683</v>
      </c>
      <c r="E21" s="167"/>
      <c r="F21" s="170" t="s">
        <v>683</v>
      </c>
      <c r="G21" s="171">
        <v>3</v>
      </c>
      <c r="H21" s="8" t="s">
        <v>26</v>
      </c>
      <c r="I21" s="172"/>
      <c r="J21" s="173"/>
      <c r="K21" s="174"/>
      <c r="L21" s="174" t="e">
        <f>VLOOKUP(B21,电搭接情况统计!$B$2:$H$423,7,0)</f>
        <v>#N/A</v>
      </c>
      <c r="M21" s="175"/>
      <c r="N21" s="167" t="s">
        <v>1266</v>
      </c>
      <c r="O21" s="179"/>
      <c r="P21" s="179"/>
      <c r="Q21" s="179"/>
      <c r="R21" s="179"/>
      <c r="T21"/>
    </row>
    <row r="22" spans="1:20">
      <c r="A22" s="167" t="s">
        <v>1254</v>
      </c>
      <c r="B22" s="146" t="s">
        <v>1278</v>
      </c>
      <c r="C22" s="167" t="s">
        <v>683</v>
      </c>
      <c r="D22" s="178" t="s">
        <v>683</v>
      </c>
      <c r="E22" s="167"/>
      <c r="F22" s="170" t="s">
        <v>683</v>
      </c>
      <c r="G22" s="171">
        <v>3</v>
      </c>
      <c r="H22" s="8" t="s">
        <v>26</v>
      </c>
      <c r="I22" s="172"/>
      <c r="J22" s="173"/>
      <c r="K22" s="174"/>
      <c r="L22" s="174" t="e">
        <f>VLOOKUP(B22,电搭接情况统计!$B$2:$H$423,7,0)</f>
        <v>#N/A</v>
      </c>
      <c r="M22" s="175"/>
      <c r="N22" s="167" t="s">
        <v>1256</v>
      </c>
      <c r="O22" s="179"/>
      <c r="P22" s="179"/>
      <c r="Q22" s="179"/>
      <c r="R22" s="179"/>
      <c r="T22"/>
    </row>
    <row r="23" spans="1:20">
      <c r="A23" s="167" t="s">
        <v>1254</v>
      </c>
      <c r="B23" s="146" t="s">
        <v>1279</v>
      </c>
      <c r="C23" s="167" t="s">
        <v>683</v>
      </c>
      <c r="D23" s="178" t="s">
        <v>683</v>
      </c>
      <c r="E23" s="167"/>
      <c r="F23" s="170" t="s">
        <v>683</v>
      </c>
      <c r="G23" s="171">
        <v>3</v>
      </c>
      <c r="H23" s="8" t="s">
        <v>26</v>
      </c>
      <c r="I23" s="172"/>
      <c r="J23" s="173"/>
      <c r="K23" s="174"/>
      <c r="L23" s="174"/>
      <c r="M23" s="175"/>
      <c r="N23" s="167" t="s">
        <v>1266</v>
      </c>
      <c r="O23" s="179"/>
      <c r="P23" s="179"/>
      <c r="Q23" s="179"/>
      <c r="R23" s="179"/>
      <c r="T23"/>
    </row>
    <row r="24" spans="1:20">
      <c r="A24" s="167" t="s">
        <v>1254</v>
      </c>
      <c r="B24" s="144" t="s">
        <v>1280</v>
      </c>
      <c r="C24" s="167" t="s">
        <v>683</v>
      </c>
      <c r="D24" s="178" t="s">
        <v>683</v>
      </c>
      <c r="E24" s="167"/>
      <c r="F24" s="170" t="s">
        <v>683</v>
      </c>
      <c r="G24" s="171">
        <v>3</v>
      </c>
      <c r="H24" s="8" t="s">
        <v>26</v>
      </c>
      <c r="I24" s="172"/>
      <c r="J24" s="173"/>
      <c r="K24" s="174"/>
      <c r="L24" s="174"/>
      <c r="M24" s="175"/>
      <c r="N24" s="167" t="s">
        <v>1256</v>
      </c>
      <c r="O24" s="179"/>
      <c r="P24" s="179"/>
      <c r="Q24" s="179"/>
      <c r="R24" s="179"/>
      <c r="T24"/>
    </row>
    <row r="25" spans="1:20">
      <c r="A25" s="167" t="s">
        <v>1254</v>
      </c>
      <c r="B25" s="144" t="s">
        <v>1281</v>
      </c>
      <c r="C25" s="167" t="s">
        <v>683</v>
      </c>
      <c r="D25" s="178" t="s">
        <v>683</v>
      </c>
      <c r="E25" s="167"/>
      <c r="F25" s="170" t="s">
        <v>683</v>
      </c>
      <c r="G25" s="171">
        <v>3</v>
      </c>
      <c r="H25" s="8" t="s">
        <v>26</v>
      </c>
      <c r="I25" s="172"/>
      <c r="J25" s="173"/>
      <c r="K25" s="174"/>
      <c r="L25" s="174"/>
      <c r="M25" s="175"/>
      <c r="N25" s="167" t="s">
        <v>1256</v>
      </c>
      <c r="O25" s="179"/>
      <c r="P25" s="179"/>
      <c r="Q25" s="179"/>
      <c r="R25" s="179"/>
      <c r="S25" s="13" t="s">
        <v>27</v>
      </c>
      <c r="T25"/>
    </row>
    <row r="26" spans="1:20">
      <c r="A26" s="167" t="s">
        <v>1254</v>
      </c>
      <c r="B26" s="144" t="s">
        <v>1282</v>
      </c>
      <c r="C26" s="167" t="s">
        <v>683</v>
      </c>
      <c r="D26" s="178" t="s">
        <v>683</v>
      </c>
      <c r="E26" s="167"/>
      <c r="F26" s="170" t="s">
        <v>683</v>
      </c>
      <c r="G26" s="171">
        <v>3</v>
      </c>
      <c r="H26" s="8" t="s">
        <v>26</v>
      </c>
      <c r="I26" s="172"/>
      <c r="J26" s="173"/>
      <c r="K26" s="174"/>
      <c r="L26" s="174"/>
      <c r="M26" s="175"/>
      <c r="N26" s="167" t="s">
        <v>1256</v>
      </c>
      <c r="O26" s="179"/>
      <c r="P26" s="179"/>
      <c r="Q26" s="179"/>
      <c r="R26" s="179"/>
      <c r="S26" s="13" t="s">
        <v>27</v>
      </c>
      <c r="T26"/>
    </row>
    <row r="27" spans="1:20">
      <c r="A27" s="167" t="s">
        <v>1254</v>
      </c>
      <c r="B27" s="144" t="s">
        <v>1283</v>
      </c>
      <c r="C27" s="167" t="s">
        <v>683</v>
      </c>
      <c r="D27" s="178" t="s">
        <v>683</v>
      </c>
      <c r="E27" s="167"/>
      <c r="F27" s="170" t="s">
        <v>683</v>
      </c>
      <c r="G27" s="171">
        <v>3</v>
      </c>
      <c r="H27" s="8" t="s">
        <v>26</v>
      </c>
      <c r="I27" s="172"/>
      <c r="J27" s="182" t="e">
        <f>VLOOKUP($B27,设备架接口信息!$A$1:$G$69,4,0)</f>
        <v>#N/A</v>
      </c>
      <c r="K27" s="175" t="e">
        <f>VLOOKUP($B27,设备架接口信息!$A$1:$G$69,5,0)</f>
        <v>#N/A</v>
      </c>
      <c r="L27" s="174"/>
      <c r="M27" s="175" t="e">
        <f>VLOOKUP($B27,设备架接口信息!$A$1:$G$69,6,0)</f>
        <v>#N/A</v>
      </c>
      <c r="N27" s="167" t="s">
        <v>1256</v>
      </c>
      <c r="O27" s="179"/>
      <c r="P27" s="179"/>
      <c r="Q27" s="179"/>
      <c r="R27" s="179"/>
      <c r="S27" s="67" t="s">
        <v>1284</v>
      </c>
      <c r="T27"/>
    </row>
    <row r="28" spans="1:20">
      <c r="A28" s="167" t="s">
        <v>1254</v>
      </c>
      <c r="B28" s="144" t="s">
        <v>1285</v>
      </c>
      <c r="C28" s="167" t="s">
        <v>683</v>
      </c>
      <c r="D28" s="178" t="s">
        <v>683</v>
      </c>
      <c r="E28" s="167"/>
      <c r="F28" s="170" t="s">
        <v>683</v>
      </c>
      <c r="G28" s="171">
        <v>3</v>
      </c>
      <c r="H28" s="8" t="s">
        <v>26</v>
      </c>
      <c r="I28" s="172"/>
      <c r="J28" s="182" t="e">
        <f>VLOOKUP($B28,设备架接口信息!$A$1:$G$69,4,0)</f>
        <v>#N/A</v>
      </c>
      <c r="K28" s="175" t="e">
        <f>VLOOKUP($B28,设备架接口信息!$A$1:$G$69,5,0)</f>
        <v>#N/A</v>
      </c>
      <c r="L28" s="174"/>
      <c r="M28" s="175" t="e">
        <f>VLOOKUP($B28,设备架接口信息!$A$1:$G$69,6,0)</f>
        <v>#N/A</v>
      </c>
      <c r="N28" s="167" t="s">
        <v>1256</v>
      </c>
      <c r="O28" s="179"/>
      <c r="P28" s="179"/>
      <c r="Q28" s="179"/>
      <c r="R28" s="179"/>
      <c r="S28" s="67" t="s">
        <v>1284</v>
      </c>
      <c r="T28"/>
    </row>
    <row r="29" spans="1:20">
      <c r="A29" s="167" t="s">
        <v>1254</v>
      </c>
      <c r="B29" s="144" t="s">
        <v>1286</v>
      </c>
      <c r="C29" s="167" t="s">
        <v>683</v>
      </c>
      <c r="D29" s="178" t="s">
        <v>683</v>
      </c>
      <c r="E29" s="167"/>
      <c r="F29" s="170" t="s">
        <v>683</v>
      </c>
      <c r="G29" s="171">
        <v>3</v>
      </c>
      <c r="H29" s="8" t="s">
        <v>26</v>
      </c>
      <c r="I29" s="172"/>
      <c r="J29" s="173"/>
      <c r="K29" s="174"/>
      <c r="L29" s="174"/>
      <c r="M29" s="175"/>
      <c r="N29" s="167" t="s">
        <v>1266</v>
      </c>
      <c r="O29" s="179"/>
      <c r="P29" s="179"/>
      <c r="Q29" s="179"/>
      <c r="R29" s="179"/>
      <c r="S29" s="13" t="s">
        <v>27</v>
      </c>
      <c r="T29"/>
    </row>
    <row r="30" spans="1:20">
      <c r="A30" s="167" t="s">
        <v>1254</v>
      </c>
      <c r="B30" s="144" t="s">
        <v>1287</v>
      </c>
      <c r="C30" s="167" t="s">
        <v>683</v>
      </c>
      <c r="D30" s="178" t="s">
        <v>683</v>
      </c>
      <c r="E30" s="167"/>
      <c r="F30" s="170" t="s">
        <v>683</v>
      </c>
      <c r="G30" s="171">
        <v>3</v>
      </c>
      <c r="H30" s="8" t="s">
        <v>26</v>
      </c>
      <c r="I30" s="172"/>
      <c r="J30" s="173"/>
      <c r="K30" s="174"/>
      <c r="L30" s="174"/>
      <c r="M30" s="175"/>
      <c r="N30" s="167" t="s">
        <v>1256</v>
      </c>
      <c r="O30" s="179"/>
      <c r="P30" s="179"/>
      <c r="Q30" s="179"/>
      <c r="R30" s="179"/>
      <c r="S30" s="13" t="s">
        <v>27</v>
      </c>
      <c r="T30"/>
    </row>
    <row r="31" spans="1:20">
      <c r="A31" s="167" t="s">
        <v>1254</v>
      </c>
      <c r="B31" s="144" t="s">
        <v>1288</v>
      </c>
      <c r="C31" s="167" t="s">
        <v>683</v>
      </c>
      <c r="D31" s="178" t="s">
        <v>683</v>
      </c>
      <c r="E31" s="167"/>
      <c r="F31" s="170" t="s">
        <v>683</v>
      </c>
      <c r="G31" s="171">
        <v>3</v>
      </c>
      <c r="H31" s="8" t="s">
        <v>26</v>
      </c>
      <c r="I31" s="172"/>
      <c r="J31" s="173"/>
      <c r="K31" s="174"/>
      <c r="L31" s="174"/>
      <c r="M31" s="175"/>
      <c r="N31" s="167" t="s">
        <v>26</v>
      </c>
      <c r="O31" s="179"/>
      <c r="P31" s="179"/>
      <c r="Q31" s="179"/>
      <c r="R31" s="179"/>
      <c r="S31" s="13" t="s">
        <v>27</v>
      </c>
      <c r="T31"/>
    </row>
    <row r="32" spans="1:20">
      <c r="A32" s="167" t="s">
        <v>1254</v>
      </c>
      <c r="B32" s="144" t="s">
        <v>1289</v>
      </c>
      <c r="C32" s="167" t="s">
        <v>683</v>
      </c>
      <c r="D32" s="178" t="s">
        <v>683</v>
      </c>
      <c r="E32" s="167"/>
      <c r="F32" s="170" t="s">
        <v>683</v>
      </c>
      <c r="G32" s="171">
        <v>3</v>
      </c>
      <c r="H32" s="8" t="s">
        <v>26</v>
      </c>
      <c r="I32" s="172"/>
      <c r="J32" s="173"/>
      <c r="K32" s="174"/>
      <c r="L32" s="174"/>
      <c r="M32" s="175"/>
      <c r="N32" s="167" t="s">
        <v>1256</v>
      </c>
      <c r="O32" s="179"/>
      <c r="P32" s="179"/>
      <c r="Q32" s="179"/>
      <c r="R32" s="179"/>
      <c r="S32" s="13" t="s">
        <v>27</v>
      </c>
      <c r="T32"/>
    </row>
    <row r="33" spans="1:20">
      <c r="A33" s="167" t="s">
        <v>1254</v>
      </c>
      <c r="B33" s="144" t="s">
        <v>1290</v>
      </c>
      <c r="C33" s="167" t="s">
        <v>683</v>
      </c>
      <c r="D33" s="178" t="s">
        <v>683</v>
      </c>
      <c r="E33" s="167"/>
      <c r="F33" s="170" t="s">
        <v>683</v>
      </c>
      <c r="G33" s="171">
        <v>3</v>
      </c>
      <c r="H33" s="8" t="s">
        <v>26</v>
      </c>
      <c r="I33" s="172"/>
      <c r="J33" s="173"/>
      <c r="K33" s="174"/>
      <c r="L33" s="174"/>
      <c r="M33" s="175"/>
      <c r="N33" s="167" t="s">
        <v>1256</v>
      </c>
      <c r="O33" s="179"/>
      <c r="P33" s="179"/>
      <c r="Q33" s="179"/>
      <c r="R33" s="179"/>
      <c r="S33" s="13" t="s">
        <v>27</v>
      </c>
      <c r="T33"/>
    </row>
    <row r="34" spans="1:20">
      <c r="A34" s="167" t="s">
        <v>1254</v>
      </c>
      <c r="B34" s="144" t="s">
        <v>1291</v>
      </c>
      <c r="C34" s="167" t="s">
        <v>683</v>
      </c>
      <c r="D34" s="178" t="s">
        <v>683</v>
      </c>
      <c r="E34" s="167"/>
      <c r="F34" s="170" t="s">
        <v>683</v>
      </c>
      <c r="G34" s="171">
        <v>3</v>
      </c>
      <c r="H34" s="8" t="s">
        <v>26</v>
      </c>
      <c r="I34" s="172"/>
      <c r="J34" s="173"/>
      <c r="K34" s="174"/>
      <c r="L34" s="174"/>
      <c r="M34" s="175"/>
      <c r="N34" s="167" t="s">
        <v>1256</v>
      </c>
      <c r="O34" s="179"/>
      <c r="P34" s="179"/>
      <c r="Q34" s="179"/>
      <c r="R34" s="179"/>
      <c r="S34" s="13" t="s">
        <v>27</v>
      </c>
      <c r="T34"/>
    </row>
    <row r="35" spans="1:20">
      <c r="A35" s="167" t="s">
        <v>1254</v>
      </c>
      <c r="B35" s="144" t="s">
        <v>1292</v>
      </c>
      <c r="C35" s="167" t="s">
        <v>683</v>
      </c>
      <c r="D35" s="178" t="s">
        <v>683</v>
      </c>
      <c r="E35" s="167"/>
      <c r="F35" s="170" t="s">
        <v>683</v>
      </c>
      <c r="G35" s="171">
        <v>3</v>
      </c>
      <c r="H35" s="8" t="s">
        <v>26</v>
      </c>
      <c r="I35" s="172"/>
      <c r="J35" s="173"/>
      <c r="K35" s="174"/>
      <c r="L35" s="174"/>
      <c r="M35" s="175"/>
      <c r="N35" s="167" t="s">
        <v>1256</v>
      </c>
      <c r="O35" s="179"/>
      <c r="P35" s="179"/>
      <c r="Q35" s="179"/>
      <c r="R35" s="179"/>
      <c r="S35" s="13" t="s">
        <v>27</v>
      </c>
      <c r="T35"/>
    </row>
    <row r="36" spans="1:20">
      <c r="A36" s="167" t="s">
        <v>1254</v>
      </c>
      <c r="B36" s="144" t="s">
        <v>1293</v>
      </c>
      <c r="C36" s="167" t="s">
        <v>1294</v>
      </c>
      <c r="D36" s="178" t="s">
        <v>1295</v>
      </c>
      <c r="E36" s="167"/>
      <c r="F36" s="170" t="s">
        <v>683</v>
      </c>
      <c r="G36" s="171">
        <v>3</v>
      </c>
      <c r="H36" s="8" t="s">
        <v>26</v>
      </c>
      <c r="I36" s="172"/>
      <c r="J36" s="173"/>
      <c r="K36" s="174"/>
      <c r="L36" s="174"/>
      <c r="M36" s="175"/>
      <c r="N36" s="167" t="s">
        <v>1256</v>
      </c>
      <c r="O36" s="179"/>
      <c r="P36" s="179"/>
      <c r="Q36" s="179"/>
      <c r="R36" s="179"/>
      <c r="S36" s="13" t="s">
        <v>27</v>
      </c>
      <c r="T36"/>
    </row>
    <row r="37" spans="1:20">
      <c r="A37" s="167" t="s">
        <v>1254</v>
      </c>
      <c r="B37" s="144" t="s">
        <v>1296</v>
      </c>
      <c r="C37" s="167" t="s">
        <v>1297</v>
      </c>
      <c r="D37" s="178" t="s">
        <v>1298</v>
      </c>
      <c r="E37" s="167"/>
      <c r="F37" s="170" t="s">
        <v>683</v>
      </c>
      <c r="G37" s="171">
        <v>3</v>
      </c>
      <c r="H37" s="8" t="s">
        <v>26</v>
      </c>
      <c r="I37" s="172"/>
      <c r="J37" s="173"/>
      <c r="K37" s="174"/>
      <c r="L37" s="174"/>
      <c r="M37" s="175"/>
      <c r="N37" s="167" t="s">
        <v>1256</v>
      </c>
      <c r="O37" s="179"/>
      <c r="P37" s="179"/>
      <c r="Q37" s="179"/>
      <c r="R37" s="179"/>
      <c r="S37" s="13" t="s">
        <v>27</v>
      </c>
      <c r="T37"/>
    </row>
    <row r="38" spans="1:20">
      <c r="A38" s="167" t="s">
        <v>1254</v>
      </c>
      <c r="B38" s="144" t="s">
        <v>1299</v>
      </c>
      <c r="C38" s="167" t="s">
        <v>683</v>
      </c>
      <c r="D38" s="178" t="s">
        <v>683</v>
      </c>
      <c r="E38" s="167"/>
      <c r="F38" s="170" t="s">
        <v>683</v>
      </c>
      <c r="G38" s="171">
        <v>3</v>
      </c>
      <c r="H38" s="8" t="s">
        <v>26</v>
      </c>
      <c r="I38" s="172"/>
      <c r="J38" s="173"/>
      <c r="K38" s="174"/>
      <c r="L38" s="174"/>
      <c r="M38" s="175"/>
      <c r="N38" s="167" t="s">
        <v>1256</v>
      </c>
      <c r="O38" s="179"/>
      <c r="P38" s="179"/>
      <c r="Q38" s="179"/>
      <c r="R38" s="179"/>
      <c r="S38" s="13" t="s">
        <v>27</v>
      </c>
      <c r="T38"/>
    </row>
    <row r="39" spans="1:20">
      <c r="A39" s="167" t="s">
        <v>1254</v>
      </c>
      <c r="B39" s="144" t="s">
        <v>1300</v>
      </c>
      <c r="C39" s="167" t="s">
        <v>683</v>
      </c>
      <c r="D39" s="178" t="s">
        <v>683</v>
      </c>
      <c r="E39" s="167"/>
      <c r="F39" s="170" t="s">
        <v>683</v>
      </c>
      <c r="G39" s="171">
        <v>3</v>
      </c>
      <c r="H39" s="8" t="s">
        <v>26</v>
      </c>
      <c r="I39" s="172"/>
      <c r="J39" s="173"/>
      <c r="K39" s="174"/>
      <c r="L39" s="174"/>
      <c r="M39" s="175"/>
      <c r="N39" s="167" t="s">
        <v>1256</v>
      </c>
      <c r="O39" s="179"/>
      <c r="P39" s="179"/>
      <c r="Q39" s="179"/>
      <c r="R39" s="179"/>
      <c r="S39" s="13" t="s">
        <v>27</v>
      </c>
      <c r="T39"/>
    </row>
    <row r="40" spans="1:20">
      <c r="A40" s="167" t="s">
        <v>1254</v>
      </c>
      <c r="B40" s="144" t="s">
        <v>1301</v>
      </c>
      <c r="C40" s="167" t="s">
        <v>683</v>
      </c>
      <c r="D40" s="178" t="s">
        <v>683</v>
      </c>
      <c r="E40" s="167"/>
      <c r="F40" s="170" t="s">
        <v>683</v>
      </c>
      <c r="G40" s="171">
        <v>3</v>
      </c>
      <c r="H40" s="8" t="s">
        <v>26</v>
      </c>
      <c r="I40" s="172"/>
      <c r="J40" s="173"/>
      <c r="K40" s="174"/>
      <c r="L40" s="174"/>
      <c r="M40" s="175"/>
      <c r="N40" s="167" t="s">
        <v>1266</v>
      </c>
      <c r="O40" s="179"/>
      <c r="P40" s="179"/>
      <c r="Q40" s="179"/>
      <c r="R40" s="179"/>
      <c r="S40" s="13" t="s">
        <v>27</v>
      </c>
      <c r="T40"/>
    </row>
    <row r="41" spans="1:20">
      <c r="A41" s="167" t="s">
        <v>1254</v>
      </c>
      <c r="B41" s="144" t="s">
        <v>1302</v>
      </c>
      <c r="C41" s="167" t="s">
        <v>683</v>
      </c>
      <c r="D41" s="178" t="s">
        <v>683</v>
      </c>
      <c r="E41" s="167"/>
      <c r="F41" s="170" t="s">
        <v>683</v>
      </c>
      <c r="G41" s="171">
        <v>3</v>
      </c>
      <c r="H41" s="8" t="s">
        <v>26</v>
      </c>
      <c r="I41" s="172"/>
      <c r="J41" s="173"/>
      <c r="K41" s="174"/>
      <c r="L41" s="174"/>
      <c r="M41" s="175"/>
      <c r="N41" s="167" t="s">
        <v>1256</v>
      </c>
      <c r="O41" s="179"/>
      <c r="P41" s="179"/>
      <c r="Q41" s="179"/>
      <c r="R41" s="179"/>
      <c r="S41" s="13" t="s">
        <v>27</v>
      </c>
      <c r="T41"/>
    </row>
    <row r="42" spans="1:20">
      <c r="A42" s="167" t="s">
        <v>1254</v>
      </c>
      <c r="B42" s="144" t="s">
        <v>1303</v>
      </c>
      <c r="C42" s="167" t="s">
        <v>683</v>
      </c>
      <c r="D42" s="178" t="s">
        <v>683</v>
      </c>
      <c r="E42" s="167"/>
      <c r="F42" s="170" t="s">
        <v>683</v>
      </c>
      <c r="G42" s="171">
        <v>3</v>
      </c>
      <c r="H42" s="8" t="s">
        <v>26</v>
      </c>
      <c r="I42" s="172"/>
      <c r="J42" s="173"/>
      <c r="K42" s="174"/>
      <c r="L42" s="174"/>
      <c r="M42" s="175"/>
      <c r="N42" s="167" t="s">
        <v>1266</v>
      </c>
      <c r="O42" s="179"/>
      <c r="P42" s="179"/>
      <c r="Q42" s="179"/>
      <c r="R42" s="179"/>
      <c r="S42" s="13" t="s">
        <v>27</v>
      </c>
      <c r="T42"/>
    </row>
    <row r="43" spans="1:20">
      <c r="A43" s="167" t="s">
        <v>1254</v>
      </c>
      <c r="B43" s="144" t="s">
        <v>1304</v>
      </c>
      <c r="C43" s="167" t="s">
        <v>683</v>
      </c>
      <c r="D43" s="178" t="s">
        <v>683</v>
      </c>
      <c r="E43" s="167"/>
      <c r="F43" s="170" t="s">
        <v>683</v>
      </c>
      <c r="G43" s="171">
        <v>3</v>
      </c>
      <c r="H43" s="8" t="s">
        <v>26</v>
      </c>
      <c r="I43" s="172"/>
      <c r="J43" s="173"/>
      <c r="K43" s="174"/>
      <c r="L43" s="174"/>
      <c r="M43" s="175"/>
      <c r="N43" s="167" t="s">
        <v>1256</v>
      </c>
      <c r="O43" s="179"/>
      <c r="P43" s="179"/>
      <c r="Q43" s="179"/>
      <c r="R43" s="179"/>
      <c r="S43" s="13" t="s">
        <v>27</v>
      </c>
      <c r="T43"/>
    </row>
    <row r="44" spans="1:20">
      <c r="A44" s="167" t="s">
        <v>1254</v>
      </c>
      <c r="B44" s="144" t="s">
        <v>1305</v>
      </c>
      <c r="C44" s="167" t="s">
        <v>683</v>
      </c>
      <c r="D44" s="178" t="s">
        <v>683</v>
      </c>
      <c r="E44" s="167"/>
      <c r="F44" s="170" t="s">
        <v>683</v>
      </c>
      <c r="G44" s="171">
        <v>3</v>
      </c>
      <c r="H44" s="8" t="s">
        <v>26</v>
      </c>
      <c r="I44" s="172"/>
      <c r="J44" s="173"/>
      <c r="K44" s="174"/>
      <c r="L44" s="174"/>
      <c r="M44" s="175"/>
      <c r="N44" s="167" t="s">
        <v>1266</v>
      </c>
      <c r="O44" s="179"/>
      <c r="P44" s="179"/>
      <c r="Q44" s="179"/>
      <c r="R44" s="179"/>
      <c r="S44" s="13" t="s">
        <v>27</v>
      </c>
      <c r="T44"/>
    </row>
    <row r="45" spans="1:20">
      <c r="A45" s="167" t="s">
        <v>1254</v>
      </c>
      <c r="B45" s="144" t="s">
        <v>1306</v>
      </c>
      <c r="C45" s="167" t="s">
        <v>683</v>
      </c>
      <c r="D45" s="178" t="s">
        <v>683</v>
      </c>
      <c r="E45" s="167"/>
      <c r="F45" s="170" t="s">
        <v>683</v>
      </c>
      <c r="G45" s="171">
        <v>3</v>
      </c>
      <c r="H45" s="8" t="s">
        <v>26</v>
      </c>
      <c r="I45" s="172"/>
      <c r="J45" s="173"/>
      <c r="K45" s="174"/>
      <c r="L45" s="174"/>
      <c r="M45" s="175"/>
      <c r="N45" s="167" t="s">
        <v>1256</v>
      </c>
      <c r="O45" s="179"/>
      <c r="P45" s="179"/>
      <c r="Q45" s="179"/>
      <c r="R45" s="179"/>
      <c r="S45" s="13" t="s">
        <v>27</v>
      </c>
      <c r="T45"/>
    </row>
    <row r="46" spans="1:20">
      <c r="A46" s="167" t="s">
        <v>1254</v>
      </c>
      <c r="B46" s="144" t="s">
        <v>1307</v>
      </c>
      <c r="C46" s="167" t="s">
        <v>683</v>
      </c>
      <c r="D46" s="178" t="s">
        <v>683</v>
      </c>
      <c r="E46" s="167"/>
      <c r="F46" s="170" t="s">
        <v>683</v>
      </c>
      <c r="G46" s="171">
        <v>3</v>
      </c>
      <c r="H46" s="8" t="s">
        <v>26</v>
      </c>
      <c r="I46" s="172"/>
      <c r="J46" s="173"/>
      <c r="K46" s="174"/>
      <c r="L46" s="174"/>
      <c r="M46" s="175"/>
      <c r="N46" s="167" t="s">
        <v>1256</v>
      </c>
      <c r="O46" s="179"/>
      <c r="P46" s="179"/>
      <c r="Q46" s="179"/>
      <c r="R46" s="179"/>
      <c r="S46" s="13" t="s">
        <v>27</v>
      </c>
      <c r="T46"/>
    </row>
    <row r="47" spans="1:20">
      <c r="A47" s="167" t="s">
        <v>1254</v>
      </c>
      <c r="B47" s="144" t="s">
        <v>1308</v>
      </c>
      <c r="C47" s="167" t="s">
        <v>683</v>
      </c>
      <c r="D47" s="178" t="s">
        <v>683</v>
      </c>
      <c r="E47" s="167"/>
      <c r="F47" s="170" t="s">
        <v>683</v>
      </c>
      <c r="G47" s="171">
        <v>3</v>
      </c>
      <c r="H47" s="8" t="s">
        <v>26</v>
      </c>
      <c r="I47" s="172"/>
      <c r="J47" s="173"/>
      <c r="K47" s="174"/>
      <c r="L47" s="174"/>
      <c r="M47" s="175"/>
      <c r="N47" s="167" t="s">
        <v>1256</v>
      </c>
      <c r="O47" s="179"/>
      <c r="P47" s="179"/>
      <c r="Q47" s="179"/>
      <c r="R47" s="179"/>
      <c r="S47" s="13" t="s">
        <v>27</v>
      </c>
      <c r="T47"/>
    </row>
    <row r="48" spans="1:20">
      <c r="A48" s="167" t="s">
        <v>1254</v>
      </c>
      <c r="B48" s="144" t="s">
        <v>1309</v>
      </c>
      <c r="C48" s="167" t="s">
        <v>1310</v>
      </c>
      <c r="D48" s="178" t="s">
        <v>1311</v>
      </c>
      <c r="E48" s="167"/>
      <c r="F48" s="170" t="s">
        <v>683</v>
      </c>
      <c r="G48" s="171">
        <v>3</v>
      </c>
      <c r="H48" s="8" t="s">
        <v>26</v>
      </c>
      <c r="I48" s="172"/>
      <c r="J48" s="173"/>
      <c r="K48" s="174"/>
      <c r="L48" s="174"/>
      <c r="M48" s="175"/>
      <c r="N48" s="167" t="s">
        <v>1256</v>
      </c>
      <c r="O48" s="179"/>
      <c r="P48" s="179"/>
      <c r="Q48" s="179"/>
      <c r="R48" s="179"/>
      <c r="S48" s="13" t="s">
        <v>27</v>
      </c>
      <c r="T48"/>
    </row>
    <row r="49" spans="1:20">
      <c r="A49" s="167" t="s">
        <v>1254</v>
      </c>
      <c r="B49" s="144" t="s">
        <v>1312</v>
      </c>
      <c r="C49" s="167" t="s">
        <v>1310</v>
      </c>
      <c r="D49" s="178" t="s">
        <v>1313</v>
      </c>
      <c r="E49" s="167"/>
      <c r="F49" s="170" t="s">
        <v>683</v>
      </c>
      <c r="G49" s="171">
        <v>3</v>
      </c>
      <c r="H49" s="8" t="s">
        <v>26</v>
      </c>
      <c r="I49" s="172"/>
      <c r="J49" s="173"/>
      <c r="K49" s="174"/>
      <c r="L49" s="174"/>
      <c r="M49" s="175"/>
      <c r="N49" s="167" t="s">
        <v>1256</v>
      </c>
      <c r="O49" s="179"/>
      <c r="P49" s="179"/>
      <c r="Q49" s="179"/>
      <c r="R49" s="179"/>
      <c r="S49" s="13" t="s">
        <v>27</v>
      </c>
      <c r="T49"/>
    </row>
    <row r="50" spans="1:20">
      <c r="A50" s="167" t="s">
        <v>1254</v>
      </c>
      <c r="B50" s="144" t="s">
        <v>1314</v>
      </c>
      <c r="C50" s="167" t="s">
        <v>683</v>
      </c>
      <c r="D50" s="178" t="s">
        <v>683</v>
      </c>
      <c r="E50" s="167"/>
      <c r="F50" s="170" t="s">
        <v>683</v>
      </c>
      <c r="G50" s="171">
        <v>3</v>
      </c>
      <c r="H50" s="8" t="s">
        <v>26</v>
      </c>
      <c r="I50" s="172"/>
      <c r="J50" s="173"/>
      <c r="K50" s="174"/>
      <c r="L50" s="174"/>
      <c r="M50" s="175"/>
      <c r="N50" s="167" t="s">
        <v>1256</v>
      </c>
      <c r="O50" s="179"/>
      <c r="P50" s="179"/>
      <c r="Q50" s="179"/>
      <c r="R50" s="179"/>
      <c r="S50" s="13" t="s">
        <v>27</v>
      </c>
      <c r="T50"/>
    </row>
    <row r="51" spans="1:20">
      <c r="A51" s="167" t="s">
        <v>1254</v>
      </c>
      <c r="B51" s="144" t="s">
        <v>1315</v>
      </c>
      <c r="C51" s="167" t="s">
        <v>1316</v>
      </c>
      <c r="D51" s="178" t="s">
        <v>1317</v>
      </c>
      <c r="E51" s="167"/>
      <c r="F51" s="170" t="s">
        <v>683</v>
      </c>
      <c r="G51" s="171">
        <v>3</v>
      </c>
      <c r="H51" s="8" t="s">
        <v>26</v>
      </c>
      <c r="I51" s="172"/>
      <c r="J51" s="173"/>
      <c r="K51" s="174"/>
      <c r="L51" s="174"/>
      <c r="M51" s="175"/>
      <c r="N51" s="167" t="s">
        <v>1256</v>
      </c>
      <c r="O51" s="179"/>
      <c r="P51" s="179"/>
      <c r="Q51" s="179"/>
      <c r="R51" s="179"/>
      <c r="S51" s="13" t="s">
        <v>27</v>
      </c>
      <c r="T51"/>
    </row>
    <row r="52" spans="1:20">
      <c r="A52" s="167" t="s">
        <v>1254</v>
      </c>
      <c r="B52" s="144" t="s">
        <v>1318</v>
      </c>
      <c r="C52" s="167" t="s">
        <v>1319</v>
      </c>
      <c r="D52" s="178" t="s">
        <v>1320</v>
      </c>
      <c r="E52" s="167"/>
      <c r="F52" s="170" t="s">
        <v>683</v>
      </c>
      <c r="G52" s="171">
        <v>3</v>
      </c>
      <c r="H52" s="8" t="s">
        <v>26</v>
      </c>
      <c r="I52" s="172"/>
      <c r="J52" s="173"/>
      <c r="K52" s="174"/>
      <c r="L52" s="174"/>
      <c r="M52" s="175"/>
      <c r="N52" s="167" t="s">
        <v>1256</v>
      </c>
      <c r="O52" s="179"/>
      <c r="P52" s="179"/>
      <c r="Q52" s="179"/>
      <c r="R52" s="179"/>
      <c r="S52" s="13" t="s">
        <v>27</v>
      </c>
      <c r="T52"/>
    </row>
    <row r="53" spans="1:20">
      <c r="A53" s="167" t="s">
        <v>1254</v>
      </c>
      <c r="B53" s="144" t="s">
        <v>1321</v>
      </c>
      <c r="C53" s="167" t="s">
        <v>1322</v>
      </c>
      <c r="D53" s="178" t="s">
        <v>1323</v>
      </c>
      <c r="E53" s="167"/>
      <c r="F53" s="170" t="s">
        <v>683</v>
      </c>
      <c r="G53" s="171">
        <v>3</v>
      </c>
      <c r="H53" s="8" t="s">
        <v>26</v>
      </c>
      <c r="I53" s="172"/>
      <c r="J53" s="173"/>
      <c r="K53" s="174"/>
      <c r="L53" s="174"/>
      <c r="M53" s="175"/>
      <c r="N53" s="167" t="s">
        <v>1256</v>
      </c>
      <c r="O53" s="179"/>
      <c r="P53" s="179"/>
      <c r="Q53" s="179"/>
      <c r="R53" s="179"/>
      <c r="S53" s="13" t="s">
        <v>27</v>
      </c>
      <c r="T53"/>
    </row>
    <row r="54" spans="1:20">
      <c r="A54" s="167" t="s">
        <v>1254</v>
      </c>
      <c r="B54" s="144" t="s">
        <v>1324</v>
      </c>
      <c r="C54" s="167" t="s">
        <v>683</v>
      </c>
      <c r="D54" s="178" t="s">
        <v>683</v>
      </c>
      <c r="E54" s="167"/>
      <c r="F54" s="170" t="s">
        <v>683</v>
      </c>
      <c r="G54" s="171">
        <v>3</v>
      </c>
      <c r="H54" s="8" t="s">
        <v>26</v>
      </c>
      <c r="I54" s="172"/>
      <c r="J54" s="173"/>
      <c r="K54" s="174"/>
      <c r="L54" s="174"/>
      <c r="M54" s="175"/>
      <c r="N54" s="167" t="s">
        <v>1256</v>
      </c>
      <c r="O54" s="179"/>
      <c r="P54" s="179"/>
      <c r="Q54" s="179"/>
      <c r="R54" s="179"/>
      <c r="S54" s="13" t="s">
        <v>27</v>
      </c>
      <c r="T54"/>
    </row>
    <row r="55" spans="1:20">
      <c r="A55" s="167" t="s">
        <v>1254</v>
      </c>
      <c r="B55" s="144" t="s">
        <v>1325</v>
      </c>
      <c r="C55" s="167" t="s">
        <v>683</v>
      </c>
      <c r="D55" s="178" t="s">
        <v>683</v>
      </c>
      <c r="E55" s="167"/>
      <c r="F55" s="170" t="s">
        <v>683</v>
      </c>
      <c r="G55" s="171">
        <v>3</v>
      </c>
      <c r="H55" s="8" t="s">
        <v>26</v>
      </c>
      <c r="I55" s="172"/>
      <c r="J55" s="173"/>
      <c r="K55" s="174"/>
      <c r="L55" s="174"/>
      <c r="M55" s="175"/>
      <c r="N55" s="167" t="s">
        <v>1256</v>
      </c>
      <c r="O55" s="179"/>
      <c r="P55" s="179"/>
      <c r="Q55" s="179"/>
      <c r="R55" s="179"/>
      <c r="S55" s="13" t="s">
        <v>27</v>
      </c>
      <c r="T55"/>
    </row>
    <row r="56" spans="1:20">
      <c r="A56" s="167" t="s">
        <v>1254</v>
      </c>
      <c r="B56" s="144" t="s">
        <v>1326</v>
      </c>
      <c r="C56" s="167" t="s">
        <v>683</v>
      </c>
      <c r="D56" s="178" t="s">
        <v>683</v>
      </c>
      <c r="E56" s="167"/>
      <c r="F56" s="170" t="s">
        <v>683</v>
      </c>
      <c r="G56" s="171">
        <v>3</v>
      </c>
      <c r="H56" s="8" t="s">
        <v>26</v>
      </c>
      <c r="I56" s="172"/>
      <c r="J56" s="173"/>
      <c r="K56" s="174"/>
      <c r="L56" s="174"/>
      <c r="M56" s="175"/>
      <c r="N56" s="167" t="s">
        <v>1266</v>
      </c>
      <c r="O56" s="179"/>
      <c r="P56" s="179"/>
      <c r="Q56" s="179"/>
      <c r="R56" s="179"/>
      <c r="S56" s="13" t="s">
        <v>27</v>
      </c>
      <c r="T56"/>
    </row>
    <row r="57" spans="1:20">
      <c r="A57" s="167" t="s">
        <v>1254</v>
      </c>
      <c r="B57" s="146" t="s">
        <v>1327</v>
      </c>
      <c r="C57" s="167" t="s">
        <v>683</v>
      </c>
      <c r="D57" s="178" t="s">
        <v>683</v>
      </c>
      <c r="E57" s="167"/>
      <c r="F57" s="170" t="s">
        <v>683</v>
      </c>
      <c r="G57" s="171">
        <v>3</v>
      </c>
      <c r="H57" s="8" t="s">
        <v>26</v>
      </c>
      <c r="I57" s="172"/>
      <c r="J57" s="173"/>
      <c r="K57" s="174"/>
      <c r="L57" s="174"/>
      <c r="M57" s="175"/>
      <c r="N57" s="167"/>
      <c r="O57" s="179"/>
      <c r="P57" s="179"/>
      <c r="Q57" s="179"/>
      <c r="R57" s="179"/>
      <c r="T57"/>
    </row>
    <row r="58" spans="1:20">
      <c r="A58" s="167" t="s">
        <v>1254</v>
      </c>
      <c r="B58" s="146" t="s">
        <v>1328</v>
      </c>
      <c r="C58" s="167" t="s">
        <v>683</v>
      </c>
      <c r="D58" s="178" t="s">
        <v>683</v>
      </c>
      <c r="E58" s="167"/>
      <c r="F58" s="170" t="s">
        <v>683</v>
      </c>
      <c r="G58" s="171">
        <v>3</v>
      </c>
      <c r="H58" s="8" t="s">
        <v>26</v>
      </c>
      <c r="I58" s="172"/>
      <c r="J58" s="173"/>
      <c r="K58" s="174"/>
      <c r="L58" s="174"/>
      <c r="M58" s="175"/>
      <c r="N58" s="167"/>
      <c r="O58" s="179"/>
      <c r="P58" s="179"/>
      <c r="Q58" s="179"/>
      <c r="R58" s="179"/>
      <c r="T58"/>
    </row>
    <row r="59" spans="1:20">
      <c r="A59" s="167" t="s">
        <v>1254</v>
      </c>
      <c r="B59" s="146" t="s">
        <v>1329</v>
      </c>
      <c r="C59" s="167" t="s">
        <v>683</v>
      </c>
      <c r="D59" s="178" t="s">
        <v>683</v>
      </c>
      <c r="E59" s="167"/>
      <c r="F59" s="170" t="s">
        <v>683</v>
      </c>
      <c r="G59" s="171">
        <v>3</v>
      </c>
      <c r="H59" s="8" t="s">
        <v>26</v>
      </c>
      <c r="I59" s="172"/>
      <c r="J59" s="173"/>
      <c r="K59" s="174"/>
      <c r="L59" s="174"/>
      <c r="M59" s="175"/>
      <c r="N59" s="167"/>
      <c r="O59" s="179"/>
      <c r="P59" s="179"/>
      <c r="Q59" s="179"/>
      <c r="R59" s="179"/>
      <c r="T59"/>
    </row>
    <row r="60" spans="1:20">
      <c r="A60" s="167" t="s">
        <v>1254</v>
      </c>
      <c r="B60" s="146" t="s">
        <v>1330</v>
      </c>
      <c r="C60" s="167" t="s">
        <v>683</v>
      </c>
      <c r="D60" s="178" t="s">
        <v>683</v>
      </c>
      <c r="E60" s="167"/>
      <c r="F60" s="170" t="s">
        <v>683</v>
      </c>
      <c r="G60" s="171">
        <v>3</v>
      </c>
      <c r="H60" s="8" t="s">
        <v>26</v>
      </c>
      <c r="I60" s="172"/>
      <c r="J60" s="173"/>
      <c r="K60" s="174"/>
      <c r="L60" s="174"/>
      <c r="M60" s="175"/>
      <c r="N60" s="167"/>
      <c r="O60" s="179"/>
      <c r="P60" s="179"/>
      <c r="Q60" s="179"/>
      <c r="R60" s="179"/>
      <c r="T60"/>
    </row>
    <row r="61" spans="1:20">
      <c r="A61" s="167" t="s">
        <v>20</v>
      </c>
      <c r="B61" s="146" t="s">
        <v>21</v>
      </c>
      <c r="C61" s="167" t="s">
        <v>22</v>
      </c>
      <c r="D61" s="178" t="s">
        <v>23</v>
      </c>
      <c r="E61" s="167"/>
      <c r="F61" s="183" t="s">
        <v>24</v>
      </c>
      <c r="G61" s="171">
        <v>2</v>
      </c>
      <c r="H61" s="8" t="s">
        <v>26</v>
      </c>
      <c r="I61" s="172"/>
      <c r="J61" s="173" t="s">
        <v>380</v>
      </c>
      <c r="K61" s="174"/>
      <c r="L61" s="174" t="str">
        <f>VLOOKUP(B61,电搭接情况统计!$B$2:$H$423,7,0)</f>
        <v>C类</v>
      </c>
      <c r="M61" s="175"/>
      <c r="N61" s="167" t="s">
        <v>25</v>
      </c>
      <c r="O61" s="179"/>
      <c r="P61" s="179"/>
      <c r="Q61" s="179"/>
      <c r="R61" s="179"/>
      <c r="S61" s="13" t="s">
        <v>27</v>
      </c>
      <c r="T61"/>
    </row>
    <row r="62" spans="1:20">
      <c r="A62" s="167" t="s">
        <v>20</v>
      </c>
      <c r="B62" s="184" t="s">
        <v>28</v>
      </c>
      <c r="C62" s="167" t="s">
        <v>29</v>
      </c>
      <c r="D62" s="178" t="s">
        <v>30</v>
      </c>
      <c r="E62" s="167"/>
      <c r="F62" s="183" t="s">
        <v>31</v>
      </c>
      <c r="G62" s="171">
        <v>2</v>
      </c>
      <c r="H62" s="8" t="s">
        <v>26</v>
      </c>
      <c r="I62" s="172"/>
      <c r="J62" s="173" t="s">
        <v>389</v>
      </c>
      <c r="K62" s="174"/>
      <c r="L62" s="174" t="str">
        <f>VLOOKUP(B62,电搭接情况统计!$B$2:$H$423,7,0)</f>
        <v>A类</v>
      </c>
      <c r="M62" s="175"/>
      <c r="N62" s="167" t="s">
        <v>25</v>
      </c>
      <c r="O62" s="179"/>
      <c r="P62" s="179"/>
      <c r="Q62" s="179"/>
      <c r="R62" s="179"/>
      <c r="S62" s="13" t="s">
        <v>27</v>
      </c>
      <c r="T62"/>
    </row>
    <row r="63" spans="1:20">
      <c r="A63" s="167" t="s">
        <v>20</v>
      </c>
      <c r="B63" s="146" t="s">
        <v>33</v>
      </c>
      <c r="C63" s="167" t="s">
        <v>34</v>
      </c>
      <c r="D63" s="178" t="s">
        <v>35</v>
      </c>
      <c r="E63" s="167"/>
      <c r="F63" s="183" t="s">
        <v>36</v>
      </c>
      <c r="G63" s="171">
        <v>2</v>
      </c>
      <c r="H63" s="8" t="s">
        <v>26</v>
      </c>
      <c r="I63" s="172"/>
      <c r="J63" s="182" t="s">
        <v>371</v>
      </c>
      <c r="K63" s="175" t="str">
        <f>VLOOKUP($B63,设备架接口信息!$A$1:$G$69,5,0)</f>
        <v>面搭接</v>
      </c>
      <c r="L63" s="174" t="str">
        <f>VLOOKUP(B63,电搭接情况统计!$B$2:$H$423,7,0)</f>
        <v>C类</v>
      </c>
      <c r="M63" s="175">
        <f>VLOOKUP($B63,设备架接口信息!$A$1:$G$69,6,0)</f>
        <v>2.671105</v>
      </c>
      <c r="N63" s="167" t="s">
        <v>25</v>
      </c>
      <c r="O63" s="179"/>
      <c r="P63" s="179"/>
      <c r="Q63" s="179"/>
      <c r="R63" s="179"/>
      <c r="S63" s="67" t="s">
        <v>37</v>
      </c>
      <c r="T63"/>
    </row>
    <row r="64" spans="1:20">
      <c r="A64" s="167" t="s">
        <v>20</v>
      </c>
      <c r="B64" s="146" t="s">
        <v>38</v>
      </c>
      <c r="C64" s="167" t="s">
        <v>34</v>
      </c>
      <c r="D64" s="178" t="s">
        <v>39</v>
      </c>
      <c r="E64" s="167"/>
      <c r="F64" s="183" t="s">
        <v>40</v>
      </c>
      <c r="G64" s="171">
        <v>2</v>
      </c>
      <c r="H64" s="8" t="s">
        <v>26</v>
      </c>
      <c r="I64" s="172"/>
      <c r="J64" s="182" t="s">
        <v>371</v>
      </c>
      <c r="K64" s="175" t="str">
        <f>VLOOKUP($B64,设备架接口信息!$A$1:$G$69,5,0)</f>
        <v>面搭接</v>
      </c>
      <c r="L64" s="174" t="str">
        <f>VLOOKUP(B64,电搭接情况统计!$B$2:$H$423,7,0)</f>
        <v>C类</v>
      </c>
      <c r="M64" s="175">
        <f>VLOOKUP($B64,设备架接口信息!$A$1:$G$69,6,0)</f>
        <v>2.687105</v>
      </c>
      <c r="N64" s="167" t="s">
        <v>25</v>
      </c>
      <c r="O64" s="179"/>
      <c r="P64" s="179"/>
      <c r="Q64" s="179"/>
      <c r="R64" s="179"/>
      <c r="S64" s="67" t="s">
        <v>37</v>
      </c>
      <c r="T64"/>
    </row>
    <row r="65" spans="1:20">
      <c r="A65" s="167" t="s">
        <v>20</v>
      </c>
      <c r="B65" s="146" t="s">
        <v>41</v>
      </c>
      <c r="C65" s="167" t="s">
        <v>42</v>
      </c>
      <c r="D65" s="178" t="s">
        <v>43</v>
      </c>
      <c r="E65" s="167"/>
      <c r="F65" s="183" t="s">
        <v>44</v>
      </c>
      <c r="G65" s="171">
        <v>2</v>
      </c>
      <c r="H65" s="8" t="s">
        <v>26</v>
      </c>
      <c r="I65" s="172"/>
      <c r="J65" s="173"/>
      <c r="K65" s="174"/>
      <c r="L65" s="174" t="str">
        <f>VLOOKUP(B65,电搭接情况统计!$B$2:$H$423,7,0)</f>
        <v>C类</v>
      </c>
      <c r="M65" s="175"/>
      <c r="N65" s="167" t="s">
        <v>25</v>
      </c>
      <c r="O65" s="179"/>
      <c r="P65" s="179"/>
      <c r="Q65" s="179"/>
      <c r="R65" s="179"/>
      <c r="S65" s="13" t="s">
        <v>27</v>
      </c>
      <c r="T65"/>
    </row>
    <row r="66" spans="1:20">
      <c r="A66" s="167" t="s">
        <v>20</v>
      </c>
      <c r="B66" s="146" t="s">
        <v>45</v>
      </c>
      <c r="C66" s="167" t="s">
        <v>42</v>
      </c>
      <c r="D66" s="178" t="s">
        <v>46</v>
      </c>
      <c r="E66" s="167"/>
      <c r="F66" s="183" t="s">
        <v>44</v>
      </c>
      <c r="G66" s="171">
        <v>2</v>
      </c>
      <c r="H66" s="8" t="s">
        <v>26</v>
      </c>
      <c r="I66" s="172"/>
      <c r="J66" s="173"/>
      <c r="K66" s="174"/>
      <c r="L66" s="174" t="str">
        <f>VLOOKUP(B66,电搭接情况统计!$B$2:$H$423,7,0)</f>
        <v>C类</v>
      </c>
      <c r="M66" s="175"/>
      <c r="N66" s="167" t="s">
        <v>25</v>
      </c>
      <c r="O66" s="179"/>
      <c r="P66" s="179"/>
      <c r="Q66" s="179"/>
      <c r="R66" s="179"/>
      <c r="S66" s="13" t="s">
        <v>27</v>
      </c>
      <c r="T66"/>
    </row>
    <row r="67" spans="1:20">
      <c r="A67" s="167" t="s">
        <v>20</v>
      </c>
      <c r="B67" s="146" t="s">
        <v>47</v>
      </c>
      <c r="C67" s="167" t="s">
        <v>48</v>
      </c>
      <c r="D67" s="178" t="s">
        <v>49</v>
      </c>
      <c r="E67" s="167"/>
      <c r="F67" s="183" t="s">
        <v>50</v>
      </c>
      <c r="G67" s="171">
        <v>2</v>
      </c>
      <c r="H67" s="8" t="s">
        <v>26</v>
      </c>
      <c r="I67" s="172"/>
      <c r="J67" s="173"/>
      <c r="K67" s="174"/>
      <c r="L67" s="174"/>
      <c r="M67" s="175"/>
      <c r="N67" s="167" t="s">
        <v>51</v>
      </c>
      <c r="O67" s="179"/>
      <c r="P67" s="179"/>
      <c r="Q67" s="179"/>
      <c r="R67" s="179"/>
      <c r="S67" s="13" t="s">
        <v>27</v>
      </c>
      <c r="T67"/>
    </row>
    <row r="68" spans="1:20">
      <c r="A68" s="167" t="s">
        <v>20</v>
      </c>
      <c r="B68" s="146" t="s">
        <v>52</v>
      </c>
      <c r="C68" s="167" t="s">
        <v>48</v>
      </c>
      <c r="D68" s="178" t="s">
        <v>53</v>
      </c>
      <c r="E68" s="167"/>
      <c r="F68" s="183" t="s">
        <v>50</v>
      </c>
      <c r="G68" s="171">
        <v>2</v>
      </c>
      <c r="H68" s="8" t="s">
        <v>26</v>
      </c>
      <c r="I68" s="172"/>
      <c r="J68" s="173"/>
      <c r="K68" s="174"/>
      <c r="L68" s="174"/>
      <c r="M68" s="175"/>
      <c r="N68" s="167" t="s">
        <v>51</v>
      </c>
      <c r="O68" s="179"/>
      <c r="P68" s="179"/>
      <c r="Q68" s="179"/>
      <c r="R68" s="179"/>
      <c r="S68" s="13" t="s">
        <v>27</v>
      </c>
      <c r="T68"/>
    </row>
    <row r="69" spans="1:20">
      <c r="A69" s="167" t="s">
        <v>20</v>
      </c>
      <c r="B69" s="146" t="s">
        <v>54</v>
      </c>
      <c r="C69" s="167" t="s">
        <v>55</v>
      </c>
      <c r="D69" s="178" t="s">
        <v>56</v>
      </c>
      <c r="E69" s="167"/>
      <c r="F69" s="183" t="s">
        <v>50</v>
      </c>
      <c r="G69" s="171">
        <v>2</v>
      </c>
      <c r="H69" s="8" t="s">
        <v>26</v>
      </c>
      <c r="I69" s="172"/>
      <c r="J69" s="173"/>
      <c r="K69" s="174"/>
      <c r="L69" s="174" t="str">
        <f>VLOOKUP(B69,电搭接情况统计!$B$2:$H$423,7,0)</f>
        <v>C类</v>
      </c>
      <c r="M69" s="175"/>
      <c r="N69" s="167" t="s">
        <v>51</v>
      </c>
      <c r="O69" s="179"/>
      <c r="P69" s="179"/>
      <c r="Q69" s="179"/>
      <c r="R69" s="179"/>
      <c r="S69" s="13" t="s">
        <v>27</v>
      </c>
      <c r="T69"/>
    </row>
    <row r="70" spans="1:20">
      <c r="A70" s="167" t="s">
        <v>20</v>
      </c>
      <c r="B70" s="146" t="s">
        <v>57</v>
      </c>
      <c r="C70" s="167" t="s">
        <v>55</v>
      </c>
      <c r="D70" s="178" t="s">
        <v>58</v>
      </c>
      <c r="E70" s="167"/>
      <c r="F70" s="183" t="s">
        <v>50</v>
      </c>
      <c r="G70" s="171">
        <v>2</v>
      </c>
      <c r="H70" s="8" t="s">
        <v>26</v>
      </c>
      <c r="I70" s="172"/>
      <c r="J70" s="173"/>
      <c r="K70" s="174"/>
      <c r="L70" s="174" t="str">
        <f>VLOOKUP(B70,电搭接情况统计!$B$2:$H$423,7,0)</f>
        <v>C类</v>
      </c>
      <c r="M70" s="175"/>
      <c r="N70" s="167" t="s">
        <v>51</v>
      </c>
      <c r="O70" s="179"/>
      <c r="P70" s="179"/>
      <c r="Q70" s="179"/>
      <c r="R70" s="179"/>
      <c r="S70" s="13" t="s">
        <v>27</v>
      </c>
      <c r="T70"/>
    </row>
    <row r="71" spans="1:20">
      <c r="A71" s="167" t="s">
        <v>20</v>
      </c>
      <c r="B71" s="146" t="s">
        <v>59</v>
      </c>
      <c r="C71" s="167" t="s">
        <v>60</v>
      </c>
      <c r="D71" s="178" t="s">
        <v>61</v>
      </c>
      <c r="E71" s="167"/>
      <c r="F71" s="183" t="s">
        <v>50</v>
      </c>
      <c r="G71" s="171">
        <v>2</v>
      </c>
      <c r="H71" s="8" t="s">
        <v>26</v>
      </c>
      <c r="I71" s="172"/>
      <c r="J71" s="173"/>
      <c r="K71" s="174"/>
      <c r="L71" s="174" t="str">
        <f>VLOOKUP(B71,电搭接情况统计!$B$2:$H$423,7,0)</f>
        <v>C类</v>
      </c>
      <c r="M71" s="175"/>
      <c r="N71" s="167" t="s">
        <v>25</v>
      </c>
      <c r="O71" s="179"/>
      <c r="P71" s="179"/>
      <c r="Q71" s="179"/>
      <c r="R71" s="179"/>
      <c r="S71" s="13" t="s">
        <v>27</v>
      </c>
      <c r="T71"/>
    </row>
    <row r="72" spans="1:20">
      <c r="A72" s="167" t="s">
        <v>20</v>
      </c>
      <c r="B72" s="146" t="s">
        <v>62</v>
      </c>
      <c r="C72" s="167" t="s">
        <v>60</v>
      </c>
      <c r="D72" s="178" t="s">
        <v>63</v>
      </c>
      <c r="E72" s="167"/>
      <c r="F72" s="183" t="s">
        <v>50</v>
      </c>
      <c r="G72" s="171">
        <v>2</v>
      </c>
      <c r="H72" s="8" t="s">
        <v>26</v>
      </c>
      <c r="I72" s="172"/>
      <c r="J72" s="173"/>
      <c r="K72" s="174"/>
      <c r="L72" s="174" t="str">
        <f>VLOOKUP(B72,电搭接情况统计!$B$2:$H$423,7,0)</f>
        <v>C类</v>
      </c>
      <c r="M72" s="175"/>
      <c r="N72" s="167" t="s">
        <v>25</v>
      </c>
      <c r="O72" s="179"/>
      <c r="P72" s="179"/>
      <c r="Q72" s="179"/>
      <c r="R72" s="179"/>
      <c r="S72" s="13" t="s">
        <v>27</v>
      </c>
      <c r="T72"/>
    </row>
    <row r="73" spans="1:20">
      <c r="A73" s="167" t="s">
        <v>20</v>
      </c>
      <c r="B73" s="184" t="s">
        <v>64</v>
      </c>
      <c r="C73" s="167" t="s">
        <v>65</v>
      </c>
      <c r="D73" s="178" t="s">
        <v>66</v>
      </c>
      <c r="E73" s="167"/>
      <c r="F73" s="183" t="s">
        <v>67</v>
      </c>
      <c r="G73" s="171">
        <v>1</v>
      </c>
      <c r="H73" s="8" t="s">
        <v>26</v>
      </c>
      <c r="I73" s="172" t="s">
        <v>68</v>
      </c>
      <c r="J73" s="173"/>
      <c r="K73" s="174"/>
      <c r="L73" s="174" t="str">
        <f>VLOOKUP(B73,电搭接情况统计!$B$2:$H$423,7,0)</f>
        <v>静电放电器复材底座</v>
      </c>
      <c r="M73" s="175"/>
      <c r="N73" s="167" t="s">
        <v>51</v>
      </c>
      <c r="O73" s="179"/>
      <c r="P73" s="179"/>
      <c r="Q73" s="179"/>
      <c r="R73" s="179"/>
      <c r="S73" s="13" t="s">
        <v>27</v>
      </c>
      <c r="T73"/>
    </row>
    <row r="74" spans="1:20">
      <c r="A74" s="167" t="s">
        <v>20</v>
      </c>
      <c r="B74" s="184" t="s">
        <v>69</v>
      </c>
      <c r="C74" s="167" t="s">
        <v>65</v>
      </c>
      <c r="D74" s="178" t="s">
        <v>70</v>
      </c>
      <c r="E74" s="167"/>
      <c r="F74" s="183" t="s">
        <v>67</v>
      </c>
      <c r="G74" s="171">
        <v>1</v>
      </c>
      <c r="H74" s="8" t="s">
        <v>26</v>
      </c>
      <c r="I74" s="172" t="s">
        <v>68</v>
      </c>
      <c r="J74" s="173"/>
      <c r="K74" s="174"/>
      <c r="L74" s="174" t="str">
        <f>VLOOKUP(B74,电搭接情况统计!$B$2:$H$423,7,0)</f>
        <v>静电放电器复材底座</v>
      </c>
      <c r="M74" s="175"/>
      <c r="N74" s="167" t="s">
        <v>51</v>
      </c>
      <c r="O74" s="179"/>
      <c r="P74" s="179"/>
      <c r="Q74" s="179"/>
      <c r="R74" s="179"/>
      <c r="S74" s="13" t="s">
        <v>27</v>
      </c>
      <c r="T74"/>
    </row>
    <row r="75" spans="1:20">
      <c r="A75" s="167" t="s">
        <v>20</v>
      </c>
      <c r="B75" s="184" t="s">
        <v>71</v>
      </c>
      <c r="C75" s="167" t="s">
        <v>65</v>
      </c>
      <c r="D75" s="178" t="s">
        <v>72</v>
      </c>
      <c r="E75" s="167"/>
      <c r="F75" s="183" t="s">
        <v>67</v>
      </c>
      <c r="G75" s="171">
        <v>1</v>
      </c>
      <c r="H75" s="8" t="s">
        <v>26</v>
      </c>
      <c r="I75" s="172" t="s">
        <v>68</v>
      </c>
      <c r="J75" s="173"/>
      <c r="K75" s="174"/>
      <c r="L75" s="174" t="str">
        <f>VLOOKUP(B75,电搭接情况统计!$B$2:$H$423,7,0)</f>
        <v>静电放电器复材底座</v>
      </c>
      <c r="M75" s="175"/>
      <c r="N75" s="167" t="s">
        <v>51</v>
      </c>
      <c r="O75" s="179"/>
      <c r="P75" s="179"/>
      <c r="Q75" s="179"/>
      <c r="R75" s="179"/>
      <c r="S75" s="13" t="s">
        <v>27</v>
      </c>
      <c r="T75"/>
    </row>
    <row r="76" spans="1:20">
      <c r="A76" s="167" t="s">
        <v>20</v>
      </c>
      <c r="B76" s="184" t="s">
        <v>73</v>
      </c>
      <c r="C76" s="167" t="s">
        <v>65</v>
      </c>
      <c r="D76" s="178" t="s">
        <v>74</v>
      </c>
      <c r="E76" s="167"/>
      <c r="F76" s="183" t="s">
        <v>67</v>
      </c>
      <c r="G76" s="171">
        <v>1</v>
      </c>
      <c r="H76" s="8" t="s">
        <v>26</v>
      </c>
      <c r="I76" s="172" t="s">
        <v>68</v>
      </c>
      <c r="J76" s="173"/>
      <c r="K76" s="174"/>
      <c r="L76" s="174" t="str">
        <f>VLOOKUP(B76,电搭接情况统计!$B$2:$H$423,7,0)</f>
        <v>静电放电器复材底座</v>
      </c>
      <c r="M76" s="175"/>
      <c r="N76" s="167" t="s">
        <v>51</v>
      </c>
      <c r="O76" s="179"/>
      <c r="P76" s="179"/>
      <c r="Q76" s="179"/>
      <c r="R76" s="179"/>
      <c r="S76" s="13" t="s">
        <v>27</v>
      </c>
      <c r="T76"/>
    </row>
    <row r="77" spans="1:20">
      <c r="A77" s="167" t="s">
        <v>20</v>
      </c>
      <c r="B77" s="184" t="s">
        <v>75</v>
      </c>
      <c r="C77" s="167" t="s">
        <v>65</v>
      </c>
      <c r="D77" s="178" t="s">
        <v>76</v>
      </c>
      <c r="E77" s="167"/>
      <c r="F77" s="183" t="s">
        <v>67</v>
      </c>
      <c r="G77" s="171">
        <v>1</v>
      </c>
      <c r="H77" s="8" t="s">
        <v>26</v>
      </c>
      <c r="I77" s="172" t="s">
        <v>68</v>
      </c>
      <c r="J77" s="173"/>
      <c r="K77" s="174"/>
      <c r="L77" s="174" t="str">
        <f>VLOOKUP(B77,电搭接情况统计!$B$2:$H$423,7,0)</f>
        <v>静电放电器复材底座</v>
      </c>
      <c r="M77" s="175"/>
      <c r="N77" s="167" t="s">
        <v>51</v>
      </c>
      <c r="O77" s="179"/>
      <c r="P77" s="179"/>
      <c r="Q77" s="179"/>
      <c r="R77" s="179"/>
      <c r="S77" s="13" t="s">
        <v>27</v>
      </c>
      <c r="T77"/>
    </row>
    <row r="78" spans="1:20">
      <c r="A78" s="167" t="s">
        <v>20</v>
      </c>
      <c r="B78" s="184" t="s">
        <v>77</v>
      </c>
      <c r="C78" s="167" t="s">
        <v>65</v>
      </c>
      <c r="D78" s="178" t="s">
        <v>78</v>
      </c>
      <c r="E78" s="167"/>
      <c r="F78" s="183" t="s">
        <v>67</v>
      </c>
      <c r="G78" s="171">
        <v>1</v>
      </c>
      <c r="H78" s="8" t="s">
        <v>26</v>
      </c>
      <c r="I78" s="172" t="s">
        <v>68</v>
      </c>
      <c r="J78" s="173"/>
      <c r="K78" s="174"/>
      <c r="L78" s="174" t="str">
        <f>VLOOKUP(B78,电搭接情况统计!$B$2:$H$423,7,0)</f>
        <v>静电放电器复材底座</v>
      </c>
      <c r="M78" s="175"/>
      <c r="N78" s="167" t="s">
        <v>51</v>
      </c>
      <c r="O78" s="179"/>
      <c r="P78" s="179"/>
      <c r="Q78" s="179"/>
      <c r="R78" s="179"/>
      <c r="S78" s="13" t="s">
        <v>27</v>
      </c>
      <c r="T78"/>
    </row>
    <row r="79" spans="1:20">
      <c r="A79" s="167" t="s">
        <v>20</v>
      </c>
      <c r="B79" s="184" t="s">
        <v>79</v>
      </c>
      <c r="C79" s="167" t="s">
        <v>65</v>
      </c>
      <c r="D79" s="178" t="s">
        <v>80</v>
      </c>
      <c r="E79" s="167"/>
      <c r="F79" s="183" t="s">
        <v>81</v>
      </c>
      <c r="G79" s="171">
        <v>1</v>
      </c>
      <c r="H79" s="8" t="s">
        <v>26</v>
      </c>
      <c r="I79" s="172" t="s">
        <v>68</v>
      </c>
      <c r="J79" s="173"/>
      <c r="K79" s="174"/>
      <c r="L79" s="174" t="str">
        <f>VLOOKUP(B79,电搭接情况统计!$B$2:$H$423,7,0)</f>
        <v>静电放电器复材底座</v>
      </c>
      <c r="M79" s="175"/>
      <c r="N79" s="167" t="s">
        <v>51</v>
      </c>
      <c r="O79" s="179"/>
      <c r="P79" s="179"/>
      <c r="Q79" s="179"/>
      <c r="R79" s="179"/>
      <c r="S79" s="13" t="s">
        <v>27</v>
      </c>
      <c r="T79"/>
    </row>
    <row r="80" spans="1:20">
      <c r="A80" s="167" t="s">
        <v>20</v>
      </c>
      <c r="B80" s="184" t="s">
        <v>82</v>
      </c>
      <c r="C80" s="167" t="s">
        <v>65</v>
      </c>
      <c r="D80" s="178" t="s">
        <v>83</v>
      </c>
      <c r="E80" s="167"/>
      <c r="F80" s="183" t="s">
        <v>81</v>
      </c>
      <c r="G80" s="171">
        <v>1</v>
      </c>
      <c r="H80" s="8" t="s">
        <v>26</v>
      </c>
      <c r="I80" s="172" t="s">
        <v>68</v>
      </c>
      <c r="J80" s="173"/>
      <c r="K80" s="174"/>
      <c r="L80" s="174" t="str">
        <f>VLOOKUP(B80,电搭接情况统计!$B$2:$H$423,7,0)</f>
        <v>静电放电器复材底座</v>
      </c>
      <c r="M80" s="175"/>
      <c r="N80" s="167" t="s">
        <v>51</v>
      </c>
      <c r="O80" s="179"/>
      <c r="P80" s="179"/>
      <c r="Q80" s="179"/>
      <c r="R80" s="179"/>
      <c r="S80" s="13" t="s">
        <v>27</v>
      </c>
      <c r="T80"/>
    </row>
    <row r="81" spans="1:20">
      <c r="A81" s="167" t="s">
        <v>20</v>
      </c>
      <c r="B81" s="184" t="s">
        <v>84</v>
      </c>
      <c r="C81" s="167" t="s">
        <v>65</v>
      </c>
      <c r="D81" s="178" t="s">
        <v>85</v>
      </c>
      <c r="E81" s="167"/>
      <c r="F81" s="183" t="s">
        <v>81</v>
      </c>
      <c r="G81" s="171">
        <v>1</v>
      </c>
      <c r="H81" s="8" t="s">
        <v>26</v>
      </c>
      <c r="I81" s="172" t="s">
        <v>68</v>
      </c>
      <c r="J81" s="173"/>
      <c r="K81" s="174"/>
      <c r="L81" s="174" t="str">
        <f>VLOOKUP(B81,电搭接情况统计!$B$2:$H$423,7,0)</f>
        <v>静电放电器复材底座</v>
      </c>
      <c r="M81" s="175"/>
      <c r="N81" s="167" t="s">
        <v>51</v>
      </c>
      <c r="O81" s="179"/>
      <c r="P81" s="179"/>
      <c r="Q81" s="179"/>
      <c r="R81" s="179"/>
      <c r="S81" s="13" t="s">
        <v>27</v>
      </c>
      <c r="T81"/>
    </row>
    <row r="82" spans="1:20">
      <c r="A82" s="167" t="s">
        <v>20</v>
      </c>
      <c r="B82" s="184" t="s">
        <v>86</v>
      </c>
      <c r="C82" s="167" t="s">
        <v>65</v>
      </c>
      <c r="D82" s="178" t="s">
        <v>87</v>
      </c>
      <c r="E82" s="167"/>
      <c r="F82" s="183" t="s">
        <v>81</v>
      </c>
      <c r="G82" s="171">
        <v>1</v>
      </c>
      <c r="H82" s="8" t="s">
        <v>26</v>
      </c>
      <c r="I82" s="172" t="s">
        <v>68</v>
      </c>
      <c r="J82" s="173"/>
      <c r="K82" s="174"/>
      <c r="L82" s="174" t="str">
        <f>VLOOKUP(B82,电搭接情况统计!$B$2:$H$423,7,0)</f>
        <v>静电放电器复材底座</v>
      </c>
      <c r="M82" s="175"/>
      <c r="N82" s="167" t="s">
        <v>51</v>
      </c>
      <c r="O82" s="179"/>
      <c r="P82" s="179"/>
      <c r="Q82" s="179"/>
      <c r="R82" s="179"/>
      <c r="S82" s="13" t="s">
        <v>27</v>
      </c>
      <c r="T82"/>
    </row>
    <row r="83" spans="1:20">
      <c r="A83" s="167" t="s">
        <v>20</v>
      </c>
      <c r="B83" s="184" t="s">
        <v>88</v>
      </c>
      <c r="C83" s="167" t="s">
        <v>65</v>
      </c>
      <c r="D83" s="178" t="s">
        <v>89</v>
      </c>
      <c r="E83" s="167"/>
      <c r="F83" s="183" t="s">
        <v>81</v>
      </c>
      <c r="G83" s="171">
        <v>1</v>
      </c>
      <c r="H83" s="8" t="s">
        <v>26</v>
      </c>
      <c r="I83" s="172" t="s">
        <v>68</v>
      </c>
      <c r="J83" s="173"/>
      <c r="K83" s="174"/>
      <c r="L83" s="174" t="str">
        <f>VLOOKUP(B83,电搭接情况统计!$B$2:$H$423,7,0)</f>
        <v>静电放电器复材底座</v>
      </c>
      <c r="M83" s="175"/>
      <c r="N83" s="167" t="s">
        <v>51</v>
      </c>
      <c r="O83" s="179"/>
      <c r="P83" s="179"/>
      <c r="Q83" s="179"/>
      <c r="R83" s="179"/>
      <c r="S83" s="13" t="s">
        <v>27</v>
      </c>
      <c r="T83"/>
    </row>
    <row r="84" spans="1:20">
      <c r="A84" s="167" t="s">
        <v>20</v>
      </c>
      <c r="B84" s="184" t="s">
        <v>90</v>
      </c>
      <c r="C84" s="167" t="s">
        <v>65</v>
      </c>
      <c r="D84" s="178" t="s">
        <v>91</v>
      </c>
      <c r="E84" s="167"/>
      <c r="F84" s="183" t="s">
        <v>81</v>
      </c>
      <c r="G84" s="171">
        <v>1</v>
      </c>
      <c r="H84" s="8" t="s">
        <v>26</v>
      </c>
      <c r="I84" s="172" t="s">
        <v>68</v>
      </c>
      <c r="J84" s="173"/>
      <c r="K84" s="174"/>
      <c r="L84" s="174" t="str">
        <f>VLOOKUP(B84,电搭接情况统计!$B$2:$H$423,7,0)</f>
        <v>静电放电器复材底座</v>
      </c>
      <c r="M84" s="175"/>
      <c r="N84" s="167" t="s">
        <v>51</v>
      </c>
      <c r="O84" s="179"/>
      <c r="P84" s="179"/>
      <c r="Q84" s="179"/>
      <c r="R84" s="179"/>
      <c r="S84" s="13" t="s">
        <v>27</v>
      </c>
      <c r="T84"/>
    </row>
    <row r="85" spans="1:20">
      <c r="A85" s="167" t="s">
        <v>20</v>
      </c>
      <c r="B85" s="184" t="s">
        <v>92</v>
      </c>
      <c r="C85" s="167" t="s">
        <v>65</v>
      </c>
      <c r="D85" s="178" t="s">
        <v>93</v>
      </c>
      <c r="E85" s="167"/>
      <c r="F85" s="183" t="s">
        <v>94</v>
      </c>
      <c r="G85" s="171">
        <v>1</v>
      </c>
      <c r="H85" s="8" t="s">
        <v>26</v>
      </c>
      <c r="I85" s="172" t="s">
        <v>68</v>
      </c>
      <c r="J85" s="173"/>
      <c r="K85" s="174"/>
      <c r="L85" s="174" t="str">
        <f>VLOOKUP(B85,电搭接情况统计!$B$2:$H$423,7,0)</f>
        <v>静电放电器复材底座</v>
      </c>
      <c r="M85" s="175"/>
      <c r="N85" s="167" t="s">
        <v>51</v>
      </c>
      <c r="O85" s="179"/>
      <c r="P85" s="179"/>
      <c r="Q85" s="179"/>
      <c r="R85" s="179"/>
      <c r="S85" s="13" t="s">
        <v>27</v>
      </c>
      <c r="T85"/>
    </row>
    <row r="86" spans="1:20">
      <c r="A86" s="167" t="s">
        <v>20</v>
      </c>
      <c r="B86" s="184" t="s">
        <v>95</v>
      </c>
      <c r="C86" s="167" t="s">
        <v>65</v>
      </c>
      <c r="D86" s="178" t="s">
        <v>96</v>
      </c>
      <c r="E86" s="167"/>
      <c r="F86" s="183" t="s">
        <v>94</v>
      </c>
      <c r="G86" s="171">
        <v>1</v>
      </c>
      <c r="H86" s="8" t="s">
        <v>26</v>
      </c>
      <c r="I86" s="172" t="s">
        <v>68</v>
      </c>
      <c r="J86" s="173"/>
      <c r="K86" s="174"/>
      <c r="L86" s="174" t="str">
        <f>VLOOKUP(B86,电搭接情况统计!$B$2:$H$423,7,0)</f>
        <v>静电放电器复材底座</v>
      </c>
      <c r="M86" s="175"/>
      <c r="N86" s="167" t="s">
        <v>51</v>
      </c>
      <c r="O86" s="179"/>
      <c r="P86" s="179"/>
      <c r="Q86" s="179"/>
      <c r="R86" s="179"/>
      <c r="S86" s="13" t="s">
        <v>27</v>
      </c>
      <c r="T86"/>
    </row>
    <row r="87" spans="1:20">
      <c r="A87" s="167" t="s">
        <v>20</v>
      </c>
      <c r="B87" s="184" t="s">
        <v>97</v>
      </c>
      <c r="C87" s="167" t="s">
        <v>65</v>
      </c>
      <c r="D87" s="178" t="s">
        <v>98</v>
      </c>
      <c r="E87" s="167"/>
      <c r="F87" s="183" t="s">
        <v>94</v>
      </c>
      <c r="G87" s="171">
        <v>1</v>
      </c>
      <c r="H87" s="8" t="s">
        <v>26</v>
      </c>
      <c r="I87" s="172" t="s">
        <v>68</v>
      </c>
      <c r="J87" s="173"/>
      <c r="K87" s="174"/>
      <c r="L87" s="174" t="str">
        <f>VLOOKUP(B87,电搭接情况统计!$B$2:$H$423,7,0)</f>
        <v>静电放电器复材底座</v>
      </c>
      <c r="M87" s="175"/>
      <c r="N87" s="167" t="s">
        <v>51</v>
      </c>
      <c r="O87" s="179"/>
      <c r="P87" s="179"/>
      <c r="Q87" s="179"/>
      <c r="R87" s="179"/>
      <c r="S87" s="13" t="s">
        <v>27</v>
      </c>
      <c r="T87"/>
    </row>
    <row r="88" ht="45" spans="1:20">
      <c r="A88" s="167" t="s">
        <v>20</v>
      </c>
      <c r="B88" s="185" t="s">
        <v>1331</v>
      </c>
      <c r="C88" s="167" t="s">
        <v>100</v>
      </c>
      <c r="D88" s="186" t="s">
        <v>101</v>
      </c>
      <c r="E88" s="167"/>
      <c r="F88" s="187" t="s">
        <v>102</v>
      </c>
      <c r="G88" s="171">
        <v>2</v>
      </c>
      <c r="H88" s="8" t="s">
        <v>32</v>
      </c>
      <c r="I88" s="172"/>
      <c r="J88" s="182" t="s">
        <v>371</v>
      </c>
      <c r="K88" s="175" t="e">
        <f>VLOOKUP($B88,设备架接口信息!$A$1:$G$69,5,0)</f>
        <v>#N/A</v>
      </c>
      <c r="L88" s="174" t="e">
        <f>VLOOKUP(B88,电搭接情况统计!$B$2:$H$423,7,0)</f>
        <v>#N/A</v>
      </c>
      <c r="M88" s="175" t="e">
        <f>VLOOKUP($B88,设备架接口信息!$A$1:$G$69,6,0)</f>
        <v>#N/A</v>
      </c>
      <c r="N88" s="167" t="s">
        <v>25</v>
      </c>
      <c r="O88" s="179"/>
      <c r="P88" s="179"/>
      <c r="Q88" s="179"/>
      <c r="R88" s="179"/>
      <c r="S88" s="188" t="s">
        <v>1332</v>
      </c>
      <c r="T88" s="67" t="s">
        <v>1333</v>
      </c>
    </row>
    <row r="89" spans="1:20">
      <c r="A89" s="167" t="s">
        <v>20</v>
      </c>
      <c r="B89" s="146" t="s">
        <v>107</v>
      </c>
      <c r="C89" s="167" t="s">
        <v>108</v>
      </c>
      <c r="D89" s="178" t="s">
        <v>109</v>
      </c>
      <c r="E89" s="167"/>
      <c r="F89" s="183" t="s">
        <v>110</v>
      </c>
      <c r="G89" s="171">
        <v>2</v>
      </c>
      <c r="H89" s="8" t="s">
        <v>26</v>
      </c>
      <c r="I89" s="172"/>
      <c r="J89" s="173"/>
      <c r="K89" s="174"/>
      <c r="L89" s="174" t="str">
        <f>VLOOKUP(B89,电搭接情况统计!$B$2:$H$423,7,0)</f>
        <v>A类</v>
      </c>
      <c r="M89" s="175"/>
      <c r="N89" s="167" t="s">
        <v>25</v>
      </c>
      <c r="O89" s="179"/>
      <c r="P89" s="179"/>
      <c r="Q89" s="179"/>
      <c r="R89" s="179"/>
      <c r="S89" s="13" t="s">
        <v>27</v>
      </c>
      <c r="T89"/>
    </row>
    <row r="90" spans="1:20">
      <c r="A90" s="167" t="s">
        <v>115</v>
      </c>
      <c r="B90" s="184" t="s">
        <v>116</v>
      </c>
      <c r="C90" s="167" t="s">
        <v>117</v>
      </c>
      <c r="D90" s="178" t="s">
        <v>118</v>
      </c>
      <c r="E90" s="189" t="s">
        <v>1334</v>
      </c>
      <c r="F90" s="183" t="s">
        <v>119</v>
      </c>
      <c r="G90" s="171">
        <v>1</v>
      </c>
      <c r="H90" s="8" t="s">
        <v>26</v>
      </c>
      <c r="I90" s="172"/>
      <c r="J90" s="173"/>
      <c r="K90" s="174"/>
      <c r="L90" s="174" t="str">
        <f>VLOOKUP(B90,电搭接情况统计!$B$2:$H$423,7,0)</f>
        <v>双线制
R H S类，壳体搭接；</v>
      </c>
      <c r="M90" s="175">
        <v>98</v>
      </c>
      <c r="N90" s="167" t="s">
        <v>25</v>
      </c>
      <c r="O90" s="179"/>
      <c r="P90" s="179"/>
      <c r="Q90" s="179"/>
      <c r="R90" s="179"/>
      <c r="S90" s="174" t="s">
        <v>120</v>
      </c>
      <c r="T90"/>
    </row>
    <row r="91" spans="1:20">
      <c r="A91" s="167" t="s">
        <v>115</v>
      </c>
      <c r="B91" s="184" t="s">
        <v>121</v>
      </c>
      <c r="C91" s="167" t="s">
        <v>122</v>
      </c>
      <c r="D91" s="178" t="s">
        <v>123</v>
      </c>
      <c r="E91" s="189" t="s">
        <v>1335</v>
      </c>
      <c r="F91" s="183" t="s">
        <v>124</v>
      </c>
      <c r="G91" s="171">
        <v>1</v>
      </c>
      <c r="H91" s="8" t="s">
        <v>26</v>
      </c>
      <c r="I91" s="172"/>
      <c r="J91" s="173"/>
      <c r="K91" s="174"/>
      <c r="L91" s="174" t="str">
        <f>VLOOKUP(B91,电搭接情况统计!$B$2:$H$423,7,0)</f>
        <v>双线制
R H S类，壳体搭接；</v>
      </c>
      <c r="M91" s="175">
        <v>192.4</v>
      </c>
      <c r="N91" s="167" t="s">
        <v>25</v>
      </c>
      <c r="O91" s="179"/>
      <c r="P91" s="179"/>
      <c r="Q91" s="179"/>
      <c r="R91" s="179"/>
      <c r="S91" s="174" t="s">
        <v>120</v>
      </c>
      <c r="T91"/>
    </row>
    <row r="92" spans="1:20">
      <c r="A92" s="167" t="s">
        <v>115</v>
      </c>
      <c r="B92" s="190" t="s">
        <v>125</v>
      </c>
      <c r="C92" s="167" t="s">
        <v>126</v>
      </c>
      <c r="D92" s="178" t="s">
        <v>127</v>
      </c>
      <c r="E92" s="189" t="s">
        <v>1336</v>
      </c>
      <c r="F92" s="183" t="s">
        <v>119</v>
      </c>
      <c r="G92" s="171">
        <v>1</v>
      </c>
      <c r="H92" s="8" t="s">
        <v>26</v>
      </c>
      <c r="I92" s="172"/>
      <c r="J92" s="173"/>
      <c r="K92" s="174"/>
      <c r="L92" s="174" t="e">
        <f>VLOOKUP(B92,电搭接情况统计!$B$2:$H$423,7,0)</f>
        <v>#N/A</v>
      </c>
      <c r="M92" s="175">
        <v>18.8</v>
      </c>
      <c r="N92" s="167" t="s">
        <v>25</v>
      </c>
      <c r="O92" s="179"/>
      <c r="P92" s="179"/>
      <c r="Q92" s="179"/>
      <c r="R92" s="179"/>
      <c r="S92" s="174" t="s">
        <v>120</v>
      </c>
      <c r="T92"/>
    </row>
    <row r="93" spans="1:20">
      <c r="A93" s="167" t="s">
        <v>115</v>
      </c>
      <c r="B93" s="184" t="s">
        <v>1337</v>
      </c>
      <c r="C93" s="167" t="s">
        <v>1338</v>
      </c>
      <c r="D93" s="178" t="s">
        <v>1339</v>
      </c>
      <c r="E93" s="189" t="s">
        <v>1340</v>
      </c>
      <c r="F93" s="183" t="s">
        <v>119</v>
      </c>
      <c r="G93" s="171">
        <v>1</v>
      </c>
      <c r="H93" s="8" t="s">
        <v>26</v>
      </c>
      <c r="I93" s="172"/>
      <c r="J93" s="173"/>
      <c r="K93" s="174"/>
      <c r="L93" s="174" t="str">
        <f>VLOOKUP(B93,电搭接情况统计!$B$2:$H$423,7,0)</f>
        <v>无需求</v>
      </c>
      <c r="M93" s="175">
        <v>0.2</v>
      </c>
      <c r="N93" s="167" t="s">
        <v>25</v>
      </c>
      <c r="O93" s="179"/>
      <c r="P93" s="179"/>
      <c r="Q93" s="179"/>
      <c r="R93" s="179"/>
      <c r="S93" s="174" t="s">
        <v>120</v>
      </c>
      <c r="T93" s="8" t="s">
        <v>1341</v>
      </c>
    </row>
    <row r="94" spans="1:20">
      <c r="A94" s="167" t="s">
        <v>115</v>
      </c>
      <c r="B94" s="184" t="s">
        <v>1342</v>
      </c>
      <c r="C94" s="167" t="s">
        <v>1343</v>
      </c>
      <c r="D94" s="178" t="s">
        <v>1344</v>
      </c>
      <c r="E94" s="189" t="s">
        <v>1345</v>
      </c>
      <c r="F94" s="183" t="s">
        <v>119</v>
      </c>
      <c r="G94" s="171">
        <v>1</v>
      </c>
      <c r="H94" s="8" t="s">
        <v>26</v>
      </c>
      <c r="I94" s="172"/>
      <c r="J94" s="173"/>
      <c r="K94" s="174"/>
      <c r="L94" s="174" t="str">
        <f>VLOOKUP(B94,电搭接情况统计!$B$2:$H$423,7,0)</f>
        <v>无需求</v>
      </c>
      <c r="M94" s="175">
        <v>2.4</v>
      </c>
      <c r="N94" s="167" t="s">
        <v>25</v>
      </c>
      <c r="O94" s="179"/>
      <c r="P94" s="179"/>
      <c r="Q94" s="179"/>
      <c r="R94" s="179"/>
      <c r="S94" s="174" t="s">
        <v>120</v>
      </c>
      <c r="T94" s="8" t="s">
        <v>1341</v>
      </c>
    </row>
    <row r="95" ht="30" spans="1:20">
      <c r="A95" s="167" t="s">
        <v>115</v>
      </c>
      <c r="B95" s="184" t="s">
        <v>130</v>
      </c>
      <c r="C95" s="167" t="s">
        <v>131</v>
      </c>
      <c r="D95" s="178" t="s">
        <v>132</v>
      </c>
      <c r="E95" s="191" t="s">
        <v>1346</v>
      </c>
      <c r="F95" s="183" t="s">
        <v>114</v>
      </c>
      <c r="G95" s="171">
        <v>1</v>
      </c>
      <c r="H95" s="8" t="s">
        <v>26</v>
      </c>
      <c r="I95" s="172" t="s">
        <v>134</v>
      </c>
      <c r="J95" s="182" t="s">
        <v>135</v>
      </c>
      <c r="K95" s="175" t="str">
        <f>VLOOKUP($B95,设备架接口信息!$A$1:$G$69,5,0)</f>
        <v>线搭接</v>
      </c>
      <c r="L95" s="174" t="str">
        <f>VLOOKUP(B95,电搭接情况统计!$B$2:$H$423,7,0)</f>
        <v>C 类
R H S类，壳体搭接；</v>
      </c>
      <c r="M95" s="175">
        <f>VLOOKUP($B95,设备架接口信息!$A$1:$G$69,6,0)</f>
        <v>18</v>
      </c>
      <c r="N95" s="167" t="s">
        <v>25</v>
      </c>
      <c r="O95" s="179"/>
      <c r="P95" s="179"/>
      <c r="Q95" s="179"/>
      <c r="R95" s="179"/>
      <c r="S95" s="174" t="s">
        <v>1347</v>
      </c>
      <c r="T95"/>
    </row>
    <row r="96" ht="30" spans="1:20">
      <c r="A96" s="167" t="s">
        <v>115</v>
      </c>
      <c r="B96" s="184" t="s">
        <v>137</v>
      </c>
      <c r="C96" s="167" t="s">
        <v>138</v>
      </c>
      <c r="D96" s="178" t="s">
        <v>139</v>
      </c>
      <c r="E96" s="191" t="s">
        <v>1346</v>
      </c>
      <c r="F96" s="183" t="s">
        <v>114</v>
      </c>
      <c r="G96" s="171">
        <v>1</v>
      </c>
      <c r="H96" s="8" t="s">
        <v>26</v>
      </c>
      <c r="I96" s="172" t="s">
        <v>134</v>
      </c>
      <c r="J96" s="182" t="s">
        <v>135</v>
      </c>
      <c r="K96" s="175" t="str">
        <f>VLOOKUP($B96,设备架接口信息!$A$1:$G$69,5,0)</f>
        <v>线搭接</v>
      </c>
      <c r="L96" s="174" t="str">
        <f>VLOOKUP(B96,电搭接情况统计!$B$2:$H$423,7,0)</f>
        <v>C 类
R H S类，壳体搭接；</v>
      </c>
      <c r="M96" s="175">
        <f>VLOOKUP($B96,设备架接口信息!$A$1:$G$69,6,0)</f>
        <v>18</v>
      </c>
      <c r="N96" s="167" t="s">
        <v>25</v>
      </c>
      <c r="O96" s="179"/>
      <c r="P96" s="179"/>
      <c r="Q96" s="179"/>
      <c r="R96" s="179"/>
      <c r="S96" s="174" t="s">
        <v>1347</v>
      </c>
      <c r="T96"/>
    </row>
    <row r="97" ht="30" spans="1:20">
      <c r="A97" s="167" t="s">
        <v>115</v>
      </c>
      <c r="B97" s="184" t="s">
        <v>140</v>
      </c>
      <c r="C97" s="167" t="s">
        <v>141</v>
      </c>
      <c r="D97" s="178" t="s">
        <v>142</v>
      </c>
      <c r="E97" s="191" t="s">
        <v>1348</v>
      </c>
      <c r="F97" s="183" t="s">
        <v>40</v>
      </c>
      <c r="G97" s="171">
        <v>1</v>
      </c>
      <c r="H97" s="8" t="s">
        <v>26</v>
      </c>
      <c r="I97" s="172" t="s">
        <v>134</v>
      </c>
      <c r="J97" s="182" t="s">
        <v>135</v>
      </c>
      <c r="K97" s="175" t="str">
        <f>VLOOKUP($B97,设备架接口信息!$A$1:$G$69,5,0)</f>
        <v>线搭接</v>
      </c>
      <c r="L97" s="174" t="str">
        <f>VLOOKUP(B97,电搭接情况统计!$B$2:$H$423,7,0)</f>
        <v>C 类
R H S类，壳体搭接；</v>
      </c>
      <c r="M97" s="175">
        <f>VLOOKUP($B97,设备架接口信息!$A$1:$G$69,6,0)</f>
        <v>18</v>
      </c>
      <c r="N97" s="167" t="s">
        <v>25</v>
      </c>
      <c r="O97" s="179"/>
      <c r="P97" s="179"/>
      <c r="Q97" s="179"/>
      <c r="R97" s="179"/>
      <c r="S97" s="174" t="s">
        <v>1347</v>
      </c>
      <c r="T97"/>
    </row>
    <row r="98" ht="30" spans="1:20">
      <c r="A98" s="167" t="s">
        <v>115</v>
      </c>
      <c r="B98" s="184" t="s">
        <v>144</v>
      </c>
      <c r="C98" s="167" t="s">
        <v>145</v>
      </c>
      <c r="D98" s="186" t="s">
        <v>146</v>
      </c>
      <c r="E98" s="189" t="s">
        <v>1349</v>
      </c>
      <c r="F98" s="183" t="s">
        <v>40</v>
      </c>
      <c r="G98" s="171">
        <v>1</v>
      </c>
      <c r="H98" s="8" t="s">
        <v>26</v>
      </c>
      <c r="I98" s="172" t="s">
        <v>147</v>
      </c>
      <c r="J98" s="182" t="str">
        <f>VLOOKUP($B98,设备架接口信息!$A$1:$G$69,4,0)</f>
        <v>四角螺栓安装</v>
      </c>
      <c r="K98" s="175" t="str">
        <f>VLOOKUP($B98,设备架接口信息!$A$1:$G$69,5,0)</f>
        <v>线搭接</v>
      </c>
      <c r="L98" s="174" t="str">
        <f>VLOOKUP(B98,电搭接情况统计!$B$2:$H$423,7,0)</f>
        <v>C 类
R H S类，壳体搭接；</v>
      </c>
      <c r="M98" s="175">
        <v>7.6</v>
      </c>
      <c r="N98" s="167" t="s">
        <v>25</v>
      </c>
      <c r="O98" s="179"/>
      <c r="P98" s="179"/>
      <c r="Q98" s="179"/>
      <c r="R98" s="179"/>
      <c r="S98" s="188" t="s">
        <v>1350</v>
      </c>
      <c r="T98"/>
    </row>
    <row r="99" ht="30" spans="1:20">
      <c r="A99" s="167" t="s">
        <v>115</v>
      </c>
      <c r="B99" s="184" t="s">
        <v>149</v>
      </c>
      <c r="C99" s="167" t="s">
        <v>150</v>
      </c>
      <c r="D99" s="186" t="s">
        <v>151</v>
      </c>
      <c r="E99" s="189" t="s">
        <v>1349</v>
      </c>
      <c r="F99" s="192" t="s">
        <v>152</v>
      </c>
      <c r="G99" s="171">
        <v>1</v>
      </c>
      <c r="H99" s="8" t="s">
        <v>26</v>
      </c>
      <c r="I99" s="172" t="s">
        <v>147</v>
      </c>
      <c r="J99" s="182" t="str">
        <f>VLOOKUP($B99,设备架接口信息!$A$1:$G$69,4,0)</f>
        <v>四角螺栓安装</v>
      </c>
      <c r="K99" s="175" t="str">
        <f>VLOOKUP($B99,设备架接口信息!$A$1:$G$69,5,0)</f>
        <v>线搭接</v>
      </c>
      <c r="L99" s="174" t="str">
        <f>VLOOKUP(B99,电搭接情况统计!$B$2:$H$423,7,0)</f>
        <v>C 类
R H S类，壳体搭接；</v>
      </c>
      <c r="M99" s="175">
        <v>7.6</v>
      </c>
      <c r="N99" s="167" t="s">
        <v>25</v>
      </c>
      <c r="O99" s="179"/>
      <c r="P99" s="179"/>
      <c r="Q99" s="179"/>
      <c r="R99" s="179"/>
      <c r="S99" s="188" t="s">
        <v>1350</v>
      </c>
      <c r="T99"/>
    </row>
    <row r="100" ht="30" spans="1:20">
      <c r="A100" s="167" t="s">
        <v>115</v>
      </c>
      <c r="B100" s="184" t="s">
        <v>153</v>
      </c>
      <c r="C100" s="167" t="s">
        <v>154</v>
      </c>
      <c r="D100" s="186" t="s">
        <v>155</v>
      </c>
      <c r="E100" s="189" t="s">
        <v>1349</v>
      </c>
      <c r="F100" s="192" t="s">
        <v>156</v>
      </c>
      <c r="G100" s="171">
        <v>1</v>
      </c>
      <c r="H100" s="8" t="s">
        <v>26</v>
      </c>
      <c r="I100" s="172" t="s">
        <v>147</v>
      </c>
      <c r="J100" s="182" t="str">
        <f>VLOOKUP($B100,设备架接口信息!$A$1:$G$69,4,0)</f>
        <v>四角螺栓安装</v>
      </c>
      <c r="K100" s="175" t="str">
        <f>VLOOKUP($B100,设备架接口信息!$A$1:$G$69,5,0)</f>
        <v>线搭接</v>
      </c>
      <c r="L100" s="174" t="str">
        <f>VLOOKUP(B100,电搭接情况统计!$B$2:$H$423,7,0)</f>
        <v>C 类
R H S类，壳体搭接；</v>
      </c>
      <c r="M100" s="175">
        <v>7.6</v>
      </c>
      <c r="N100" s="167" t="s">
        <v>25</v>
      </c>
      <c r="O100" s="179"/>
      <c r="P100" s="179"/>
      <c r="Q100" s="179"/>
      <c r="R100" s="179"/>
      <c r="S100" s="188" t="s">
        <v>1350</v>
      </c>
      <c r="T100"/>
    </row>
    <row r="101" ht="30" spans="1:20">
      <c r="A101" s="167" t="s">
        <v>115</v>
      </c>
      <c r="B101" s="184" t="s">
        <v>157</v>
      </c>
      <c r="C101" s="167" t="s">
        <v>158</v>
      </c>
      <c r="D101" s="186" t="s">
        <v>159</v>
      </c>
      <c r="E101" s="189" t="s">
        <v>1349</v>
      </c>
      <c r="F101" s="192" t="s">
        <v>160</v>
      </c>
      <c r="G101" s="171">
        <v>1</v>
      </c>
      <c r="H101" s="8" t="s">
        <v>26</v>
      </c>
      <c r="I101" s="172" t="s">
        <v>147</v>
      </c>
      <c r="J101" s="182" t="s">
        <v>161</v>
      </c>
      <c r="K101" s="175" t="str">
        <f>VLOOKUP($B101,设备架接口信息!$A$1:$G$69,5,0)</f>
        <v>线搭接</v>
      </c>
      <c r="L101" s="174" t="str">
        <f>VLOOKUP(B101,电搭接情况统计!$B$2:$H$423,7,0)</f>
        <v>C 类
R H S类，壳体搭接；</v>
      </c>
      <c r="M101" s="175">
        <v>4.5</v>
      </c>
      <c r="N101" s="167" t="s">
        <v>25</v>
      </c>
      <c r="O101" s="179"/>
      <c r="P101" s="179"/>
      <c r="Q101" s="179"/>
      <c r="R101" s="179"/>
      <c r="S101" s="188" t="s">
        <v>1350</v>
      </c>
      <c r="T101"/>
    </row>
    <row r="102" spans="1:20">
      <c r="A102" s="167" t="s">
        <v>115</v>
      </c>
      <c r="B102" s="184" t="s">
        <v>162</v>
      </c>
      <c r="C102" s="167" t="s">
        <v>163</v>
      </c>
      <c r="D102" s="186" t="s">
        <v>164</v>
      </c>
      <c r="E102" s="189" t="s">
        <v>1351</v>
      </c>
      <c r="F102" s="192" t="s">
        <v>156</v>
      </c>
      <c r="G102" s="171">
        <v>1</v>
      </c>
      <c r="H102" s="8" t="s">
        <v>26</v>
      </c>
      <c r="I102" s="172"/>
      <c r="J102" s="182" t="str">
        <f>VLOOKUP($B102,设备架接口信息!$A$1:$G$69,4,0)</f>
        <v>四角螺栓安装</v>
      </c>
      <c r="K102" s="175" t="str">
        <f>VLOOKUP($B102,设备架接口信息!$A$1:$G$69,5,0)</f>
        <v>线搭接</v>
      </c>
      <c r="L102" s="174" t="str">
        <f>VLOOKUP(B102,电搭接情况统计!$B$2:$H$423,7,0)</f>
        <v>双线制
R H S类，壳体搭接；</v>
      </c>
      <c r="M102" s="175">
        <f>VLOOKUP($B102,设备架接口信息!$A$1:$G$69,6,0)</f>
        <v>6.5</v>
      </c>
      <c r="N102" s="167" t="s">
        <v>25</v>
      </c>
      <c r="O102" s="179"/>
      <c r="P102" s="179"/>
      <c r="Q102" s="179"/>
      <c r="R102" s="179"/>
      <c r="S102" s="13" t="s">
        <v>27</v>
      </c>
      <c r="T102"/>
    </row>
    <row r="103" spans="1:20">
      <c r="A103" s="167" t="s">
        <v>115</v>
      </c>
      <c r="B103" s="184" t="s">
        <v>165</v>
      </c>
      <c r="C103" s="167" t="s">
        <v>163</v>
      </c>
      <c r="D103" s="186" t="s">
        <v>166</v>
      </c>
      <c r="E103" s="189" t="s">
        <v>1351</v>
      </c>
      <c r="F103" s="192" t="s">
        <v>160</v>
      </c>
      <c r="G103" s="171">
        <v>1</v>
      </c>
      <c r="H103" s="8" t="s">
        <v>26</v>
      </c>
      <c r="I103" s="172"/>
      <c r="J103" s="182" t="str">
        <f>VLOOKUP($B103,设备架接口信息!$A$1:$G$69,4,0)</f>
        <v>四角螺栓安装</v>
      </c>
      <c r="K103" s="175" t="str">
        <f>VLOOKUP($B103,设备架接口信息!$A$1:$G$69,5,0)</f>
        <v>线搭接</v>
      </c>
      <c r="L103" s="174" t="str">
        <f>VLOOKUP(B103,电搭接情况统计!$B$2:$H$423,7,0)</f>
        <v>双线制
R H S类，壳体搭接；</v>
      </c>
      <c r="M103" s="175">
        <f>VLOOKUP($B103,设备架接口信息!$A$1:$G$69,6,0)</f>
        <v>6.5</v>
      </c>
      <c r="N103" s="167" t="s">
        <v>25</v>
      </c>
      <c r="O103" s="179"/>
      <c r="P103" s="179"/>
      <c r="Q103" s="179"/>
      <c r="R103" s="179"/>
      <c r="S103" s="13" t="s">
        <v>27</v>
      </c>
      <c r="T103"/>
    </row>
    <row r="104" spans="1:20">
      <c r="A104" s="167" t="s">
        <v>115</v>
      </c>
      <c r="B104" s="184" t="s">
        <v>167</v>
      </c>
      <c r="C104" s="167" t="s">
        <v>168</v>
      </c>
      <c r="D104" s="178" t="s">
        <v>169</v>
      </c>
      <c r="E104" s="189" t="s">
        <v>1351</v>
      </c>
      <c r="F104" s="183" t="s">
        <v>40</v>
      </c>
      <c r="G104" s="171">
        <v>1</v>
      </c>
      <c r="H104" s="8" t="s">
        <v>26</v>
      </c>
      <c r="I104" s="172"/>
      <c r="J104" s="182" t="str">
        <f>VLOOKUP($B104,设备架接口信息!$A$1:$G$69,4,0)</f>
        <v>四角螺栓安装</v>
      </c>
      <c r="K104" s="175" t="str">
        <f>VLOOKUP($B104,设备架接口信息!$A$1:$G$69,5,0)</f>
        <v>线搭接</v>
      </c>
      <c r="L104" s="174" t="str">
        <f>VLOOKUP(B104,电搭接情况统计!$B$2:$H$423,7,0)</f>
        <v>双线制
R H S类，壳体搭接；</v>
      </c>
      <c r="M104" s="175">
        <f>VLOOKUP($B104,设备架接口信息!$A$1:$G$69,6,0)</f>
        <v>6.5</v>
      </c>
      <c r="N104" s="167" t="s">
        <v>25</v>
      </c>
      <c r="O104" s="179"/>
      <c r="P104" s="179"/>
      <c r="Q104" s="179"/>
      <c r="R104" s="179"/>
      <c r="S104" s="13" t="s">
        <v>27</v>
      </c>
      <c r="T104"/>
    </row>
    <row r="105" spans="1:20">
      <c r="A105" s="167" t="s">
        <v>170</v>
      </c>
      <c r="B105" s="184" t="s">
        <v>171</v>
      </c>
      <c r="C105" s="167" t="s">
        <v>172</v>
      </c>
      <c r="D105" s="178" t="s">
        <v>173</v>
      </c>
      <c r="E105" s="167"/>
      <c r="F105" s="183" t="s">
        <v>44</v>
      </c>
      <c r="G105" s="171">
        <v>2</v>
      </c>
      <c r="H105" s="8" t="s">
        <v>26</v>
      </c>
      <c r="I105" s="172"/>
      <c r="J105" s="173"/>
      <c r="K105" s="174"/>
      <c r="L105" s="174" t="str">
        <f>VLOOKUP(B105,电搭接情况统计!$B$2:$H$423,7,0)</f>
        <v>S类，面搭接</v>
      </c>
      <c r="M105" s="175"/>
      <c r="N105" s="167" t="s">
        <v>25</v>
      </c>
      <c r="O105" s="179"/>
      <c r="P105" s="179"/>
      <c r="Q105" s="179"/>
      <c r="R105" s="179"/>
      <c r="S105" s="13" t="s">
        <v>27</v>
      </c>
      <c r="T105"/>
    </row>
    <row r="106" spans="1:20">
      <c r="A106" s="167" t="s">
        <v>170</v>
      </c>
      <c r="B106" s="146" t="s">
        <v>174</v>
      </c>
      <c r="C106" s="167" t="s">
        <v>175</v>
      </c>
      <c r="D106" s="178" t="s">
        <v>176</v>
      </c>
      <c r="E106" s="167"/>
      <c r="F106" s="183" t="s">
        <v>44</v>
      </c>
      <c r="G106" s="171">
        <v>2</v>
      </c>
      <c r="H106" s="8" t="s">
        <v>26</v>
      </c>
      <c r="I106" s="172"/>
      <c r="J106" s="173"/>
      <c r="K106" s="174"/>
      <c r="L106" s="174" t="str">
        <f>VLOOKUP(B106,电搭接情况统计!$B$2:$H$423,7,0)</f>
        <v>S类，面搭接</v>
      </c>
      <c r="M106" s="175"/>
      <c r="N106" s="167" t="s">
        <v>25</v>
      </c>
      <c r="O106" s="179"/>
      <c r="P106" s="179"/>
      <c r="Q106" s="179"/>
      <c r="R106" s="179"/>
      <c r="S106" s="13" t="s">
        <v>27</v>
      </c>
      <c r="T106"/>
    </row>
    <row r="107" spans="1:20">
      <c r="A107" s="167" t="s">
        <v>170</v>
      </c>
      <c r="B107" s="184" t="s">
        <v>177</v>
      </c>
      <c r="C107" s="167" t="s">
        <v>178</v>
      </c>
      <c r="D107" s="178" t="s">
        <v>179</v>
      </c>
      <c r="E107" s="167"/>
      <c r="F107" s="183" t="s">
        <v>44</v>
      </c>
      <c r="G107" s="171">
        <v>1</v>
      </c>
      <c r="H107" s="8" t="s">
        <v>26</v>
      </c>
      <c r="I107" s="172"/>
      <c r="J107" s="173"/>
      <c r="K107" s="174"/>
      <c r="L107" s="174" t="str">
        <f>VLOOKUP(B107,电搭接情况统计!$B$2:$H$423,7,0)</f>
        <v>S类，面搭接</v>
      </c>
      <c r="M107" s="175"/>
      <c r="N107" s="167" t="s">
        <v>25</v>
      </c>
      <c r="O107" s="179"/>
      <c r="P107" s="179"/>
      <c r="Q107" s="179"/>
      <c r="R107" s="179"/>
      <c r="S107" s="13" t="s">
        <v>27</v>
      </c>
      <c r="T107"/>
    </row>
    <row r="108" spans="1:20">
      <c r="A108" s="167" t="s">
        <v>170</v>
      </c>
      <c r="B108" s="146" t="s">
        <v>180</v>
      </c>
      <c r="C108" s="167" t="s">
        <v>181</v>
      </c>
      <c r="D108" s="178" t="s">
        <v>182</v>
      </c>
      <c r="E108" s="167"/>
      <c r="F108" s="183" t="s">
        <v>44</v>
      </c>
      <c r="G108" s="171">
        <v>2</v>
      </c>
      <c r="H108" s="8" t="s">
        <v>26</v>
      </c>
      <c r="I108" s="172"/>
      <c r="J108" s="173"/>
      <c r="K108" s="174"/>
      <c r="L108" s="174"/>
      <c r="M108" s="175"/>
      <c r="N108" s="167" t="s">
        <v>25</v>
      </c>
      <c r="O108" s="179"/>
      <c r="P108" s="179"/>
      <c r="Q108" s="179"/>
      <c r="R108" s="179"/>
      <c r="S108" s="13" t="s">
        <v>27</v>
      </c>
      <c r="T108"/>
    </row>
    <row r="109" spans="1:20">
      <c r="A109" s="167" t="s">
        <v>170</v>
      </c>
      <c r="B109" s="146" t="s">
        <v>183</v>
      </c>
      <c r="C109" s="167" t="s">
        <v>184</v>
      </c>
      <c r="D109" s="178" t="s">
        <v>185</v>
      </c>
      <c r="E109" s="167"/>
      <c r="F109" s="183" t="s">
        <v>186</v>
      </c>
      <c r="G109" s="171">
        <v>2</v>
      </c>
      <c r="H109" s="8" t="s">
        <v>26</v>
      </c>
      <c r="I109" s="172"/>
      <c r="J109" s="173"/>
      <c r="K109" s="174"/>
      <c r="L109" s="174"/>
      <c r="M109" s="175"/>
      <c r="N109" s="167" t="s">
        <v>25</v>
      </c>
      <c r="O109" s="179"/>
      <c r="P109" s="179"/>
      <c r="Q109" s="179"/>
      <c r="R109" s="179"/>
      <c r="S109" s="13" t="s">
        <v>27</v>
      </c>
      <c r="T109"/>
    </row>
    <row r="110" spans="1:20">
      <c r="A110" s="167" t="s">
        <v>170</v>
      </c>
      <c r="B110" s="146" t="s">
        <v>187</v>
      </c>
      <c r="C110" s="167" t="s">
        <v>188</v>
      </c>
      <c r="D110" s="178" t="s">
        <v>189</v>
      </c>
      <c r="E110" s="167"/>
      <c r="F110" s="183" t="s">
        <v>186</v>
      </c>
      <c r="G110" s="171">
        <v>2</v>
      </c>
      <c r="H110" s="8" t="s">
        <v>26</v>
      </c>
      <c r="I110" s="172"/>
      <c r="J110" s="173"/>
      <c r="K110" s="174"/>
      <c r="L110" s="174"/>
      <c r="M110" s="175"/>
      <c r="N110" s="167" t="s">
        <v>25</v>
      </c>
      <c r="O110" s="179"/>
      <c r="P110" s="179"/>
      <c r="Q110" s="179"/>
      <c r="R110" s="179"/>
      <c r="S110" s="13" t="s">
        <v>27</v>
      </c>
      <c r="T110"/>
    </row>
    <row r="111" spans="1:20">
      <c r="A111" s="167" t="s">
        <v>170</v>
      </c>
      <c r="B111" s="146" t="s">
        <v>190</v>
      </c>
      <c r="C111" s="167" t="s">
        <v>191</v>
      </c>
      <c r="D111" s="178" t="s">
        <v>192</v>
      </c>
      <c r="E111" s="167"/>
      <c r="F111" s="183" t="s">
        <v>50</v>
      </c>
      <c r="G111" s="171">
        <v>2</v>
      </c>
      <c r="H111" s="8" t="s">
        <v>26</v>
      </c>
      <c r="I111" s="172"/>
      <c r="J111" s="173"/>
      <c r="K111" s="174"/>
      <c r="L111" s="174"/>
      <c r="M111" s="175"/>
      <c r="N111" s="167" t="s">
        <v>51</v>
      </c>
      <c r="O111" s="179"/>
      <c r="P111" s="179"/>
      <c r="Q111" s="179"/>
      <c r="R111" s="179"/>
      <c r="S111" s="13" t="s">
        <v>27</v>
      </c>
      <c r="T111"/>
    </row>
    <row r="112" spans="1:20">
      <c r="A112" s="167" t="s">
        <v>170</v>
      </c>
      <c r="B112" s="146" t="s">
        <v>193</v>
      </c>
      <c r="C112" s="167" t="s">
        <v>194</v>
      </c>
      <c r="D112" s="178" t="s">
        <v>195</v>
      </c>
      <c r="E112" s="167"/>
      <c r="F112" s="183" t="s">
        <v>50</v>
      </c>
      <c r="G112" s="171">
        <v>2</v>
      </c>
      <c r="H112" s="8" t="s">
        <v>26</v>
      </c>
      <c r="I112" s="172"/>
      <c r="J112" s="173"/>
      <c r="K112" s="174"/>
      <c r="L112" s="174"/>
      <c r="M112" s="175"/>
      <c r="N112" s="167" t="s">
        <v>51</v>
      </c>
      <c r="O112" s="179"/>
      <c r="P112" s="179"/>
      <c r="Q112" s="179"/>
      <c r="R112" s="179"/>
      <c r="S112" s="13" t="s">
        <v>27</v>
      </c>
      <c r="T112"/>
    </row>
    <row r="113" spans="1:20">
      <c r="A113" s="167" t="s">
        <v>170</v>
      </c>
      <c r="B113" s="146" t="s">
        <v>196</v>
      </c>
      <c r="C113" s="167" t="s">
        <v>197</v>
      </c>
      <c r="D113" s="178" t="s">
        <v>198</v>
      </c>
      <c r="E113" s="167"/>
      <c r="F113" s="183" t="s">
        <v>50</v>
      </c>
      <c r="G113" s="171">
        <v>2</v>
      </c>
      <c r="H113" s="8" t="s">
        <v>26</v>
      </c>
      <c r="I113" s="172"/>
      <c r="J113" s="173"/>
      <c r="K113" s="174"/>
      <c r="L113" s="174"/>
      <c r="M113" s="175"/>
      <c r="N113" s="167" t="s">
        <v>51</v>
      </c>
      <c r="O113" s="179"/>
      <c r="P113" s="179"/>
      <c r="Q113" s="179"/>
      <c r="R113" s="179"/>
      <c r="S113" s="13" t="s">
        <v>27</v>
      </c>
      <c r="T113"/>
    </row>
    <row r="114" spans="1:20">
      <c r="A114" s="167" t="s">
        <v>170</v>
      </c>
      <c r="B114" s="146" t="s">
        <v>199</v>
      </c>
      <c r="C114" s="167" t="s">
        <v>200</v>
      </c>
      <c r="D114" s="178" t="s">
        <v>201</v>
      </c>
      <c r="E114" s="167"/>
      <c r="F114" s="183" t="s">
        <v>50</v>
      </c>
      <c r="G114" s="171">
        <v>2</v>
      </c>
      <c r="H114" s="8" t="s">
        <v>26</v>
      </c>
      <c r="I114" s="172"/>
      <c r="J114" s="173"/>
      <c r="K114" s="174"/>
      <c r="L114" s="174"/>
      <c r="M114" s="175"/>
      <c r="N114" s="167" t="s">
        <v>51</v>
      </c>
      <c r="O114" s="179"/>
      <c r="P114" s="179"/>
      <c r="Q114" s="179"/>
      <c r="R114" s="179"/>
      <c r="S114" s="13" t="s">
        <v>27</v>
      </c>
      <c r="T114"/>
    </row>
    <row r="115" spans="1:20">
      <c r="A115" s="167" t="s">
        <v>170</v>
      </c>
      <c r="B115" s="146" t="s">
        <v>202</v>
      </c>
      <c r="C115" s="167" t="s">
        <v>203</v>
      </c>
      <c r="D115" s="178" t="s">
        <v>204</v>
      </c>
      <c r="E115" s="167"/>
      <c r="F115" s="183" t="s">
        <v>50</v>
      </c>
      <c r="G115" s="171">
        <v>2</v>
      </c>
      <c r="H115" s="8" t="s">
        <v>26</v>
      </c>
      <c r="I115" s="172"/>
      <c r="J115" s="173"/>
      <c r="K115" s="174"/>
      <c r="L115" s="174"/>
      <c r="M115" s="175"/>
      <c r="N115" s="167" t="s">
        <v>51</v>
      </c>
      <c r="O115" s="179"/>
      <c r="P115" s="179"/>
      <c r="Q115" s="179"/>
      <c r="R115" s="179"/>
      <c r="S115" s="13" t="s">
        <v>27</v>
      </c>
      <c r="T115"/>
    </row>
    <row r="116" spans="1:20">
      <c r="A116" s="167" t="s">
        <v>170</v>
      </c>
      <c r="B116" s="146" t="s">
        <v>205</v>
      </c>
      <c r="C116" s="167" t="s">
        <v>206</v>
      </c>
      <c r="D116" s="178" t="s">
        <v>207</v>
      </c>
      <c r="E116" s="167"/>
      <c r="F116" s="183" t="s">
        <v>50</v>
      </c>
      <c r="G116" s="171">
        <v>2</v>
      </c>
      <c r="H116" s="8" t="s">
        <v>26</v>
      </c>
      <c r="I116" s="172"/>
      <c r="J116" s="173"/>
      <c r="K116" s="174"/>
      <c r="L116" s="174"/>
      <c r="M116" s="175"/>
      <c r="N116" s="167" t="s">
        <v>51</v>
      </c>
      <c r="O116" s="179"/>
      <c r="P116" s="179"/>
      <c r="Q116" s="179"/>
      <c r="R116" s="179"/>
      <c r="S116" s="13" t="s">
        <v>27</v>
      </c>
      <c r="T116"/>
    </row>
    <row r="117" spans="1:20">
      <c r="A117" s="167" t="s">
        <v>170</v>
      </c>
      <c r="B117" s="146" t="s">
        <v>208</v>
      </c>
      <c r="C117" s="167" t="s">
        <v>209</v>
      </c>
      <c r="D117" s="178" t="s">
        <v>210</v>
      </c>
      <c r="E117" s="167"/>
      <c r="F117" s="183" t="s">
        <v>186</v>
      </c>
      <c r="G117" s="171">
        <v>2</v>
      </c>
      <c r="H117" s="8" t="s">
        <v>26</v>
      </c>
      <c r="I117" s="172"/>
      <c r="J117" s="173"/>
      <c r="K117" s="174"/>
      <c r="L117" s="174"/>
      <c r="M117" s="175"/>
      <c r="N117" s="167" t="s">
        <v>51</v>
      </c>
      <c r="O117" s="179"/>
      <c r="P117" s="179"/>
      <c r="Q117" s="179"/>
      <c r="R117" s="179"/>
      <c r="S117" s="13" t="s">
        <v>27</v>
      </c>
      <c r="T117"/>
    </row>
    <row r="118" spans="1:20">
      <c r="A118" s="167" t="s">
        <v>170</v>
      </c>
      <c r="B118" s="146" t="s">
        <v>211</v>
      </c>
      <c r="C118" s="167" t="s">
        <v>212</v>
      </c>
      <c r="D118" s="178" t="s">
        <v>213</v>
      </c>
      <c r="E118" s="167"/>
      <c r="F118" s="183" t="s">
        <v>186</v>
      </c>
      <c r="G118" s="171">
        <v>2</v>
      </c>
      <c r="H118" s="8" t="s">
        <v>26</v>
      </c>
      <c r="I118" s="172"/>
      <c r="J118" s="173"/>
      <c r="K118" s="174"/>
      <c r="L118" s="174"/>
      <c r="M118" s="175"/>
      <c r="N118" s="167" t="s">
        <v>51</v>
      </c>
      <c r="O118" s="179"/>
      <c r="P118" s="179"/>
      <c r="Q118" s="179"/>
      <c r="R118" s="179"/>
      <c r="S118" s="13" t="s">
        <v>27</v>
      </c>
      <c r="T118"/>
    </row>
    <row r="119" spans="1:20">
      <c r="A119" s="167" t="s">
        <v>170</v>
      </c>
      <c r="B119" s="146" t="s">
        <v>214</v>
      </c>
      <c r="C119" s="167" t="s">
        <v>215</v>
      </c>
      <c r="D119" s="178" t="s">
        <v>216</v>
      </c>
      <c r="E119" s="167"/>
      <c r="F119" s="183" t="s">
        <v>186</v>
      </c>
      <c r="G119" s="171">
        <v>2</v>
      </c>
      <c r="H119" s="8" t="s">
        <v>26</v>
      </c>
      <c r="I119" s="172"/>
      <c r="J119" s="173"/>
      <c r="K119" s="174"/>
      <c r="L119" s="174"/>
      <c r="M119" s="175"/>
      <c r="N119" s="167" t="s">
        <v>51</v>
      </c>
      <c r="O119" s="179"/>
      <c r="P119" s="179"/>
      <c r="Q119" s="179"/>
      <c r="R119" s="179"/>
      <c r="S119" s="13" t="s">
        <v>27</v>
      </c>
      <c r="T119"/>
    </row>
    <row r="120" spans="1:20">
      <c r="A120" s="167" t="s">
        <v>170</v>
      </c>
      <c r="B120" s="146" t="s">
        <v>217</v>
      </c>
      <c r="C120" s="167" t="s">
        <v>218</v>
      </c>
      <c r="D120" s="178" t="s">
        <v>219</v>
      </c>
      <c r="E120" s="167"/>
      <c r="F120" s="183" t="s">
        <v>186</v>
      </c>
      <c r="G120" s="171">
        <v>2</v>
      </c>
      <c r="H120" s="8" t="s">
        <v>26</v>
      </c>
      <c r="I120" s="172"/>
      <c r="J120" s="173"/>
      <c r="K120" s="174"/>
      <c r="L120" s="174"/>
      <c r="M120" s="175"/>
      <c r="N120" s="167" t="s">
        <v>51</v>
      </c>
      <c r="O120" s="179"/>
      <c r="P120" s="179"/>
      <c r="Q120" s="179"/>
      <c r="R120" s="179"/>
      <c r="S120" s="13" t="s">
        <v>27</v>
      </c>
      <c r="T120"/>
    </row>
    <row r="121" spans="1:20">
      <c r="A121" s="167" t="s">
        <v>170</v>
      </c>
      <c r="B121" s="146" t="s">
        <v>220</v>
      </c>
      <c r="C121" s="167" t="s">
        <v>221</v>
      </c>
      <c r="D121" s="178" t="s">
        <v>222</v>
      </c>
      <c r="E121" s="167"/>
      <c r="F121" s="183" t="s">
        <v>186</v>
      </c>
      <c r="G121" s="171">
        <v>2</v>
      </c>
      <c r="H121" s="8" t="s">
        <v>26</v>
      </c>
      <c r="I121" s="172"/>
      <c r="J121" s="173"/>
      <c r="K121" s="174"/>
      <c r="L121" s="174"/>
      <c r="M121" s="175"/>
      <c r="N121" s="167" t="s">
        <v>51</v>
      </c>
      <c r="O121" s="179"/>
      <c r="P121" s="179"/>
      <c r="Q121" s="179"/>
      <c r="R121" s="179"/>
      <c r="S121" s="13" t="s">
        <v>27</v>
      </c>
      <c r="T121"/>
    </row>
    <row r="122" spans="1:20">
      <c r="A122" s="167" t="s">
        <v>170</v>
      </c>
      <c r="B122" s="146" t="s">
        <v>223</v>
      </c>
      <c r="C122" s="167" t="s">
        <v>224</v>
      </c>
      <c r="D122" s="178" t="s">
        <v>225</v>
      </c>
      <c r="E122" s="167"/>
      <c r="F122" s="183" t="s">
        <v>44</v>
      </c>
      <c r="G122" s="171">
        <v>2</v>
      </c>
      <c r="H122" s="8" t="s">
        <v>26</v>
      </c>
      <c r="I122" s="172"/>
      <c r="J122" s="173"/>
      <c r="K122" s="174"/>
      <c r="L122" s="174"/>
      <c r="M122" s="175"/>
      <c r="N122" s="167" t="s">
        <v>51</v>
      </c>
      <c r="O122" s="179"/>
      <c r="P122" s="179"/>
      <c r="Q122" s="179"/>
      <c r="R122" s="179"/>
      <c r="S122" s="13" t="s">
        <v>27</v>
      </c>
      <c r="T122"/>
    </row>
    <row r="123" spans="1:20">
      <c r="A123" s="167" t="s">
        <v>170</v>
      </c>
      <c r="B123" s="146" t="s">
        <v>226</v>
      </c>
      <c r="C123" s="167" t="s">
        <v>227</v>
      </c>
      <c r="D123" s="178" t="s">
        <v>228</v>
      </c>
      <c r="E123" s="167"/>
      <c r="F123" s="183" t="s">
        <v>50</v>
      </c>
      <c r="G123" s="171">
        <v>2</v>
      </c>
      <c r="H123" s="8" t="s">
        <v>26</v>
      </c>
      <c r="I123" s="172"/>
      <c r="J123" s="173"/>
      <c r="K123" s="174"/>
      <c r="L123" s="174"/>
      <c r="M123" s="175"/>
      <c r="N123" s="167" t="s">
        <v>51</v>
      </c>
      <c r="O123" s="179"/>
      <c r="P123" s="179"/>
      <c r="Q123" s="179"/>
      <c r="R123" s="179"/>
      <c r="S123" s="13" t="s">
        <v>27</v>
      </c>
      <c r="T123"/>
    </row>
    <row r="124" spans="1:20">
      <c r="A124" s="167" t="s">
        <v>170</v>
      </c>
      <c r="B124" s="146" t="s">
        <v>229</v>
      </c>
      <c r="C124" s="167" t="s">
        <v>230</v>
      </c>
      <c r="D124" s="178" t="s">
        <v>231</v>
      </c>
      <c r="E124" s="167"/>
      <c r="F124" s="183" t="s">
        <v>186</v>
      </c>
      <c r="G124" s="171">
        <v>2</v>
      </c>
      <c r="H124" s="8" t="s">
        <v>26</v>
      </c>
      <c r="I124" s="172"/>
      <c r="J124" s="173"/>
      <c r="K124" s="174"/>
      <c r="L124" s="174"/>
      <c r="M124" s="175"/>
      <c r="N124" s="167" t="s">
        <v>51</v>
      </c>
      <c r="O124" s="179"/>
      <c r="P124" s="179"/>
      <c r="Q124" s="179"/>
      <c r="R124" s="179"/>
      <c r="S124" s="13" t="s">
        <v>27</v>
      </c>
      <c r="T124"/>
    </row>
    <row r="125" spans="1:20">
      <c r="A125" s="167" t="s">
        <v>170</v>
      </c>
      <c r="B125" s="146" t="s">
        <v>232</v>
      </c>
      <c r="C125" s="167" t="s">
        <v>233</v>
      </c>
      <c r="D125" s="178" t="s">
        <v>234</v>
      </c>
      <c r="E125" s="167"/>
      <c r="F125" s="183" t="s">
        <v>186</v>
      </c>
      <c r="G125" s="171">
        <v>2</v>
      </c>
      <c r="H125" s="8" t="s">
        <v>26</v>
      </c>
      <c r="I125" s="172"/>
      <c r="J125" s="173"/>
      <c r="K125" s="174"/>
      <c r="L125" s="174"/>
      <c r="M125" s="175"/>
      <c r="N125" s="167" t="s">
        <v>51</v>
      </c>
      <c r="O125" s="179"/>
      <c r="P125" s="179"/>
      <c r="Q125" s="179"/>
      <c r="R125" s="179"/>
      <c r="S125" s="13" t="s">
        <v>27</v>
      </c>
      <c r="T125"/>
    </row>
    <row r="126" spans="1:20">
      <c r="A126" s="167" t="s">
        <v>170</v>
      </c>
      <c r="B126" s="146" t="s">
        <v>235</v>
      </c>
      <c r="C126" s="167" t="s">
        <v>236</v>
      </c>
      <c r="D126" s="178" t="s">
        <v>237</v>
      </c>
      <c r="E126" s="167"/>
      <c r="F126" s="183" t="s">
        <v>186</v>
      </c>
      <c r="G126" s="171">
        <v>2</v>
      </c>
      <c r="H126" s="8" t="s">
        <v>26</v>
      </c>
      <c r="I126" s="172"/>
      <c r="J126" s="173"/>
      <c r="K126" s="174"/>
      <c r="L126" s="174"/>
      <c r="M126" s="175"/>
      <c r="N126" s="167" t="s">
        <v>51</v>
      </c>
      <c r="O126" s="179"/>
      <c r="P126" s="179"/>
      <c r="Q126" s="179"/>
      <c r="R126" s="179"/>
      <c r="S126" s="13" t="s">
        <v>27</v>
      </c>
      <c r="T126"/>
    </row>
    <row r="127" spans="1:20">
      <c r="A127" s="167" t="s">
        <v>170</v>
      </c>
      <c r="B127" s="146" t="s">
        <v>238</v>
      </c>
      <c r="C127" s="167" t="s">
        <v>239</v>
      </c>
      <c r="D127" s="178" t="s">
        <v>240</v>
      </c>
      <c r="E127" s="167"/>
      <c r="F127" s="183" t="s">
        <v>186</v>
      </c>
      <c r="G127" s="171">
        <v>2</v>
      </c>
      <c r="H127" s="8" t="s">
        <v>26</v>
      </c>
      <c r="I127" s="172"/>
      <c r="J127" s="173"/>
      <c r="K127" s="174"/>
      <c r="L127" s="174"/>
      <c r="M127" s="175"/>
      <c r="N127" s="167" t="s">
        <v>51</v>
      </c>
      <c r="O127" s="179"/>
      <c r="P127" s="179"/>
      <c r="Q127" s="179"/>
      <c r="R127" s="179"/>
      <c r="S127" s="13" t="s">
        <v>27</v>
      </c>
      <c r="T127"/>
    </row>
    <row r="128" spans="1:20">
      <c r="A128" s="167" t="s">
        <v>241</v>
      </c>
      <c r="B128" s="146" t="s">
        <v>242</v>
      </c>
      <c r="C128" s="167"/>
      <c r="D128" s="186" t="s">
        <v>1352</v>
      </c>
      <c r="E128" s="167" t="s">
        <v>1353</v>
      </c>
      <c r="F128" s="183" t="s">
        <v>119</v>
      </c>
      <c r="G128" s="171">
        <v>3</v>
      </c>
      <c r="H128" s="193" t="s">
        <v>26</v>
      </c>
      <c r="I128" s="172"/>
      <c r="J128" s="173"/>
      <c r="K128" s="174"/>
      <c r="L128" s="174"/>
      <c r="M128" s="175"/>
      <c r="N128" s="167" t="s">
        <v>25</v>
      </c>
      <c r="O128" s="179"/>
      <c r="P128" s="179"/>
      <c r="Q128" s="179"/>
      <c r="R128" s="179"/>
      <c r="S128" s="21"/>
      <c r="T128"/>
    </row>
    <row r="129" spans="1:20">
      <c r="A129" s="167" t="s">
        <v>241</v>
      </c>
      <c r="B129" s="146" t="s">
        <v>243</v>
      </c>
      <c r="C129" s="167"/>
      <c r="D129" s="178"/>
      <c r="E129" s="189" t="s">
        <v>1354</v>
      </c>
      <c r="F129" s="194" t="s">
        <v>683</v>
      </c>
      <c r="G129" s="171">
        <v>3</v>
      </c>
      <c r="H129" s="193" t="s">
        <v>26</v>
      </c>
      <c r="I129" s="172"/>
      <c r="J129" s="173"/>
      <c r="K129" s="174"/>
      <c r="L129" s="174"/>
      <c r="M129" s="175"/>
      <c r="N129" s="167" t="s">
        <v>25</v>
      </c>
      <c r="O129" s="179"/>
      <c r="P129" s="179"/>
      <c r="Q129" s="179"/>
      <c r="R129" s="179"/>
      <c r="S129" s="13" t="s">
        <v>27</v>
      </c>
      <c r="T129"/>
    </row>
    <row r="130" spans="1:20">
      <c r="A130" s="167" t="s">
        <v>241</v>
      </c>
      <c r="B130" s="146" t="s">
        <v>244</v>
      </c>
      <c r="C130" s="167"/>
      <c r="D130" s="178"/>
      <c r="E130" s="189" t="s">
        <v>1355</v>
      </c>
      <c r="F130" s="195" t="s">
        <v>1356</v>
      </c>
      <c r="G130" s="171">
        <v>3</v>
      </c>
      <c r="H130" s="193" t="s">
        <v>26</v>
      </c>
      <c r="I130" s="172"/>
      <c r="J130" s="173"/>
      <c r="K130" s="174"/>
      <c r="L130" s="174"/>
      <c r="M130" s="175"/>
      <c r="N130" s="167" t="s">
        <v>25</v>
      </c>
      <c r="O130" s="179"/>
      <c r="P130" s="179"/>
      <c r="Q130" s="179"/>
      <c r="R130" s="179"/>
      <c r="S130" s="13" t="s">
        <v>27</v>
      </c>
      <c r="T130"/>
    </row>
    <row r="131" spans="1:20">
      <c r="A131" s="167" t="s">
        <v>241</v>
      </c>
      <c r="B131" s="146" t="s">
        <v>245</v>
      </c>
      <c r="C131" s="167"/>
      <c r="D131" s="178"/>
      <c r="E131" s="189" t="s">
        <v>1355</v>
      </c>
      <c r="F131" s="195" t="s">
        <v>1356</v>
      </c>
      <c r="G131" s="171">
        <v>3</v>
      </c>
      <c r="H131" s="193" t="s">
        <v>26</v>
      </c>
      <c r="I131" s="172"/>
      <c r="J131" s="173"/>
      <c r="K131" s="174"/>
      <c r="L131" s="174"/>
      <c r="M131" s="175"/>
      <c r="N131" s="167" t="s">
        <v>25</v>
      </c>
      <c r="O131" s="179"/>
      <c r="P131" s="179"/>
      <c r="Q131" s="179"/>
      <c r="R131" s="179"/>
      <c r="S131" s="13" t="s">
        <v>27</v>
      </c>
      <c r="T131"/>
    </row>
    <row r="132" spans="1:20">
      <c r="A132" s="167" t="s">
        <v>241</v>
      </c>
      <c r="B132" s="146" t="s">
        <v>246</v>
      </c>
      <c r="C132" s="167"/>
      <c r="D132" s="178"/>
      <c r="E132" s="189" t="s">
        <v>1355</v>
      </c>
      <c r="F132" s="195" t="s">
        <v>1356</v>
      </c>
      <c r="G132" s="171">
        <v>3</v>
      </c>
      <c r="H132" s="193" t="s">
        <v>26</v>
      </c>
      <c r="I132" s="172"/>
      <c r="J132" s="173"/>
      <c r="K132" s="174"/>
      <c r="L132" s="174"/>
      <c r="M132" s="175"/>
      <c r="N132" s="167" t="s">
        <v>25</v>
      </c>
      <c r="O132" s="179"/>
      <c r="P132" s="179"/>
      <c r="Q132" s="179"/>
      <c r="R132" s="179"/>
      <c r="S132" s="13" t="s">
        <v>27</v>
      </c>
      <c r="T132"/>
    </row>
    <row r="133" spans="1:20">
      <c r="A133" s="167" t="s">
        <v>241</v>
      </c>
      <c r="B133" s="146" t="s">
        <v>247</v>
      </c>
      <c r="C133" s="167"/>
      <c r="D133" s="178"/>
      <c r="E133" s="189" t="s">
        <v>1355</v>
      </c>
      <c r="F133" s="195" t="s">
        <v>1356</v>
      </c>
      <c r="G133" s="171">
        <v>3</v>
      </c>
      <c r="H133" s="193" t="s">
        <v>26</v>
      </c>
      <c r="I133" s="172"/>
      <c r="J133" s="173"/>
      <c r="K133" s="174"/>
      <c r="L133" s="174"/>
      <c r="M133" s="175"/>
      <c r="N133" s="167" t="s">
        <v>25</v>
      </c>
      <c r="O133" s="179"/>
      <c r="P133" s="179"/>
      <c r="Q133" s="179"/>
      <c r="R133" s="179"/>
      <c r="S133" s="13" t="s">
        <v>27</v>
      </c>
      <c r="T133"/>
    </row>
    <row r="134" spans="1:20">
      <c r="A134" s="167" t="s">
        <v>241</v>
      </c>
      <c r="B134" s="146" t="s">
        <v>1357</v>
      </c>
      <c r="C134" s="167"/>
      <c r="D134" s="178"/>
      <c r="E134" s="189" t="s">
        <v>1358</v>
      </c>
      <c r="F134" s="195" t="s">
        <v>1359</v>
      </c>
      <c r="G134" s="171">
        <v>3</v>
      </c>
      <c r="H134" s="193" t="s">
        <v>26</v>
      </c>
      <c r="I134" s="172"/>
      <c r="J134" s="173"/>
      <c r="K134" s="174"/>
      <c r="L134" s="174"/>
      <c r="M134" s="175"/>
      <c r="N134" s="167" t="s">
        <v>25</v>
      </c>
      <c r="O134" s="179"/>
      <c r="P134" s="179"/>
      <c r="Q134" s="179"/>
      <c r="R134" s="179"/>
      <c r="S134" s="13" t="s">
        <v>27</v>
      </c>
      <c r="T134"/>
    </row>
    <row r="135" spans="1:20">
      <c r="A135" s="167" t="s">
        <v>241</v>
      </c>
      <c r="B135" s="146" t="s">
        <v>248</v>
      </c>
      <c r="C135" s="167"/>
      <c r="D135" s="178"/>
      <c r="E135" s="189" t="s">
        <v>1358</v>
      </c>
      <c r="F135" s="194" t="s">
        <v>683</v>
      </c>
      <c r="G135" s="171">
        <v>3</v>
      </c>
      <c r="H135" s="193" t="s">
        <v>26</v>
      </c>
      <c r="I135" s="172"/>
      <c r="J135" s="173"/>
      <c r="K135" s="174"/>
      <c r="L135" s="174"/>
      <c r="M135" s="175"/>
      <c r="N135" s="167" t="s">
        <v>25</v>
      </c>
      <c r="O135" s="179"/>
      <c r="P135" s="179"/>
      <c r="Q135" s="179"/>
      <c r="R135" s="179"/>
      <c r="S135" s="13" t="s">
        <v>27</v>
      </c>
      <c r="T135"/>
    </row>
    <row r="136" spans="1:20">
      <c r="A136" s="167" t="s">
        <v>241</v>
      </c>
      <c r="B136" s="146" t="s">
        <v>249</v>
      </c>
      <c r="C136" s="167"/>
      <c r="D136" s="178"/>
      <c r="E136" s="189" t="s">
        <v>1358</v>
      </c>
      <c r="F136" s="194" t="s">
        <v>683</v>
      </c>
      <c r="G136" s="171">
        <v>3</v>
      </c>
      <c r="H136" s="193" t="s">
        <v>26</v>
      </c>
      <c r="I136" s="172"/>
      <c r="J136" s="173"/>
      <c r="K136" s="174"/>
      <c r="L136" s="174"/>
      <c r="M136" s="175"/>
      <c r="N136" s="167" t="s">
        <v>25</v>
      </c>
      <c r="O136" s="179"/>
      <c r="P136" s="179"/>
      <c r="Q136" s="179"/>
      <c r="R136" s="179"/>
      <c r="S136" s="13" t="s">
        <v>27</v>
      </c>
      <c r="T136" s="67"/>
    </row>
    <row r="137" spans="1:20">
      <c r="A137" s="167" t="s">
        <v>241</v>
      </c>
      <c r="B137" s="185" t="s">
        <v>250</v>
      </c>
      <c r="C137" s="167"/>
      <c r="D137" s="178"/>
      <c r="E137" s="189" t="s">
        <v>1358</v>
      </c>
      <c r="F137" s="194" t="s">
        <v>683</v>
      </c>
      <c r="G137" s="171">
        <v>3</v>
      </c>
      <c r="H137" s="193" t="s">
        <v>26</v>
      </c>
      <c r="I137" s="172"/>
      <c r="J137" s="173"/>
      <c r="K137" s="174"/>
      <c r="L137" s="174"/>
      <c r="M137" s="175"/>
      <c r="N137" s="167"/>
      <c r="O137" s="179"/>
      <c r="P137" s="179"/>
      <c r="Q137" s="179"/>
      <c r="R137" s="179"/>
      <c r="T137" s="67" t="s">
        <v>1360</v>
      </c>
    </row>
    <row r="138" spans="1:20">
      <c r="A138" s="167" t="s">
        <v>241</v>
      </c>
      <c r="B138" s="146" t="s">
        <v>1361</v>
      </c>
      <c r="C138" s="167"/>
      <c r="D138" s="178"/>
      <c r="E138" s="189" t="s">
        <v>1362</v>
      </c>
      <c r="F138" s="195" t="s">
        <v>1363</v>
      </c>
      <c r="G138" s="171">
        <v>3</v>
      </c>
      <c r="H138" s="193" t="s">
        <v>26</v>
      </c>
      <c r="I138" s="172"/>
      <c r="J138" s="173"/>
      <c r="K138" s="174"/>
      <c r="L138" s="174"/>
      <c r="M138" s="175"/>
      <c r="N138" s="167" t="s">
        <v>51</v>
      </c>
      <c r="O138" s="179"/>
      <c r="P138" s="179"/>
      <c r="Q138" s="179"/>
      <c r="R138" s="179"/>
      <c r="S138" s="13" t="s">
        <v>27</v>
      </c>
      <c r="T138"/>
    </row>
    <row r="139" spans="1:20">
      <c r="A139" s="167" t="s">
        <v>241</v>
      </c>
      <c r="B139" s="146" t="s">
        <v>251</v>
      </c>
      <c r="C139" s="167"/>
      <c r="D139" s="178"/>
      <c r="E139" s="189" t="s">
        <v>1364</v>
      </c>
      <c r="F139" s="195" t="s">
        <v>1363</v>
      </c>
      <c r="G139" s="171">
        <v>3</v>
      </c>
      <c r="H139" s="193" t="s">
        <v>26</v>
      </c>
      <c r="I139" s="172"/>
      <c r="J139" s="173"/>
      <c r="K139" s="174"/>
      <c r="L139" s="174"/>
      <c r="M139" s="175"/>
      <c r="N139" s="167" t="s">
        <v>51</v>
      </c>
      <c r="O139" s="179"/>
      <c r="P139" s="179"/>
      <c r="Q139" s="179"/>
      <c r="R139" s="179"/>
      <c r="S139" s="13" t="s">
        <v>27</v>
      </c>
      <c r="T139"/>
    </row>
    <row r="140" spans="1:20">
      <c r="A140" s="167" t="s">
        <v>252</v>
      </c>
      <c r="B140" s="184" t="s">
        <v>253</v>
      </c>
      <c r="C140" s="167" t="s">
        <v>254</v>
      </c>
      <c r="D140" s="178" t="s">
        <v>255</v>
      </c>
      <c r="E140" s="189" t="s">
        <v>1365</v>
      </c>
      <c r="F140" s="183" t="s">
        <v>67</v>
      </c>
      <c r="G140" s="171">
        <v>1</v>
      </c>
      <c r="H140" s="8" t="s">
        <v>26</v>
      </c>
      <c r="I140" s="172"/>
      <c r="J140" s="173"/>
      <c r="K140" s="174"/>
      <c r="L140" s="174" t="str">
        <f>VLOOKUP(B140,电搭接情况统计!$B$2:$H$423,7,0)</f>
        <v>R类，壳体线搭接</v>
      </c>
      <c r="M140" s="175"/>
      <c r="N140" s="167" t="s">
        <v>25</v>
      </c>
      <c r="O140" s="179"/>
      <c r="P140" s="179"/>
      <c r="Q140" s="179"/>
      <c r="R140" s="179"/>
      <c r="S140" s="13" t="s">
        <v>27</v>
      </c>
      <c r="T140"/>
    </row>
    <row r="141" spans="1:20">
      <c r="A141" s="167" t="s">
        <v>252</v>
      </c>
      <c r="B141" s="184" t="s">
        <v>256</v>
      </c>
      <c r="C141" s="167" t="s">
        <v>254</v>
      </c>
      <c r="D141" s="178" t="s">
        <v>257</v>
      </c>
      <c r="E141" s="189" t="s">
        <v>1365</v>
      </c>
      <c r="F141" s="183" t="s">
        <v>67</v>
      </c>
      <c r="G141" s="171">
        <v>1</v>
      </c>
      <c r="H141" s="8" t="s">
        <v>26</v>
      </c>
      <c r="I141" s="172"/>
      <c r="J141" s="173"/>
      <c r="K141" s="174"/>
      <c r="L141" s="174" t="str">
        <f>VLOOKUP(B141,电搭接情况统计!$B$2:$H$423,7,0)</f>
        <v>R类，壳体线搭接</v>
      </c>
      <c r="M141" s="175"/>
      <c r="N141" s="167" t="s">
        <v>25</v>
      </c>
      <c r="O141" s="179"/>
      <c r="P141" s="179"/>
      <c r="Q141" s="179"/>
      <c r="R141" s="179"/>
      <c r="S141" s="13" t="s">
        <v>27</v>
      </c>
      <c r="T141"/>
    </row>
    <row r="142" spans="1:20">
      <c r="A142" s="167" t="s">
        <v>252</v>
      </c>
      <c r="B142" s="184" t="s">
        <v>258</v>
      </c>
      <c r="C142" s="167" t="s">
        <v>254</v>
      </c>
      <c r="D142" s="178" t="s">
        <v>259</v>
      </c>
      <c r="E142" s="189" t="s">
        <v>1365</v>
      </c>
      <c r="F142" s="183" t="s">
        <v>67</v>
      </c>
      <c r="G142" s="171">
        <v>1</v>
      </c>
      <c r="H142" s="8" t="s">
        <v>26</v>
      </c>
      <c r="I142" s="172"/>
      <c r="J142" s="173"/>
      <c r="K142" s="174"/>
      <c r="L142" s="174" t="str">
        <f>VLOOKUP(B142,电搭接情况统计!$B$2:$H$423,7,0)</f>
        <v>R类，壳体线搭接</v>
      </c>
      <c r="M142" s="175"/>
      <c r="N142" s="167" t="s">
        <v>25</v>
      </c>
      <c r="O142" s="179"/>
      <c r="P142" s="179"/>
      <c r="Q142" s="179"/>
      <c r="R142" s="179"/>
      <c r="S142" s="13" t="s">
        <v>27</v>
      </c>
      <c r="T142"/>
    </row>
    <row r="143" spans="1:20">
      <c r="A143" s="167" t="s">
        <v>252</v>
      </c>
      <c r="B143" s="184" t="s">
        <v>260</v>
      </c>
      <c r="C143" s="167" t="s">
        <v>254</v>
      </c>
      <c r="D143" s="178" t="s">
        <v>261</v>
      </c>
      <c r="E143" s="189" t="s">
        <v>1365</v>
      </c>
      <c r="F143" s="183" t="s">
        <v>67</v>
      </c>
      <c r="G143" s="171">
        <v>1</v>
      </c>
      <c r="H143" s="8" t="s">
        <v>26</v>
      </c>
      <c r="I143" s="172"/>
      <c r="J143" s="173"/>
      <c r="K143" s="174"/>
      <c r="L143" s="174" t="str">
        <f>VLOOKUP(B143,电搭接情况统计!$B$2:$H$423,7,0)</f>
        <v>R类，壳体线搭接</v>
      </c>
      <c r="M143" s="175"/>
      <c r="N143" s="167" t="s">
        <v>25</v>
      </c>
      <c r="O143" s="179"/>
      <c r="P143" s="179"/>
      <c r="Q143" s="179"/>
      <c r="R143" s="179"/>
      <c r="S143" s="13" t="s">
        <v>27</v>
      </c>
      <c r="T143"/>
    </row>
    <row r="144" spans="1:20">
      <c r="A144" s="167" t="s">
        <v>252</v>
      </c>
      <c r="B144" s="146" t="s">
        <v>262</v>
      </c>
      <c r="C144" s="167" t="s">
        <v>263</v>
      </c>
      <c r="D144" s="178" t="s">
        <v>264</v>
      </c>
      <c r="E144" s="167"/>
      <c r="F144" s="183" t="s">
        <v>44</v>
      </c>
      <c r="G144" s="171">
        <v>2</v>
      </c>
      <c r="H144" s="8" t="s">
        <v>26</v>
      </c>
      <c r="I144" s="172"/>
      <c r="J144" s="173"/>
      <c r="K144" s="174"/>
      <c r="L144" s="174" t="str">
        <f>VLOOKUP(B144,电搭接情况统计!$B$2:$H$423,7,0)</f>
        <v>S类，壳体搭接</v>
      </c>
      <c r="M144" s="175"/>
      <c r="N144" s="167" t="s">
        <v>25</v>
      </c>
      <c r="O144" s="179"/>
      <c r="P144" s="179"/>
      <c r="Q144" s="179"/>
      <c r="R144" s="179"/>
      <c r="S144" s="13" t="s">
        <v>27</v>
      </c>
      <c r="T144"/>
    </row>
    <row r="145" spans="1:20">
      <c r="A145" s="167" t="s">
        <v>252</v>
      </c>
      <c r="B145" s="146" t="s">
        <v>265</v>
      </c>
      <c r="C145" s="167" t="s">
        <v>266</v>
      </c>
      <c r="D145" s="178" t="s">
        <v>267</v>
      </c>
      <c r="E145" s="167"/>
      <c r="F145" s="183" t="s">
        <v>44</v>
      </c>
      <c r="G145" s="171">
        <v>2</v>
      </c>
      <c r="H145" s="8" t="s">
        <v>26</v>
      </c>
      <c r="I145" s="172"/>
      <c r="J145" s="173"/>
      <c r="K145" s="174"/>
      <c r="L145" s="174" t="str">
        <f>VLOOKUP(B145,电搭接情况统计!$B$2:$H$423,7,0)</f>
        <v>S类，壳体搭接</v>
      </c>
      <c r="M145" s="175"/>
      <c r="N145" s="167" t="s">
        <v>25</v>
      </c>
      <c r="O145" s="179"/>
      <c r="P145" s="179"/>
      <c r="Q145" s="179"/>
      <c r="R145" s="179"/>
      <c r="S145" s="13" t="s">
        <v>27</v>
      </c>
      <c r="T145"/>
    </row>
    <row r="146" spans="1:20">
      <c r="A146" s="167" t="s">
        <v>252</v>
      </c>
      <c r="B146" s="184" t="s">
        <v>268</v>
      </c>
      <c r="C146" s="167" t="s">
        <v>269</v>
      </c>
      <c r="D146" s="178" t="s">
        <v>270</v>
      </c>
      <c r="E146" s="189" t="s">
        <v>1366</v>
      </c>
      <c r="F146" s="183" t="s">
        <v>94</v>
      </c>
      <c r="G146" s="171">
        <v>1</v>
      </c>
      <c r="H146" s="8" t="s">
        <v>26</v>
      </c>
      <c r="I146" s="172"/>
      <c r="J146" s="173"/>
      <c r="K146" s="174"/>
      <c r="L146" s="174" t="str">
        <f>VLOOKUP(B146,电搭接情况统计!$B$2:$H$423,7,0)</f>
        <v>R类，壳体线搭接</v>
      </c>
      <c r="M146" s="175"/>
      <c r="N146" s="167" t="s">
        <v>25</v>
      </c>
      <c r="O146" s="179"/>
      <c r="P146" s="179"/>
      <c r="Q146" s="179"/>
      <c r="R146" s="179"/>
      <c r="S146" s="13" t="s">
        <v>27</v>
      </c>
      <c r="T146"/>
    </row>
    <row r="147" spans="1:20">
      <c r="A147" s="167" t="s">
        <v>252</v>
      </c>
      <c r="B147" s="184" t="s">
        <v>271</v>
      </c>
      <c r="C147" s="167" t="s">
        <v>269</v>
      </c>
      <c r="D147" s="178" t="s">
        <v>272</v>
      </c>
      <c r="E147" s="189" t="s">
        <v>1366</v>
      </c>
      <c r="F147" s="183" t="s">
        <v>94</v>
      </c>
      <c r="G147" s="171">
        <v>1</v>
      </c>
      <c r="H147" s="8" t="s">
        <v>26</v>
      </c>
      <c r="I147" s="172"/>
      <c r="J147" s="173"/>
      <c r="K147" s="174"/>
      <c r="L147" s="174" t="str">
        <f>VLOOKUP(B147,电搭接情况统计!$B$2:$H$423,7,0)</f>
        <v>R类，壳体线搭接</v>
      </c>
      <c r="M147" s="175"/>
      <c r="N147" s="167" t="s">
        <v>25</v>
      </c>
      <c r="O147" s="179"/>
      <c r="P147" s="179"/>
      <c r="Q147" s="179"/>
      <c r="R147" s="179"/>
      <c r="S147" s="13" t="s">
        <v>27</v>
      </c>
      <c r="T147"/>
    </row>
    <row r="148" spans="1:20">
      <c r="A148" s="167" t="s">
        <v>252</v>
      </c>
      <c r="B148" s="184" t="s">
        <v>273</v>
      </c>
      <c r="C148" s="167" t="s">
        <v>274</v>
      </c>
      <c r="D148" s="178" t="s">
        <v>275</v>
      </c>
      <c r="E148" s="167"/>
      <c r="F148" s="183" t="s">
        <v>186</v>
      </c>
      <c r="G148" s="171">
        <v>2</v>
      </c>
      <c r="H148" s="8" t="s">
        <v>26</v>
      </c>
      <c r="I148" s="172"/>
      <c r="J148" s="173"/>
      <c r="K148" s="174"/>
      <c r="L148" s="174" t="str">
        <f>VLOOKUP(B148,电搭接情况统计!$B$2:$H$423,7,0)</f>
        <v>C类</v>
      </c>
      <c r="M148" s="175"/>
      <c r="N148" s="167" t="s">
        <v>25</v>
      </c>
      <c r="O148" s="179"/>
      <c r="P148" s="179"/>
      <c r="Q148" s="179"/>
      <c r="R148" s="179"/>
      <c r="S148" s="13" t="s">
        <v>27</v>
      </c>
      <c r="T148"/>
    </row>
    <row r="149" spans="1:20">
      <c r="A149" s="167" t="s">
        <v>252</v>
      </c>
      <c r="B149" s="184" t="s">
        <v>276</v>
      </c>
      <c r="C149" s="167" t="s">
        <v>277</v>
      </c>
      <c r="D149" s="178" t="s">
        <v>278</v>
      </c>
      <c r="E149" s="189" t="s">
        <v>1367</v>
      </c>
      <c r="F149" s="183" t="s">
        <v>81</v>
      </c>
      <c r="G149" s="171">
        <v>1</v>
      </c>
      <c r="H149" s="8" t="s">
        <v>26</v>
      </c>
      <c r="I149" s="172"/>
      <c r="J149" s="173"/>
      <c r="K149" s="174"/>
      <c r="L149" s="174" t="str">
        <f>VLOOKUP(B149,电搭接情况统计!$B$2:$H$423,7,0)</f>
        <v>R类，壳体线搭接</v>
      </c>
      <c r="M149" s="175"/>
      <c r="N149" s="167" t="s">
        <v>25</v>
      </c>
      <c r="O149" s="179"/>
      <c r="P149" s="179"/>
      <c r="Q149" s="179"/>
      <c r="R149" s="179"/>
      <c r="S149" s="13" t="s">
        <v>27</v>
      </c>
      <c r="T149"/>
    </row>
    <row r="150" spans="1:20">
      <c r="A150" s="167" t="s">
        <v>252</v>
      </c>
      <c r="B150" s="184" t="s">
        <v>279</v>
      </c>
      <c r="C150" s="167" t="s">
        <v>277</v>
      </c>
      <c r="D150" s="178" t="s">
        <v>280</v>
      </c>
      <c r="E150" s="189" t="s">
        <v>1367</v>
      </c>
      <c r="F150" s="183" t="s">
        <v>81</v>
      </c>
      <c r="G150" s="171">
        <v>1</v>
      </c>
      <c r="H150" s="8" t="s">
        <v>26</v>
      </c>
      <c r="I150" s="172"/>
      <c r="J150" s="173"/>
      <c r="K150" s="174"/>
      <c r="L150" s="174" t="str">
        <f>VLOOKUP(B150,电搭接情况统计!$B$2:$H$423,7,0)</f>
        <v>R类，壳体线搭接</v>
      </c>
      <c r="M150" s="175"/>
      <c r="N150" s="167" t="s">
        <v>25</v>
      </c>
      <c r="O150" s="179"/>
      <c r="P150" s="179"/>
      <c r="Q150" s="179"/>
      <c r="R150" s="179"/>
      <c r="S150" s="13" t="s">
        <v>27</v>
      </c>
      <c r="T150"/>
    </row>
    <row r="151" spans="1:20">
      <c r="A151" s="167" t="s">
        <v>252</v>
      </c>
      <c r="B151" s="184" t="s">
        <v>281</v>
      </c>
      <c r="C151" s="167" t="s">
        <v>277</v>
      </c>
      <c r="D151" s="178" t="s">
        <v>282</v>
      </c>
      <c r="E151" s="189" t="s">
        <v>1367</v>
      </c>
      <c r="F151" s="183" t="s">
        <v>81</v>
      </c>
      <c r="G151" s="171">
        <v>1</v>
      </c>
      <c r="H151" s="8" t="s">
        <v>26</v>
      </c>
      <c r="I151" s="172"/>
      <c r="J151" s="173"/>
      <c r="K151" s="174"/>
      <c r="L151" s="174" t="str">
        <f>VLOOKUP(B151,电搭接情况统计!$B$2:$H$423,7,0)</f>
        <v>R类，壳体线搭接</v>
      </c>
      <c r="M151" s="175"/>
      <c r="N151" s="167" t="s">
        <v>25</v>
      </c>
      <c r="O151" s="179"/>
      <c r="P151" s="179"/>
      <c r="Q151" s="179"/>
      <c r="R151" s="179"/>
      <c r="S151" s="13" t="s">
        <v>27</v>
      </c>
      <c r="T151"/>
    </row>
    <row r="152" spans="1:20">
      <c r="A152" s="167" t="s">
        <v>252</v>
      </c>
      <c r="B152" s="184" t="s">
        <v>283</v>
      </c>
      <c r="C152" s="167" t="s">
        <v>277</v>
      </c>
      <c r="D152" s="178" t="s">
        <v>284</v>
      </c>
      <c r="E152" s="189" t="s">
        <v>1367</v>
      </c>
      <c r="F152" s="183" t="s">
        <v>81</v>
      </c>
      <c r="G152" s="171">
        <v>1</v>
      </c>
      <c r="H152" s="8" t="s">
        <v>26</v>
      </c>
      <c r="I152" s="172"/>
      <c r="J152" s="173"/>
      <c r="K152" s="174"/>
      <c r="L152" s="174" t="str">
        <f>VLOOKUP(B152,电搭接情况统计!$B$2:$H$423,7,0)</f>
        <v>R类，壳体线搭接</v>
      </c>
      <c r="M152" s="175"/>
      <c r="N152" s="167" t="s">
        <v>25</v>
      </c>
      <c r="O152" s="179"/>
      <c r="P152" s="179"/>
      <c r="Q152" s="179"/>
      <c r="R152" s="179"/>
      <c r="S152" s="13" t="s">
        <v>27</v>
      </c>
      <c r="T152"/>
    </row>
    <row r="153" spans="1:20">
      <c r="A153" s="167" t="s">
        <v>252</v>
      </c>
      <c r="B153" s="184" t="s">
        <v>285</v>
      </c>
      <c r="C153" s="167" t="s">
        <v>286</v>
      </c>
      <c r="D153" s="178" t="s">
        <v>287</v>
      </c>
      <c r="E153" s="189" t="s">
        <v>1368</v>
      </c>
      <c r="F153" s="183" t="s">
        <v>67</v>
      </c>
      <c r="G153" s="171">
        <v>1</v>
      </c>
      <c r="H153" s="8" t="s">
        <v>26</v>
      </c>
      <c r="I153" s="172" t="s">
        <v>288</v>
      </c>
      <c r="J153" s="173"/>
      <c r="K153" s="174"/>
      <c r="L153" s="174" t="str">
        <f>VLOOKUP(B153,电搭接情况统计!$B$2:$H$423,7,0)</f>
        <v>R类，壳体线搭接</v>
      </c>
      <c r="M153" s="175"/>
      <c r="N153" s="167" t="s">
        <v>25</v>
      </c>
      <c r="O153" s="179"/>
      <c r="P153" s="179"/>
      <c r="Q153" s="179"/>
      <c r="R153" s="179"/>
      <c r="S153" s="13" t="s">
        <v>289</v>
      </c>
      <c r="T153"/>
    </row>
    <row r="154" spans="1:20">
      <c r="A154" s="167" t="s">
        <v>252</v>
      </c>
      <c r="B154" s="184" t="s">
        <v>290</v>
      </c>
      <c r="C154" s="167" t="s">
        <v>286</v>
      </c>
      <c r="D154" s="178" t="s">
        <v>291</v>
      </c>
      <c r="E154" s="189" t="s">
        <v>1368</v>
      </c>
      <c r="F154" s="183" t="s">
        <v>67</v>
      </c>
      <c r="G154" s="171">
        <v>1</v>
      </c>
      <c r="H154" s="8" t="s">
        <v>26</v>
      </c>
      <c r="I154" s="172" t="s">
        <v>288</v>
      </c>
      <c r="J154" s="173"/>
      <c r="K154" s="174"/>
      <c r="L154" s="174" t="str">
        <f>VLOOKUP(B154,电搭接情况统计!$B$2:$H$423,7,0)</f>
        <v>R类，壳体线搭接</v>
      </c>
      <c r="M154" s="175"/>
      <c r="N154" s="167" t="s">
        <v>25</v>
      </c>
      <c r="O154" s="179"/>
      <c r="P154" s="179"/>
      <c r="Q154" s="179"/>
      <c r="R154" s="179"/>
      <c r="S154" s="13" t="s">
        <v>289</v>
      </c>
      <c r="T154"/>
    </row>
    <row r="155" spans="1:20">
      <c r="A155" s="167" t="s">
        <v>252</v>
      </c>
      <c r="B155" s="184" t="s">
        <v>292</v>
      </c>
      <c r="C155" s="167" t="s">
        <v>293</v>
      </c>
      <c r="D155" s="178" t="s">
        <v>294</v>
      </c>
      <c r="E155" s="189" t="s">
        <v>1369</v>
      </c>
      <c r="F155" s="183" t="s">
        <v>67</v>
      </c>
      <c r="G155" s="171">
        <v>1</v>
      </c>
      <c r="H155" s="8" t="s">
        <v>26</v>
      </c>
      <c r="I155" s="172" t="s">
        <v>288</v>
      </c>
      <c r="J155" s="173"/>
      <c r="K155" s="174"/>
      <c r="L155" s="174" t="str">
        <f>VLOOKUP(B155,电搭接情况统计!$B$2:$H$423,7,0)</f>
        <v>R类，壳体线搭接</v>
      </c>
      <c r="M155" s="175"/>
      <c r="N155" s="167" t="s">
        <v>25</v>
      </c>
      <c r="O155" s="179"/>
      <c r="P155" s="179"/>
      <c r="Q155" s="179"/>
      <c r="R155" s="179"/>
      <c r="S155" s="13" t="s">
        <v>289</v>
      </c>
      <c r="T155"/>
    </row>
    <row r="156" spans="1:20">
      <c r="A156" s="167" t="s">
        <v>252</v>
      </c>
      <c r="B156" s="184" t="s">
        <v>295</v>
      </c>
      <c r="C156" s="167" t="s">
        <v>293</v>
      </c>
      <c r="D156" s="178" t="s">
        <v>296</v>
      </c>
      <c r="E156" s="189" t="s">
        <v>1369</v>
      </c>
      <c r="F156" s="183" t="s">
        <v>67</v>
      </c>
      <c r="G156" s="171">
        <v>1</v>
      </c>
      <c r="H156" s="8" t="s">
        <v>26</v>
      </c>
      <c r="I156" s="172" t="s">
        <v>288</v>
      </c>
      <c r="J156" s="173"/>
      <c r="K156" s="174"/>
      <c r="L156" s="174" t="str">
        <f>VLOOKUP(B156,电搭接情况统计!$B$2:$H$423,7,0)</f>
        <v>R类，壳体线搭接</v>
      </c>
      <c r="M156" s="175"/>
      <c r="N156" s="167" t="s">
        <v>25</v>
      </c>
      <c r="O156" s="179"/>
      <c r="P156" s="179"/>
      <c r="Q156" s="179"/>
      <c r="R156" s="179"/>
      <c r="S156" s="13" t="s">
        <v>289</v>
      </c>
      <c r="T156"/>
    </row>
    <row r="157" spans="1:20">
      <c r="A157" s="167" t="s">
        <v>252</v>
      </c>
      <c r="B157" s="184" t="s">
        <v>297</v>
      </c>
      <c r="C157" s="167" t="s">
        <v>298</v>
      </c>
      <c r="D157" s="178" t="s">
        <v>299</v>
      </c>
      <c r="E157" s="189" t="s">
        <v>1370</v>
      </c>
      <c r="F157" s="183" t="s">
        <v>300</v>
      </c>
      <c r="G157" s="171">
        <v>1</v>
      </c>
      <c r="H157" s="8" t="s">
        <v>26</v>
      </c>
      <c r="I157" s="172"/>
      <c r="J157" s="182" t="str">
        <f>VLOOKUP($B157,设备架接口信息!$A$1:$G$69,4,0)</f>
        <v>3MCU托架安装，A类锁紧器</v>
      </c>
      <c r="K157" s="175" t="str">
        <f>VLOOKUP($B157,设备架接口信息!$A$1:$G$69,5,0)</f>
        <v>面搭接</v>
      </c>
      <c r="L157" s="174" t="str">
        <f>VLOOKUP(B157,电搭接情况统计!$B$2:$H$423,7,0)</f>
        <v>C类</v>
      </c>
      <c r="M157" s="175">
        <f>VLOOKUP($B157,设备架接口信息!$A$1:$G$69,6,0)</f>
        <v>5.126831</v>
      </c>
      <c r="N157" s="167" t="s">
        <v>25</v>
      </c>
      <c r="O157" s="179"/>
      <c r="P157" s="179"/>
      <c r="Q157" s="179"/>
      <c r="R157" s="179"/>
      <c r="S157" s="67" t="s">
        <v>37</v>
      </c>
      <c r="T157"/>
    </row>
    <row r="158" spans="1:20">
      <c r="A158" s="167" t="s">
        <v>252</v>
      </c>
      <c r="B158" s="184" t="s">
        <v>301</v>
      </c>
      <c r="C158" s="167" t="s">
        <v>298</v>
      </c>
      <c r="D158" s="178" t="s">
        <v>302</v>
      </c>
      <c r="E158" s="189" t="s">
        <v>1370</v>
      </c>
      <c r="F158" s="183" t="s">
        <v>303</v>
      </c>
      <c r="G158" s="171">
        <v>1</v>
      </c>
      <c r="H158" s="8" t="s">
        <v>26</v>
      </c>
      <c r="I158" s="172"/>
      <c r="J158" s="182" t="str">
        <f>VLOOKUP($B158,设备架接口信息!$A$1:$G$69,4,0)</f>
        <v>3MCU托架安装，A类锁紧器</v>
      </c>
      <c r="K158" s="175" t="str">
        <f>VLOOKUP($B158,设备架接口信息!$A$1:$G$69,5,0)</f>
        <v>面搭接</v>
      </c>
      <c r="L158" s="174" t="str">
        <f>VLOOKUP(B158,电搭接情况统计!$B$2:$H$423,7,0)</f>
        <v>C类</v>
      </c>
      <c r="M158" s="175">
        <f>VLOOKUP($B158,设备架接口信息!$A$1:$G$69,6,0)</f>
        <v>5.006831</v>
      </c>
      <c r="N158" s="167" t="s">
        <v>25</v>
      </c>
      <c r="O158" s="179"/>
      <c r="P158" s="179"/>
      <c r="Q158" s="179"/>
      <c r="R158" s="179"/>
      <c r="S158" s="67" t="s">
        <v>37</v>
      </c>
      <c r="T158"/>
    </row>
    <row r="159" spans="1:20">
      <c r="A159" s="167" t="s">
        <v>252</v>
      </c>
      <c r="B159" s="184" t="s">
        <v>304</v>
      </c>
      <c r="C159" s="167" t="s">
        <v>298</v>
      </c>
      <c r="D159" s="178" t="s">
        <v>305</v>
      </c>
      <c r="E159" s="189" t="s">
        <v>1370</v>
      </c>
      <c r="F159" s="183" t="s">
        <v>40</v>
      </c>
      <c r="G159" s="171">
        <v>1</v>
      </c>
      <c r="H159" s="8" t="s">
        <v>26</v>
      </c>
      <c r="I159" s="172"/>
      <c r="J159" s="182" t="str">
        <f>VLOOKUP($B159,设备架接口信息!$A$1:$G$69,4,0)</f>
        <v>3MCU托架安装，A类锁紧器</v>
      </c>
      <c r="K159" s="175" t="str">
        <f>VLOOKUP($B159,设备架接口信息!$A$1:$G$69,5,0)</f>
        <v>面搭接</v>
      </c>
      <c r="L159" s="174" t="str">
        <f>VLOOKUP(B159,电搭接情况统计!$B$2:$H$423,7,0)</f>
        <v>C类</v>
      </c>
      <c r="M159" s="175">
        <f>VLOOKUP($B159,设备架接口信息!$A$1:$G$69,6,0)</f>
        <v>5.057831</v>
      </c>
      <c r="N159" s="167" t="s">
        <v>25</v>
      </c>
      <c r="O159" s="179"/>
      <c r="P159" s="179"/>
      <c r="Q159" s="179"/>
      <c r="R159" s="179"/>
      <c r="S159" s="67" t="s">
        <v>37</v>
      </c>
      <c r="T159"/>
    </row>
    <row r="160" spans="1:20">
      <c r="A160" s="167" t="s">
        <v>252</v>
      </c>
      <c r="B160" s="146" t="s">
        <v>306</v>
      </c>
      <c r="C160" s="167" t="s">
        <v>307</v>
      </c>
      <c r="D160" s="178" t="s">
        <v>308</v>
      </c>
      <c r="E160" s="167"/>
      <c r="F160" s="183" t="s">
        <v>36</v>
      </c>
      <c r="G160" s="171">
        <v>2</v>
      </c>
      <c r="H160" s="8" t="s">
        <v>26</v>
      </c>
      <c r="I160" s="172"/>
      <c r="J160" s="182" t="str">
        <f>VLOOKUP($B160,设备架接口信息!$A$1:$G$69,4,0)</f>
        <v>3MCU托架安装，A类锁紧器</v>
      </c>
      <c r="K160" s="175" t="str">
        <f>VLOOKUP($B160,设备架接口信息!$A$1:$G$69,5,0)</f>
        <v>线搭接</v>
      </c>
      <c r="L160" s="174" t="str">
        <f>VLOOKUP(B160,电搭接情况统计!$B$2:$H$423,7,0)</f>
        <v>C类</v>
      </c>
      <c r="M160" s="175">
        <f>VLOOKUP($B160,设备架接口信息!$A$1:$G$69,6,0)</f>
        <v>6.177486</v>
      </c>
      <c r="N160" s="167" t="s">
        <v>25</v>
      </c>
      <c r="O160" s="179"/>
      <c r="P160" s="179"/>
      <c r="Q160" s="179"/>
      <c r="R160" s="179"/>
      <c r="S160" s="67" t="s">
        <v>37</v>
      </c>
      <c r="T160"/>
    </row>
    <row r="161" spans="1:20">
      <c r="A161" s="167" t="s">
        <v>252</v>
      </c>
      <c r="B161" s="184" t="s">
        <v>317</v>
      </c>
      <c r="C161" s="167" t="s">
        <v>318</v>
      </c>
      <c r="D161" s="174" t="s">
        <v>319</v>
      </c>
      <c r="E161" s="189" t="s">
        <v>1371</v>
      </c>
      <c r="F161" s="196" t="s">
        <v>320</v>
      </c>
      <c r="G161" s="171">
        <v>1</v>
      </c>
      <c r="H161" s="8" t="s">
        <v>26</v>
      </c>
      <c r="I161" s="172" t="s">
        <v>321</v>
      </c>
      <c r="J161" s="182" t="str">
        <f>VLOOKUP($B161,设备架接口信息!$A$1:$G$69,4,0)</f>
        <v>四角螺栓安装</v>
      </c>
      <c r="K161" s="175" t="str">
        <f>VLOOKUP($B161,设备架接口信息!$A$1:$G$69,5,0)</f>
        <v>面搭接</v>
      </c>
      <c r="L161" s="174" t="str">
        <f>VLOOKUP(B161,电搭接情况统计!$B$2:$H$423,7,0)</f>
        <v>C类，28V负极通过ERN回流；
R类，壳体线搭接</v>
      </c>
      <c r="M161" s="175">
        <f>VLOOKUP($B161,设备架接口信息!$A$1:$G$69,6,0)</f>
        <v>4.42</v>
      </c>
      <c r="N161" s="167" t="s">
        <v>25</v>
      </c>
      <c r="O161" s="179"/>
      <c r="P161" s="179"/>
      <c r="Q161" s="179"/>
      <c r="R161" s="179"/>
      <c r="S161" s="13" t="s">
        <v>322</v>
      </c>
      <c r="T161"/>
    </row>
    <row r="162" spans="1:20">
      <c r="A162" s="167" t="s">
        <v>252</v>
      </c>
      <c r="B162" s="184" t="s">
        <v>323</v>
      </c>
      <c r="C162" s="167" t="s">
        <v>318</v>
      </c>
      <c r="D162" s="178" t="s">
        <v>324</v>
      </c>
      <c r="E162" s="189" t="s">
        <v>1371</v>
      </c>
      <c r="F162" s="183" t="s">
        <v>300</v>
      </c>
      <c r="G162" s="171">
        <v>1</v>
      </c>
      <c r="H162" s="8" t="s">
        <v>26</v>
      </c>
      <c r="I162" s="172" t="s">
        <v>321</v>
      </c>
      <c r="J162" s="182" t="str">
        <f>VLOOKUP($B162,设备架接口信息!$A$1:$G$69,4,0)</f>
        <v>四角螺栓安装</v>
      </c>
      <c r="K162" s="175" t="str">
        <f>VLOOKUP($B162,设备架接口信息!$A$1:$G$69,5,0)</f>
        <v>面搭接</v>
      </c>
      <c r="L162" s="174" t="str">
        <f>VLOOKUP(B162,电搭接情况统计!$B$2:$H$423,7,0)</f>
        <v>C类，28V负极通过ERN回流；
R类，壳体线搭接</v>
      </c>
      <c r="M162" s="175">
        <f>VLOOKUP($B162,设备架接口信息!$A$1:$G$69,6,0)</f>
        <v>4.42</v>
      </c>
      <c r="N162" s="167" t="s">
        <v>25</v>
      </c>
      <c r="O162" s="179"/>
      <c r="P162" s="179"/>
      <c r="Q162" s="179"/>
      <c r="R162" s="179"/>
      <c r="S162" s="13" t="s">
        <v>322</v>
      </c>
      <c r="T162"/>
    </row>
    <row r="163" spans="1:20">
      <c r="A163" s="167" t="s">
        <v>252</v>
      </c>
      <c r="B163" s="184" t="s">
        <v>325</v>
      </c>
      <c r="C163" s="167" t="s">
        <v>318</v>
      </c>
      <c r="D163" s="178" t="s">
        <v>326</v>
      </c>
      <c r="E163" s="189" t="s">
        <v>1371</v>
      </c>
      <c r="F163" s="183" t="s">
        <v>303</v>
      </c>
      <c r="G163" s="171">
        <v>1</v>
      </c>
      <c r="H163" s="8" t="s">
        <v>26</v>
      </c>
      <c r="I163" s="172" t="s">
        <v>321</v>
      </c>
      <c r="J163" s="182" t="str">
        <f>VLOOKUP($B163,设备架接口信息!$A$1:$G$69,4,0)</f>
        <v>四角螺栓安装</v>
      </c>
      <c r="K163" s="175" t="str">
        <f>VLOOKUP($B163,设备架接口信息!$A$1:$G$69,5,0)</f>
        <v>面搭接</v>
      </c>
      <c r="L163" s="174" t="str">
        <f>VLOOKUP(B163,电搭接情况统计!$B$2:$H$423,7,0)</f>
        <v>C类，28V负极通过ERN回流；
R类，壳体线搭接</v>
      </c>
      <c r="M163" s="175">
        <f>VLOOKUP($B163,设备架接口信息!$A$1:$G$69,6,0)</f>
        <v>4.42</v>
      </c>
      <c r="N163" s="167" t="s">
        <v>25</v>
      </c>
      <c r="O163" s="179"/>
      <c r="P163" s="179"/>
      <c r="Q163" s="179"/>
      <c r="R163" s="179"/>
      <c r="S163" s="13" t="s">
        <v>322</v>
      </c>
      <c r="T163"/>
    </row>
    <row r="164" spans="1:20">
      <c r="A164" s="167" t="s">
        <v>252</v>
      </c>
      <c r="B164" s="184" t="s">
        <v>327</v>
      </c>
      <c r="C164" s="167" t="s">
        <v>318</v>
      </c>
      <c r="D164" s="178" t="s">
        <v>328</v>
      </c>
      <c r="E164" s="189" t="s">
        <v>1371</v>
      </c>
      <c r="F164" s="183" t="s">
        <v>303</v>
      </c>
      <c r="G164" s="171">
        <v>1</v>
      </c>
      <c r="H164" s="8" t="s">
        <v>26</v>
      </c>
      <c r="I164" s="172" t="s">
        <v>321</v>
      </c>
      <c r="J164" s="182" t="str">
        <f>VLOOKUP($B164,设备架接口信息!$A$1:$G$69,4,0)</f>
        <v>四角螺栓安装</v>
      </c>
      <c r="K164" s="175" t="str">
        <f>VLOOKUP($B164,设备架接口信息!$A$1:$G$69,5,0)</f>
        <v>面搭接</v>
      </c>
      <c r="L164" s="174" t="str">
        <f>VLOOKUP(B164,电搭接情况统计!$B$2:$H$423,7,0)</f>
        <v>C类，28V负极通过ERN回流；
R类，壳体线搭接</v>
      </c>
      <c r="M164" s="175">
        <f>VLOOKUP($B164,设备架接口信息!$A$1:$G$69,6,0)</f>
        <v>4.42</v>
      </c>
      <c r="N164" s="167" t="s">
        <v>25</v>
      </c>
      <c r="O164" s="179"/>
      <c r="P164" s="179"/>
      <c r="Q164" s="179"/>
      <c r="R164" s="179"/>
      <c r="S164" s="13" t="s">
        <v>322</v>
      </c>
      <c r="T164"/>
    </row>
    <row r="165" spans="1:20">
      <c r="A165" s="167" t="s">
        <v>252</v>
      </c>
      <c r="B165" s="184" t="s">
        <v>329</v>
      </c>
      <c r="C165" s="167" t="s">
        <v>330</v>
      </c>
      <c r="D165" s="178" t="s">
        <v>331</v>
      </c>
      <c r="E165" s="189" t="s">
        <v>1372</v>
      </c>
      <c r="F165" s="183" t="s">
        <v>300</v>
      </c>
      <c r="G165" s="171">
        <v>1</v>
      </c>
      <c r="H165" s="8" t="s">
        <v>26</v>
      </c>
      <c r="I165" s="172" t="s">
        <v>321</v>
      </c>
      <c r="J165" s="182" t="str">
        <f>VLOOKUP($B165,设备架接口信息!$A$1:$G$69,4,0)</f>
        <v>四角螺栓安装</v>
      </c>
      <c r="K165" s="175" t="str">
        <f>VLOOKUP($B165,设备架接口信息!$A$1:$G$69,5,0)</f>
        <v>面搭接</v>
      </c>
      <c r="L165" s="174" t="str">
        <f>VLOOKUP(B165,电搭接情况统计!$B$2:$H$423,7,0)</f>
        <v>C类，28V负极通过ERN回流；
R类，壳体线搭接</v>
      </c>
      <c r="M165" s="175">
        <f>VLOOKUP($B165,设备架接口信息!$A$1:$G$69,6,0)</f>
        <v>3.32</v>
      </c>
      <c r="N165" s="167" t="s">
        <v>25</v>
      </c>
      <c r="O165" s="179"/>
      <c r="P165" s="179"/>
      <c r="Q165" s="179"/>
      <c r="R165" s="179"/>
      <c r="S165" s="13" t="s">
        <v>322</v>
      </c>
      <c r="T165"/>
    </row>
    <row r="166" spans="1:20">
      <c r="A166" s="167" t="s">
        <v>252</v>
      </c>
      <c r="B166" s="184" t="s">
        <v>332</v>
      </c>
      <c r="C166" s="167" t="s">
        <v>330</v>
      </c>
      <c r="D166" s="174" t="s">
        <v>333</v>
      </c>
      <c r="E166" s="189" t="s">
        <v>1372</v>
      </c>
      <c r="F166" s="196" t="s">
        <v>334</v>
      </c>
      <c r="G166" s="171">
        <v>1</v>
      </c>
      <c r="H166" s="8" t="s">
        <v>26</v>
      </c>
      <c r="I166" s="172" t="s">
        <v>321</v>
      </c>
      <c r="J166" s="182" t="str">
        <f>VLOOKUP($B166,设备架接口信息!$A$1:$G$69,4,0)</f>
        <v>四角螺栓安装</v>
      </c>
      <c r="K166" s="175" t="str">
        <f>VLOOKUP($B166,设备架接口信息!$A$1:$G$69,5,0)</f>
        <v>面搭接</v>
      </c>
      <c r="L166" s="174" t="str">
        <f>VLOOKUP(B166,电搭接情况统计!$B$2:$H$423,7,0)</f>
        <v>C类，28V负极通过ERN回流；
R类，壳体线搭接</v>
      </c>
      <c r="M166" s="175">
        <f>VLOOKUP($B166,设备架接口信息!$A$1:$G$69,6,0)</f>
        <v>3.32</v>
      </c>
      <c r="N166" s="167" t="s">
        <v>25</v>
      </c>
      <c r="O166" s="179"/>
      <c r="P166" s="179"/>
      <c r="Q166" s="179"/>
      <c r="R166" s="179"/>
      <c r="S166" s="13" t="s">
        <v>322</v>
      </c>
      <c r="T166"/>
    </row>
    <row r="167" spans="1:20">
      <c r="A167" s="167" t="s">
        <v>252</v>
      </c>
      <c r="B167" s="184" t="s">
        <v>335</v>
      </c>
      <c r="C167" s="167" t="s">
        <v>336</v>
      </c>
      <c r="D167" s="174" t="s">
        <v>337</v>
      </c>
      <c r="E167" s="189" t="s">
        <v>1373</v>
      </c>
      <c r="F167" s="192" t="s">
        <v>338</v>
      </c>
      <c r="G167" s="171">
        <v>1</v>
      </c>
      <c r="H167" s="8" t="s">
        <v>26</v>
      </c>
      <c r="I167" s="172" t="s">
        <v>321</v>
      </c>
      <c r="J167" s="182" t="str">
        <f>VLOOKUP($B167,设备架接口信息!$A$1:$G$69,4,0)</f>
        <v>四角螺栓安装</v>
      </c>
      <c r="K167" s="175" t="str">
        <f>VLOOKUP($B167,设备架接口信息!$A$1:$G$69,5,0)</f>
        <v>线搭接</v>
      </c>
      <c r="L167" s="174" t="str">
        <f>VLOOKUP(B167,电搭接情况统计!$B$2:$H$423,7,0)</f>
        <v>C类，28V负极通过ERN回流；
R类，壳体线搭接</v>
      </c>
      <c r="M167" s="175">
        <f>VLOOKUP($B167,设备架接口信息!$A$1:$G$69,6,0)</f>
        <v>4.65</v>
      </c>
      <c r="N167" s="167" t="s">
        <v>25</v>
      </c>
      <c r="O167" s="179"/>
      <c r="P167" s="179"/>
      <c r="Q167" s="179"/>
      <c r="R167" s="179"/>
      <c r="S167" s="13" t="s">
        <v>322</v>
      </c>
      <c r="T167"/>
    </row>
    <row r="168" spans="1:20">
      <c r="A168" s="167" t="s">
        <v>252</v>
      </c>
      <c r="B168" s="184" t="s">
        <v>339</v>
      </c>
      <c r="C168" s="167" t="s">
        <v>336</v>
      </c>
      <c r="D168" s="174" t="s">
        <v>340</v>
      </c>
      <c r="E168" s="189" t="s">
        <v>1373</v>
      </c>
      <c r="F168" s="192" t="s">
        <v>338</v>
      </c>
      <c r="G168" s="171">
        <v>1</v>
      </c>
      <c r="H168" s="8" t="s">
        <v>26</v>
      </c>
      <c r="I168" s="172" t="s">
        <v>321</v>
      </c>
      <c r="J168" s="182" t="str">
        <f>VLOOKUP($B168,设备架接口信息!$A$1:$G$69,4,0)</f>
        <v>四角螺栓安装</v>
      </c>
      <c r="K168" s="175" t="str">
        <f>VLOOKUP($B168,设备架接口信息!$A$1:$G$69,5,0)</f>
        <v>线搭接</v>
      </c>
      <c r="L168" s="174" t="str">
        <f>VLOOKUP(B168,电搭接情况统计!$B$2:$H$423,7,0)</f>
        <v>C类，28V负极通过ERN回流；
R类，壳体线搭接</v>
      </c>
      <c r="M168" s="175">
        <f>VLOOKUP($B168,设备架接口信息!$A$1:$G$69,6,0)</f>
        <v>4.86</v>
      </c>
      <c r="N168" s="167" t="s">
        <v>25</v>
      </c>
      <c r="O168" s="179"/>
      <c r="P168" s="179"/>
      <c r="Q168" s="179"/>
      <c r="R168" s="179"/>
      <c r="S168" s="13" t="s">
        <v>322</v>
      </c>
      <c r="T168"/>
    </row>
    <row r="169" spans="1:20">
      <c r="A169" s="167" t="s">
        <v>252</v>
      </c>
      <c r="B169" s="184" t="s">
        <v>341</v>
      </c>
      <c r="C169" s="167" t="s">
        <v>342</v>
      </c>
      <c r="D169" s="178" t="s">
        <v>343</v>
      </c>
      <c r="E169" s="167"/>
      <c r="F169" s="183" t="s">
        <v>67</v>
      </c>
      <c r="G169" s="171">
        <v>1</v>
      </c>
      <c r="H169" s="8" t="s">
        <v>26</v>
      </c>
      <c r="I169" s="172"/>
      <c r="J169" s="173"/>
      <c r="K169" s="174"/>
      <c r="L169" s="174" t="str">
        <f>VLOOKUP(B169,电搭接情况统计!$B$2:$H$423,7,0)</f>
        <v>R类，壳体线搭接</v>
      </c>
      <c r="M169" s="175"/>
      <c r="N169" s="167" t="s">
        <v>25</v>
      </c>
      <c r="O169" s="179"/>
      <c r="P169" s="179"/>
      <c r="Q169" s="179"/>
      <c r="R169" s="179"/>
      <c r="S169" s="13" t="s">
        <v>27</v>
      </c>
      <c r="T169"/>
    </row>
    <row r="170" spans="1:20">
      <c r="A170" s="167" t="s">
        <v>252</v>
      </c>
      <c r="B170" s="184" t="s">
        <v>344</v>
      </c>
      <c r="C170" s="167" t="s">
        <v>342</v>
      </c>
      <c r="D170" s="178" t="s">
        <v>345</v>
      </c>
      <c r="E170" s="167"/>
      <c r="F170" s="183" t="s">
        <v>67</v>
      </c>
      <c r="G170" s="171">
        <v>1</v>
      </c>
      <c r="H170" s="8" t="s">
        <v>26</v>
      </c>
      <c r="I170" s="172"/>
      <c r="J170" s="173"/>
      <c r="K170" s="174"/>
      <c r="L170" s="174" t="str">
        <f>VLOOKUP(B170,电搭接情况统计!$B$2:$H$423,7,0)</f>
        <v>R类，壳体线搭接</v>
      </c>
      <c r="M170" s="175"/>
      <c r="N170" s="167" t="s">
        <v>25</v>
      </c>
      <c r="O170" s="179"/>
      <c r="P170" s="179"/>
      <c r="Q170" s="179"/>
      <c r="R170" s="179"/>
      <c r="S170" s="13" t="s">
        <v>27</v>
      </c>
      <c r="T170"/>
    </row>
    <row r="171" spans="1:20">
      <c r="A171" s="167" t="s">
        <v>252</v>
      </c>
      <c r="B171" s="184" t="s">
        <v>346</v>
      </c>
      <c r="C171" s="167" t="s">
        <v>347</v>
      </c>
      <c r="D171" s="178" t="s">
        <v>348</v>
      </c>
      <c r="E171" s="167"/>
      <c r="F171" s="183" t="s">
        <v>67</v>
      </c>
      <c r="G171" s="171">
        <v>1</v>
      </c>
      <c r="H171" s="8" t="s">
        <v>26</v>
      </c>
      <c r="I171" s="172"/>
      <c r="J171" s="173"/>
      <c r="K171" s="174"/>
      <c r="L171" s="174" t="str">
        <f>VLOOKUP(B171,电搭接情况统计!$B$2:$H$423,7,0)</f>
        <v>R类，壳体线搭接</v>
      </c>
      <c r="M171" s="175"/>
      <c r="N171" s="167" t="s">
        <v>25</v>
      </c>
      <c r="O171" s="179"/>
      <c r="P171" s="179"/>
      <c r="Q171" s="179"/>
      <c r="R171" s="179"/>
      <c r="S171" s="13" t="s">
        <v>27</v>
      </c>
      <c r="T171"/>
    </row>
    <row r="172" spans="1:20">
      <c r="A172" s="167" t="s">
        <v>252</v>
      </c>
      <c r="B172" s="184" t="s">
        <v>349</v>
      </c>
      <c r="C172" s="167" t="s">
        <v>347</v>
      </c>
      <c r="D172" s="178" t="s">
        <v>350</v>
      </c>
      <c r="E172" s="167"/>
      <c r="F172" s="183" t="s">
        <v>67</v>
      </c>
      <c r="G172" s="171">
        <v>1</v>
      </c>
      <c r="H172" s="8" t="s">
        <v>26</v>
      </c>
      <c r="I172" s="172"/>
      <c r="J172" s="173"/>
      <c r="K172" s="174"/>
      <c r="L172" s="174" t="str">
        <f>VLOOKUP(B172,电搭接情况统计!$B$2:$H$423,7,0)</f>
        <v>R类，壳体线搭接</v>
      </c>
      <c r="M172" s="175"/>
      <c r="N172" s="167" t="s">
        <v>25</v>
      </c>
      <c r="O172" s="179"/>
      <c r="P172" s="179"/>
      <c r="Q172" s="179"/>
      <c r="R172" s="179"/>
      <c r="S172" s="13" t="s">
        <v>27</v>
      </c>
      <c r="T172"/>
    </row>
    <row r="173" spans="1:20">
      <c r="A173" s="167" t="s">
        <v>252</v>
      </c>
      <c r="B173" s="184" t="s">
        <v>351</v>
      </c>
      <c r="C173" s="167" t="s">
        <v>352</v>
      </c>
      <c r="D173" s="178" t="s">
        <v>353</v>
      </c>
      <c r="E173" s="167"/>
      <c r="F173" s="183" t="s">
        <v>67</v>
      </c>
      <c r="G173" s="171">
        <v>1</v>
      </c>
      <c r="H173" s="8" t="s">
        <v>26</v>
      </c>
      <c r="I173" s="172"/>
      <c r="J173" s="173"/>
      <c r="K173" s="174"/>
      <c r="L173" s="174" t="str">
        <f>VLOOKUP(B173,电搭接情况统计!$B$2:$H$423,7,0)</f>
        <v>R类，壳体线搭接</v>
      </c>
      <c r="M173" s="175"/>
      <c r="N173" s="167" t="s">
        <v>25</v>
      </c>
      <c r="O173" s="179"/>
      <c r="P173" s="179"/>
      <c r="Q173" s="179"/>
      <c r="R173" s="179"/>
      <c r="S173" s="13" t="s">
        <v>27</v>
      </c>
      <c r="T173"/>
    </row>
    <row r="174" spans="1:20">
      <c r="A174" s="167" t="s">
        <v>252</v>
      </c>
      <c r="B174" s="184" t="s">
        <v>354</v>
      </c>
      <c r="C174" s="167" t="s">
        <v>352</v>
      </c>
      <c r="D174" s="178" t="s">
        <v>355</v>
      </c>
      <c r="E174" s="167"/>
      <c r="F174" s="183" t="s">
        <v>67</v>
      </c>
      <c r="G174" s="171">
        <v>1</v>
      </c>
      <c r="H174" s="8" t="s">
        <v>26</v>
      </c>
      <c r="I174" s="172"/>
      <c r="J174" s="173"/>
      <c r="K174" s="174"/>
      <c r="L174" s="174" t="str">
        <f>VLOOKUP(B174,电搭接情况统计!$B$2:$H$423,7,0)</f>
        <v>R类，壳体线搭接</v>
      </c>
      <c r="M174" s="175"/>
      <c r="N174" s="167" t="s">
        <v>25</v>
      </c>
      <c r="O174" s="179"/>
      <c r="P174" s="179"/>
      <c r="Q174" s="179"/>
      <c r="R174" s="179"/>
      <c r="S174" s="13" t="s">
        <v>27</v>
      </c>
      <c r="T174"/>
    </row>
    <row r="175" spans="1:20">
      <c r="A175" s="167" t="s">
        <v>252</v>
      </c>
      <c r="B175" s="184" t="s">
        <v>356</v>
      </c>
      <c r="C175" s="167" t="s">
        <v>357</v>
      </c>
      <c r="D175" s="178" t="s">
        <v>358</v>
      </c>
      <c r="E175" s="167"/>
      <c r="F175" s="183" t="s">
        <v>67</v>
      </c>
      <c r="G175" s="171">
        <v>1</v>
      </c>
      <c r="H175" s="8" t="s">
        <v>26</v>
      </c>
      <c r="I175" s="172"/>
      <c r="J175" s="173"/>
      <c r="K175" s="174"/>
      <c r="L175" s="174" t="str">
        <f>VLOOKUP(B175,电搭接情况统计!$B$2:$H$423,7,0)</f>
        <v>R类，壳体线搭接</v>
      </c>
      <c r="M175" s="175"/>
      <c r="N175" s="167" t="s">
        <v>25</v>
      </c>
      <c r="O175" s="179"/>
      <c r="P175" s="179"/>
      <c r="Q175" s="179"/>
      <c r="R175" s="179"/>
      <c r="S175" s="13" t="s">
        <v>27</v>
      </c>
      <c r="T175"/>
    </row>
    <row r="176" spans="1:20">
      <c r="A176" s="167" t="s">
        <v>252</v>
      </c>
      <c r="B176" s="184" t="s">
        <v>359</v>
      </c>
      <c r="C176" s="167" t="s">
        <v>357</v>
      </c>
      <c r="D176" s="178" t="s">
        <v>360</v>
      </c>
      <c r="E176" s="167"/>
      <c r="F176" s="183" t="s">
        <v>67</v>
      </c>
      <c r="G176" s="171">
        <v>1</v>
      </c>
      <c r="H176" s="8" t="s">
        <v>26</v>
      </c>
      <c r="I176" s="172"/>
      <c r="J176" s="173"/>
      <c r="K176" s="174"/>
      <c r="L176" s="174" t="str">
        <f>VLOOKUP(B176,电搭接情况统计!$B$2:$H$423,7,0)</f>
        <v>R类，壳体线搭接</v>
      </c>
      <c r="M176" s="175"/>
      <c r="N176" s="167" t="s">
        <v>25</v>
      </c>
      <c r="O176" s="179"/>
      <c r="P176" s="179"/>
      <c r="Q176" s="179"/>
      <c r="R176" s="179"/>
      <c r="S176" s="13" t="s">
        <v>27</v>
      </c>
      <c r="T176"/>
    </row>
    <row r="177" spans="1:20">
      <c r="A177" s="167" t="s">
        <v>252</v>
      </c>
      <c r="B177" s="184" t="s">
        <v>361</v>
      </c>
      <c r="C177" s="167" t="s">
        <v>362</v>
      </c>
      <c r="D177" s="178" t="s">
        <v>363</v>
      </c>
      <c r="E177" s="167"/>
      <c r="F177" s="183" t="s">
        <v>364</v>
      </c>
      <c r="G177" s="171">
        <v>2</v>
      </c>
      <c r="H177" s="8" t="s">
        <v>26</v>
      </c>
      <c r="I177" s="172"/>
      <c r="J177" s="173"/>
      <c r="K177" s="174"/>
      <c r="L177" s="174" t="str">
        <f>VLOOKUP(B177,电搭接情况统计!$B$2:$H$423,7,0)</f>
        <v>C类</v>
      </c>
      <c r="M177" s="175"/>
      <c r="N177" s="167" t="s">
        <v>25</v>
      </c>
      <c r="O177" s="179"/>
      <c r="P177" s="179"/>
      <c r="Q177" s="179"/>
      <c r="R177" s="179"/>
      <c r="S177" s="13" t="s">
        <v>27</v>
      </c>
      <c r="T177"/>
    </row>
    <row r="178" spans="1:20">
      <c r="A178" s="167" t="s">
        <v>365</v>
      </c>
      <c r="B178" s="146" t="s">
        <v>366</v>
      </c>
      <c r="C178" s="167" t="s">
        <v>367</v>
      </c>
      <c r="D178" s="174" t="s">
        <v>368</v>
      </c>
      <c r="E178" s="167" t="s">
        <v>369</v>
      </c>
      <c r="F178" s="183" t="s">
        <v>119</v>
      </c>
      <c r="G178" s="171">
        <v>2</v>
      </c>
      <c r="H178" s="8" t="s">
        <v>26</v>
      </c>
      <c r="I178" s="172" t="s">
        <v>370</v>
      </c>
      <c r="J178" s="173" t="s">
        <v>371</v>
      </c>
      <c r="K178" s="174" t="s">
        <v>372</v>
      </c>
      <c r="L178" s="174"/>
      <c r="M178" s="175">
        <v>2.7</v>
      </c>
      <c r="N178" s="167" t="s">
        <v>25</v>
      </c>
      <c r="O178" s="179"/>
      <c r="P178" s="179"/>
      <c r="Q178" s="179"/>
      <c r="R178" s="179"/>
      <c r="T178"/>
    </row>
    <row r="179" spans="1:20">
      <c r="A179" s="167" t="s">
        <v>365</v>
      </c>
      <c r="B179" s="146" t="s">
        <v>373</v>
      </c>
      <c r="C179" s="167" t="s">
        <v>374</v>
      </c>
      <c r="D179" s="174" t="s">
        <v>375</v>
      </c>
      <c r="E179" s="167" t="s">
        <v>369</v>
      </c>
      <c r="F179" s="183" t="s">
        <v>119</v>
      </c>
      <c r="G179" s="171">
        <v>2</v>
      </c>
      <c r="H179" s="8" t="s">
        <v>26</v>
      </c>
      <c r="I179" s="172" t="s">
        <v>370</v>
      </c>
      <c r="J179" s="173" t="s">
        <v>371</v>
      </c>
      <c r="K179" s="174" t="s">
        <v>372</v>
      </c>
      <c r="L179" s="174"/>
      <c r="M179" s="175">
        <v>2.7</v>
      </c>
      <c r="N179" s="167" t="s">
        <v>25</v>
      </c>
      <c r="O179" s="179"/>
      <c r="P179" s="179"/>
      <c r="Q179" s="179"/>
      <c r="R179" s="179"/>
      <c r="T179"/>
    </row>
    <row r="180" spans="1:20">
      <c r="A180" s="167" t="s">
        <v>365</v>
      </c>
      <c r="B180" s="146" t="s">
        <v>376</v>
      </c>
      <c r="C180" s="167" t="s">
        <v>377</v>
      </c>
      <c r="D180" s="178" t="s">
        <v>378</v>
      </c>
      <c r="E180" s="167"/>
      <c r="F180" s="183" t="s">
        <v>379</v>
      </c>
      <c r="G180" s="171">
        <v>2</v>
      </c>
      <c r="H180" s="8" t="s">
        <v>26</v>
      </c>
      <c r="I180" s="172"/>
      <c r="J180" s="173" t="s">
        <v>380</v>
      </c>
      <c r="K180" s="174"/>
      <c r="L180" s="174"/>
      <c r="M180" s="175">
        <v>0.669</v>
      </c>
      <c r="N180" s="167" t="s">
        <v>25</v>
      </c>
      <c r="O180" s="179"/>
      <c r="P180" s="179"/>
      <c r="Q180" s="179"/>
      <c r="R180" s="179"/>
      <c r="T180"/>
    </row>
    <row r="181" spans="1:20">
      <c r="A181" s="167" t="s">
        <v>365</v>
      </c>
      <c r="B181" s="146" t="s">
        <v>382</v>
      </c>
      <c r="C181" s="167" t="s">
        <v>383</v>
      </c>
      <c r="D181" s="178" t="s">
        <v>384</v>
      </c>
      <c r="E181" s="167"/>
      <c r="F181" s="183" t="s">
        <v>379</v>
      </c>
      <c r="G181" s="171">
        <v>2</v>
      </c>
      <c r="H181" s="8" t="s">
        <v>26</v>
      </c>
      <c r="I181" s="172"/>
      <c r="J181" s="173" t="s">
        <v>380</v>
      </c>
      <c r="K181" s="174" t="s">
        <v>372</v>
      </c>
      <c r="L181" s="174"/>
      <c r="M181" s="175">
        <v>0.669</v>
      </c>
      <c r="N181" s="167" t="s">
        <v>25</v>
      </c>
      <c r="O181" s="179"/>
      <c r="P181" s="179"/>
      <c r="Q181" s="179"/>
      <c r="R181" s="179"/>
      <c r="T181"/>
    </row>
    <row r="182" spans="1:20">
      <c r="A182" s="167" t="s">
        <v>365</v>
      </c>
      <c r="B182" s="184" t="s">
        <v>385</v>
      </c>
      <c r="C182" s="167" t="s">
        <v>386</v>
      </c>
      <c r="D182" s="178" t="s">
        <v>387</v>
      </c>
      <c r="E182" s="167"/>
      <c r="F182" s="183" t="s">
        <v>388</v>
      </c>
      <c r="G182" s="171">
        <v>1</v>
      </c>
      <c r="H182" s="8" t="s">
        <v>26</v>
      </c>
      <c r="I182" s="172"/>
      <c r="J182" s="173" t="s">
        <v>389</v>
      </c>
      <c r="K182" s="174" t="s">
        <v>372</v>
      </c>
      <c r="L182" s="174"/>
      <c r="M182" s="175">
        <v>3.32</v>
      </c>
      <c r="N182" s="167" t="s">
        <v>25</v>
      </c>
      <c r="O182" s="179"/>
      <c r="P182" s="179"/>
      <c r="Q182" s="179"/>
      <c r="R182" s="179"/>
      <c r="T182"/>
    </row>
    <row r="183" spans="1:20">
      <c r="A183" s="167" t="s">
        <v>365</v>
      </c>
      <c r="B183" s="184" t="s">
        <v>390</v>
      </c>
      <c r="C183" s="167" t="s">
        <v>391</v>
      </c>
      <c r="D183" s="178" t="s">
        <v>392</v>
      </c>
      <c r="E183" s="167"/>
      <c r="F183" s="183" t="s">
        <v>388</v>
      </c>
      <c r="G183" s="171">
        <v>1</v>
      </c>
      <c r="H183" s="8" t="s">
        <v>26</v>
      </c>
      <c r="I183" s="172"/>
      <c r="J183" s="173" t="s">
        <v>389</v>
      </c>
      <c r="K183" s="174"/>
      <c r="L183" s="174"/>
      <c r="M183" s="175">
        <v>3.32</v>
      </c>
      <c r="N183" s="167" t="s">
        <v>25</v>
      </c>
      <c r="O183" s="179"/>
      <c r="P183" s="179"/>
      <c r="Q183" s="179"/>
      <c r="R183" s="179"/>
      <c r="S183" s="13" t="s">
        <v>27</v>
      </c>
      <c r="T183"/>
    </row>
    <row r="184" spans="1:20">
      <c r="A184" s="167" t="s">
        <v>365</v>
      </c>
      <c r="B184" s="146" t="s">
        <v>393</v>
      </c>
      <c r="C184" s="167" t="s">
        <v>394</v>
      </c>
      <c r="D184" s="178" t="s">
        <v>395</v>
      </c>
      <c r="E184" s="167"/>
      <c r="F184" s="183" t="s">
        <v>379</v>
      </c>
      <c r="G184" s="171">
        <v>2</v>
      </c>
      <c r="H184" s="8" t="s">
        <v>26</v>
      </c>
      <c r="I184" s="172"/>
      <c r="J184" s="173" t="s">
        <v>380</v>
      </c>
      <c r="K184" s="174"/>
      <c r="L184" s="174"/>
      <c r="M184" s="175">
        <v>0.249</v>
      </c>
      <c r="N184" s="167" t="s">
        <v>25</v>
      </c>
      <c r="O184" s="179"/>
      <c r="P184" s="179"/>
      <c r="Q184" s="179"/>
      <c r="R184" s="179"/>
      <c r="S184" s="13" t="s">
        <v>27</v>
      </c>
      <c r="T184"/>
    </row>
    <row r="185" spans="1:20">
      <c r="A185" s="167" t="s">
        <v>365</v>
      </c>
      <c r="B185" s="146" t="s">
        <v>396</v>
      </c>
      <c r="C185" s="167" t="s">
        <v>397</v>
      </c>
      <c r="D185" s="178" t="s">
        <v>398</v>
      </c>
      <c r="E185" s="167"/>
      <c r="F185" s="183" t="s">
        <v>379</v>
      </c>
      <c r="G185" s="171">
        <v>2</v>
      </c>
      <c r="H185" s="8" t="s">
        <v>26</v>
      </c>
      <c r="I185" s="172"/>
      <c r="J185" s="173" t="s">
        <v>380</v>
      </c>
      <c r="K185" s="174"/>
      <c r="L185" s="174"/>
      <c r="M185" s="175">
        <v>0.249</v>
      </c>
      <c r="N185" s="167" t="s">
        <v>25</v>
      </c>
      <c r="O185" s="179"/>
      <c r="P185" s="179"/>
      <c r="Q185" s="179"/>
      <c r="R185" s="179"/>
      <c r="S185" s="13" t="s">
        <v>27</v>
      </c>
      <c r="T185"/>
    </row>
    <row r="186" spans="1:20">
      <c r="A186" s="167" t="s">
        <v>365</v>
      </c>
      <c r="B186" s="146" t="s">
        <v>399</v>
      </c>
      <c r="C186" s="167" t="s">
        <v>400</v>
      </c>
      <c r="D186" s="178" t="s">
        <v>401</v>
      </c>
      <c r="E186" s="167"/>
      <c r="F186" s="183" t="s">
        <v>379</v>
      </c>
      <c r="G186" s="171">
        <v>2</v>
      </c>
      <c r="H186" s="8" t="s">
        <v>26</v>
      </c>
      <c r="I186" s="172"/>
      <c r="J186" s="173" t="s">
        <v>402</v>
      </c>
      <c r="K186" s="174"/>
      <c r="L186" s="174"/>
      <c r="M186" s="175">
        <v>0.04</v>
      </c>
      <c r="N186" s="167" t="s">
        <v>25</v>
      </c>
      <c r="O186" s="179"/>
      <c r="P186" s="179"/>
      <c r="Q186" s="179"/>
      <c r="R186" s="179"/>
      <c r="S186" s="13" t="s">
        <v>27</v>
      </c>
      <c r="T186"/>
    </row>
    <row r="187" spans="1:20">
      <c r="A187" s="167" t="s">
        <v>365</v>
      </c>
      <c r="B187" s="184" t="s">
        <v>403</v>
      </c>
      <c r="C187" s="167" t="s">
        <v>404</v>
      </c>
      <c r="D187" s="178" t="s">
        <v>405</v>
      </c>
      <c r="E187" s="167"/>
      <c r="F187" s="183" t="s">
        <v>119</v>
      </c>
      <c r="G187" s="171">
        <v>1</v>
      </c>
      <c r="H187" s="8" t="s">
        <v>26</v>
      </c>
      <c r="I187" s="172"/>
      <c r="J187" s="173" t="s">
        <v>380</v>
      </c>
      <c r="K187" s="174" t="s">
        <v>372</v>
      </c>
      <c r="L187" s="174"/>
      <c r="M187" s="175">
        <v>0.7</v>
      </c>
      <c r="N187" s="167" t="s">
        <v>51</v>
      </c>
      <c r="O187" s="179"/>
      <c r="P187" s="179"/>
      <c r="Q187" s="179"/>
      <c r="R187" s="179"/>
      <c r="S187" s="13" t="s">
        <v>27</v>
      </c>
      <c r="T187"/>
    </row>
    <row r="188" spans="1:20">
      <c r="A188" s="167" t="s">
        <v>365</v>
      </c>
      <c r="B188" s="184" t="s">
        <v>407</v>
      </c>
      <c r="C188" s="167" t="s">
        <v>408</v>
      </c>
      <c r="D188" s="178" t="s">
        <v>409</v>
      </c>
      <c r="E188" s="167"/>
      <c r="F188" s="183" t="s">
        <v>119</v>
      </c>
      <c r="G188" s="171">
        <v>1</v>
      </c>
      <c r="H188" s="8" t="s">
        <v>26</v>
      </c>
      <c r="I188" s="172"/>
      <c r="J188" s="173" t="s">
        <v>380</v>
      </c>
      <c r="K188" s="174" t="s">
        <v>372</v>
      </c>
      <c r="L188" s="174"/>
      <c r="M188" s="175">
        <v>0.7</v>
      </c>
      <c r="N188" s="167" t="s">
        <v>51</v>
      </c>
      <c r="O188" s="179"/>
      <c r="P188" s="179"/>
      <c r="Q188" s="179"/>
      <c r="R188" s="179"/>
      <c r="S188" s="13" t="s">
        <v>27</v>
      </c>
      <c r="T188"/>
    </row>
    <row r="189" spans="1:20">
      <c r="A189" s="167" t="s">
        <v>365</v>
      </c>
      <c r="B189" s="146" t="s">
        <v>410</v>
      </c>
      <c r="C189" s="167" t="s">
        <v>411</v>
      </c>
      <c r="D189" s="178" t="s">
        <v>412</v>
      </c>
      <c r="E189" s="167"/>
      <c r="F189" s="183" t="s">
        <v>379</v>
      </c>
      <c r="G189" s="171">
        <v>1</v>
      </c>
      <c r="H189" s="8" t="s">
        <v>26</v>
      </c>
      <c r="I189" s="172"/>
      <c r="J189" s="173" t="s">
        <v>380</v>
      </c>
      <c r="K189" s="174"/>
      <c r="L189" s="174"/>
      <c r="M189" s="175">
        <v>0.1</v>
      </c>
      <c r="N189" s="167" t="s">
        <v>51</v>
      </c>
      <c r="O189" s="179"/>
      <c r="P189" s="179"/>
      <c r="Q189" s="179"/>
      <c r="R189" s="179"/>
      <c r="S189" s="13" t="s">
        <v>27</v>
      </c>
      <c r="T189"/>
    </row>
    <row r="190" spans="1:20">
      <c r="A190" s="167" t="s">
        <v>365</v>
      </c>
      <c r="B190" s="184" t="s">
        <v>1374</v>
      </c>
      <c r="C190" s="167" t="s">
        <v>1375</v>
      </c>
      <c r="D190" s="178" t="s">
        <v>1376</v>
      </c>
      <c r="E190" s="167"/>
      <c r="F190" s="183" t="s">
        <v>1377</v>
      </c>
      <c r="G190" s="171">
        <v>1</v>
      </c>
      <c r="H190" s="8" t="s">
        <v>26</v>
      </c>
      <c r="I190" s="172"/>
      <c r="J190" s="173"/>
      <c r="K190" s="174"/>
      <c r="L190" s="174"/>
      <c r="M190" s="175"/>
      <c r="N190" s="167" t="s">
        <v>25</v>
      </c>
      <c r="O190" s="179"/>
      <c r="P190" s="179"/>
      <c r="Q190" s="179"/>
      <c r="R190" s="179"/>
      <c r="S190" s="174" t="s">
        <v>1378</v>
      </c>
      <c r="T190"/>
    </row>
    <row r="191" spans="1:20">
      <c r="A191" s="167" t="s">
        <v>365</v>
      </c>
      <c r="B191" s="184" t="s">
        <v>413</v>
      </c>
      <c r="C191" s="167" t="s">
        <v>414</v>
      </c>
      <c r="D191" s="178" t="s">
        <v>415</v>
      </c>
      <c r="E191" s="167"/>
      <c r="F191" s="183" t="s">
        <v>186</v>
      </c>
      <c r="G191" s="171">
        <v>1</v>
      </c>
      <c r="H191" s="8" t="s">
        <v>26</v>
      </c>
      <c r="I191" s="172"/>
      <c r="J191" s="173"/>
      <c r="K191" s="174"/>
      <c r="L191" s="174"/>
      <c r="M191" s="175"/>
      <c r="N191" s="167" t="s">
        <v>25</v>
      </c>
      <c r="O191" s="179"/>
      <c r="P191" s="179"/>
      <c r="Q191" s="179"/>
      <c r="R191" s="179"/>
      <c r="S191" s="13" t="s">
        <v>27</v>
      </c>
      <c r="T191" s="197" t="s">
        <v>416</v>
      </c>
    </row>
    <row r="192" spans="1:20">
      <c r="A192" s="167" t="s">
        <v>365</v>
      </c>
      <c r="B192" s="184" t="s">
        <v>417</v>
      </c>
      <c r="C192" s="167" t="s">
        <v>418</v>
      </c>
      <c r="D192" s="178" t="s">
        <v>419</v>
      </c>
      <c r="E192" s="167"/>
      <c r="F192" s="183" t="s">
        <v>186</v>
      </c>
      <c r="G192" s="171">
        <v>1</v>
      </c>
      <c r="H192" s="8" t="s">
        <v>26</v>
      </c>
      <c r="I192" s="172"/>
      <c r="J192" s="173"/>
      <c r="K192" s="174"/>
      <c r="L192" s="174"/>
      <c r="M192" s="175"/>
      <c r="N192" s="167" t="s">
        <v>25</v>
      </c>
      <c r="O192" s="179"/>
      <c r="P192" s="179"/>
      <c r="Q192" s="179"/>
      <c r="R192" s="179"/>
      <c r="S192" s="13" t="s">
        <v>27</v>
      </c>
      <c r="T192" s="197" t="s">
        <v>416</v>
      </c>
    </row>
    <row r="193" spans="1:20">
      <c r="A193" s="167" t="s">
        <v>420</v>
      </c>
      <c r="B193" s="146" t="s">
        <v>421</v>
      </c>
      <c r="C193" s="167" t="s">
        <v>422</v>
      </c>
      <c r="D193" s="178" t="s">
        <v>423</v>
      </c>
      <c r="E193" s="167"/>
      <c r="F193" s="183" t="s">
        <v>44</v>
      </c>
      <c r="G193" s="171">
        <v>2</v>
      </c>
      <c r="H193" s="8" t="s">
        <v>26</v>
      </c>
      <c r="I193" s="172"/>
      <c r="J193" s="173"/>
      <c r="K193" s="174"/>
      <c r="L193" s="174" t="str">
        <f>VLOOKUP(B193,电搭接情况统计!$B$2:$H$423,7,0)</f>
        <v>C类</v>
      </c>
      <c r="M193" s="175"/>
      <c r="N193" s="167" t="s">
        <v>25</v>
      </c>
      <c r="O193" s="179"/>
      <c r="P193" s="179"/>
      <c r="Q193" s="179"/>
      <c r="R193" s="179"/>
      <c r="S193" s="13" t="s">
        <v>136</v>
      </c>
      <c r="T193"/>
    </row>
    <row r="194" spans="1:20">
      <c r="A194" s="167" t="s">
        <v>420</v>
      </c>
      <c r="B194" s="184" t="s">
        <v>424</v>
      </c>
      <c r="C194" s="167" t="s">
        <v>425</v>
      </c>
      <c r="D194" s="178" t="s">
        <v>426</v>
      </c>
      <c r="E194" s="167"/>
      <c r="F194" s="183" t="s">
        <v>364</v>
      </c>
      <c r="G194" s="171">
        <v>2</v>
      </c>
      <c r="H194" s="8" t="s">
        <v>26</v>
      </c>
      <c r="I194" s="172"/>
      <c r="J194" s="173"/>
      <c r="K194" s="174"/>
      <c r="L194" s="174" t="str">
        <f>VLOOKUP(B194,电搭接情况统计!$B$2:$H$423,7,0)</f>
        <v>NA</v>
      </c>
      <c r="M194" s="175"/>
      <c r="N194" s="167" t="s">
        <v>25</v>
      </c>
      <c r="O194" s="179"/>
      <c r="P194" s="179"/>
      <c r="Q194" s="179"/>
      <c r="R194" s="179"/>
      <c r="S194" s="13" t="s">
        <v>27</v>
      </c>
      <c r="T194"/>
    </row>
    <row r="195" spans="1:20">
      <c r="A195" s="167" t="s">
        <v>420</v>
      </c>
      <c r="B195" s="146" t="s">
        <v>427</v>
      </c>
      <c r="C195" s="167" t="s">
        <v>428</v>
      </c>
      <c r="D195" s="178" t="s">
        <v>429</v>
      </c>
      <c r="E195" s="167"/>
      <c r="F195" s="183" t="s">
        <v>44</v>
      </c>
      <c r="G195" s="171">
        <v>2</v>
      </c>
      <c r="H195" s="8" t="s">
        <v>26</v>
      </c>
      <c r="I195" s="172"/>
      <c r="J195" s="173"/>
      <c r="K195" s="174"/>
      <c r="L195" s="174" t="str">
        <f>VLOOKUP(B195,电搭接情况统计!$B$2:$H$423,7,0)</f>
        <v>C类</v>
      </c>
      <c r="M195" s="175"/>
      <c r="N195" s="167" t="s">
        <v>25</v>
      </c>
      <c r="O195" s="179"/>
      <c r="P195" s="179"/>
      <c r="Q195" s="179"/>
      <c r="R195" s="179"/>
      <c r="S195" s="13" t="s">
        <v>27</v>
      </c>
      <c r="T195"/>
    </row>
    <row r="196" spans="1:20">
      <c r="A196" s="167" t="s">
        <v>420</v>
      </c>
      <c r="B196" s="146" t="s">
        <v>430</v>
      </c>
      <c r="C196" s="167" t="s">
        <v>431</v>
      </c>
      <c r="D196" s="178" t="s">
        <v>432</v>
      </c>
      <c r="E196" s="167"/>
      <c r="F196" s="183" t="s">
        <v>44</v>
      </c>
      <c r="G196" s="171">
        <v>2</v>
      </c>
      <c r="H196" s="8" t="s">
        <v>26</v>
      </c>
      <c r="I196" s="172"/>
      <c r="J196" s="173"/>
      <c r="K196" s="174"/>
      <c r="L196" s="174" t="str">
        <f>VLOOKUP(B196,电搭接情况统计!$B$2:$H$423,7,0)</f>
        <v>C类</v>
      </c>
      <c r="M196" s="175"/>
      <c r="N196" s="167" t="s">
        <v>25</v>
      </c>
      <c r="O196" s="179"/>
      <c r="P196" s="179"/>
      <c r="Q196" s="179"/>
      <c r="R196" s="179"/>
      <c r="S196" s="13" t="s">
        <v>27</v>
      </c>
      <c r="T196"/>
    </row>
    <row r="197" spans="1:20">
      <c r="A197" s="167" t="s">
        <v>420</v>
      </c>
      <c r="B197" s="184" t="s">
        <v>433</v>
      </c>
      <c r="C197" s="167" t="s">
        <v>434</v>
      </c>
      <c r="D197" s="174" t="s">
        <v>435</v>
      </c>
      <c r="E197" s="189" t="s">
        <v>1379</v>
      </c>
      <c r="F197" s="196" t="s">
        <v>1380</v>
      </c>
      <c r="G197" s="171">
        <v>1</v>
      </c>
      <c r="H197" s="8" t="s">
        <v>26</v>
      </c>
      <c r="I197" s="172"/>
      <c r="J197" s="182" t="str">
        <f>VLOOKUP($B197,设备架接口信息!$A$1:$G$69,4,0)</f>
        <v>非标托架，C类锁紧器</v>
      </c>
      <c r="K197" s="175" t="str">
        <f>VLOOKUP($B197,设备架接口信息!$A$1:$G$69,5,0)</f>
        <v>线搭接</v>
      </c>
      <c r="L197" s="174" t="str">
        <f>VLOOKUP(B197,电搭接情况统计!$B$2:$H$423,7,0)</f>
        <v>C类</v>
      </c>
      <c r="M197" s="175">
        <f>VLOOKUP($B197,设备架接口信息!$A$1:$G$69,6,0)</f>
        <v>6.665</v>
      </c>
      <c r="N197" s="167" t="s">
        <v>25</v>
      </c>
      <c r="O197" s="179"/>
      <c r="P197" s="179"/>
      <c r="Q197" s="179"/>
      <c r="R197" s="179"/>
      <c r="S197" s="67" t="s">
        <v>37</v>
      </c>
      <c r="T197"/>
    </row>
    <row r="198" spans="1:20">
      <c r="A198" s="167" t="s">
        <v>420</v>
      </c>
      <c r="B198" s="184" t="s">
        <v>436</v>
      </c>
      <c r="C198" s="167" t="s">
        <v>434</v>
      </c>
      <c r="D198" s="174" t="s">
        <v>437</v>
      </c>
      <c r="E198" s="189" t="s">
        <v>1379</v>
      </c>
      <c r="F198" s="196" t="s">
        <v>1381</v>
      </c>
      <c r="G198" s="171">
        <v>1</v>
      </c>
      <c r="H198" s="8" t="s">
        <v>26</v>
      </c>
      <c r="I198" s="172"/>
      <c r="J198" s="182" t="str">
        <f>VLOOKUP($B198,设备架接口信息!$A$1:$G$69,4,0)</f>
        <v>非标托架，C类锁紧器</v>
      </c>
      <c r="K198" s="175" t="str">
        <f>VLOOKUP($B198,设备架接口信息!$A$1:$G$69,5,0)</f>
        <v>面搭接</v>
      </c>
      <c r="L198" s="174" t="str">
        <f>VLOOKUP(B198,电搭接情况统计!$B$2:$H$423,7,0)</f>
        <v>C类</v>
      </c>
      <c r="M198" s="175">
        <f>VLOOKUP($B198,设备架接口信息!$A$1:$G$69,6,0)</f>
        <v>6.665</v>
      </c>
      <c r="N198" s="167" t="s">
        <v>25</v>
      </c>
      <c r="O198" s="179"/>
      <c r="P198" s="179"/>
      <c r="Q198" s="179"/>
      <c r="R198" s="179"/>
      <c r="S198" s="67" t="s">
        <v>37</v>
      </c>
      <c r="T198"/>
    </row>
    <row r="199" spans="1:20">
      <c r="A199" s="167" t="s">
        <v>438</v>
      </c>
      <c r="B199" s="184" t="s">
        <v>439</v>
      </c>
      <c r="C199" s="167" t="s">
        <v>440</v>
      </c>
      <c r="D199" s="178" t="s">
        <v>441</v>
      </c>
      <c r="E199" s="167"/>
      <c r="F199" s="183" t="s">
        <v>442</v>
      </c>
      <c r="G199" s="171">
        <v>1</v>
      </c>
      <c r="H199" s="8" t="s">
        <v>26</v>
      </c>
      <c r="I199" s="172"/>
      <c r="J199" s="173"/>
      <c r="K199" s="174"/>
      <c r="L199" s="174" t="str">
        <f>VLOOKUP(B199,电搭接情况统计!$B$2:$H$423,7,0)</f>
        <v>CPS1330</v>
      </c>
      <c r="M199" s="175"/>
      <c r="N199" s="167"/>
      <c r="O199" s="179"/>
      <c r="P199" s="179"/>
      <c r="Q199" s="179"/>
      <c r="R199" s="179"/>
      <c r="S199" s="13" t="s">
        <v>27</v>
      </c>
      <c r="T199"/>
    </row>
    <row r="200" spans="1:20">
      <c r="A200" s="167" t="s">
        <v>438</v>
      </c>
      <c r="B200" s="198" t="s">
        <v>443</v>
      </c>
      <c r="C200" s="167" t="s">
        <v>440</v>
      </c>
      <c r="D200" s="178" t="s">
        <v>444</v>
      </c>
      <c r="E200" s="189" t="s">
        <v>1382</v>
      </c>
      <c r="F200" s="183" t="s">
        <v>442</v>
      </c>
      <c r="G200" s="171">
        <v>1</v>
      </c>
      <c r="H200" s="8" t="s">
        <v>26</v>
      </c>
      <c r="I200" s="172"/>
      <c r="J200" s="173"/>
      <c r="K200" s="174"/>
      <c r="L200" s="174" t="str">
        <f>VLOOKUP(B200,电搭接情况统计!$B$2:$H$423,7,0)</f>
        <v>CPS1330</v>
      </c>
      <c r="M200" s="175"/>
      <c r="N200" s="167"/>
      <c r="O200" s="179"/>
      <c r="P200" s="179"/>
      <c r="Q200" s="179"/>
      <c r="R200" s="179"/>
      <c r="S200" s="13" t="s">
        <v>27</v>
      </c>
      <c r="T200"/>
    </row>
    <row r="201" spans="1:20">
      <c r="A201" s="167" t="s">
        <v>438</v>
      </c>
      <c r="B201" s="198" t="s">
        <v>445</v>
      </c>
      <c r="C201" s="167" t="s">
        <v>440</v>
      </c>
      <c r="D201" s="178" t="s">
        <v>446</v>
      </c>
      <c r="E201" s="189" t="s">
        <v>1382</v>
      </c>
      <c r="F201" s="183" t="s">
        <v>442</v>
      </c>
      <c r="G201" s="171">
        <v>1</v>
      </c>
      <c r="H201" s="8" t="s">
        <v>26</v>
      </c>
      <c r="I201" s="172"/>
      <c r="J201" s="173"/>
      <c r="K201" s="174"/>
      <c r="L201" s="174" t="str">
        <f>VLOOKUP(B201,电搭接情况统计!$B$2:$H$423,7,0)</f>
        <v>CPS1330</v>
      </c>
      <c r="M201" s="175"/>
      <c r="N201" s="167"/>
      <c r="O201" s="179"/>
      <c r="P201" s="179"/>
      <c r="Q201" s="179"/>
      <c r="R201" s="179"/>
      <c r="S201" s="13" t="s">
        <v>27</v>
      </c>
      <c r="T201"/>
    </row>
    <row r="202" spans="1:20">
      <c r="A202" s="167" t="s">
        <v>438</v>
      </c>
      <c r="B202" s="198" t="s">
        <v>447</v>
      </c>
      <c r="C202" s="167" t="s">
        <v>440</v>
      </c>
      <c r="D202" s="178" t="s">
        <v>448</v>
      </c>
      <c r="E202" s="189" t="s">
        <v>1382</v>
      </c>
      <c r="F202" s="183" t="s">
        <v>442</v>
      </c>
      <c r="G202" s="171">
        <v>1</v>
      </c>
      <c r="H202" s="8" t="s">
        <v>26</v>
      </c>
      <c r="I202" s="172"/>
      <c r="J202" s="173"/>
      <c r="K202" s="174"/>
      <c r="L202" s="174" t="str">
        <f>VLOOKUP(B202,电搭接情况统计!$B$2:$H$423,7,0)</f>
        <v>CPS1330</v>
      </c>
      <c r="M202" s="175"/>
      <c r="N202" s="167"/>
      <c r="O202" s="179"/>
      <c r="P202" s="179"/>
      <c r="Q202" s="179"/>
      <c r="R202" s="179"/>
      <c r="S202" s="13" t="s">
        <v>27</v>
      </c>
      <c r="T202"/>
    </row>
    <row r="203" spans="1:20">
      <c r="A203" s="167" t="s">
        <v>438</v>
      </c>
      <c r="B203" s="198" t="s">
        <v>449</v>
      </c>
      <c r="C203" s="167" t="s">
        <v>440</v>
      </c>
      <c r="D203" s="178" t="s">
        <v>450</v>
      </c>
      <c r="E203" s="189" t="s">
        <v>1382</v>
      </c>
      <c r="F203" s="183" t="s">
        <v>442</v>
      </c>
      <c r="G203" s="171">
        <v>1</v>
      </c>
      <c r="H203" s="8" t="s">
        <v>26</v>
      </c>
      <c r="I203" s="172"/>
      <c r="J203" s="173"/>
      <c r="K203" s="174"/>
      <c r="L203" s="174" t="str">
        <f>VLOOKUP(B203,电搭接情况统计!$B$2:$H$423,7,0)</f>
        <v>CPS1330</v>
      </c>
      <c r="M203" s="175"/>
      <c r="N203" s="167"/>
      <c r="O203" s="179"/>
      <c r="P203" s="179"/>
      <c r="Q203" s="179"/>
      <c r="R203" s="179"/>
      <c r="S203" s="13" t="s">
        <v>27</v>
      </c>
      <c r="T203"/>
    </row>
    <row r="204" spans="1:20">
      <c r="A204" s="167" t="s">
        <v>438</v>
      </c>
      <c r="B204" s="184" t="s">
        <v>451</v>
      </c>
      <c r="C204" s="167" t="s">
        <v>452</v>
      </c>
      <c r="D204" s="178" t="s">
        <v>453</v>
      </c>
      <c r="E204" s="167"/>
      <c r="F204" s="183" t="s">
        <v>442</v>
      </c>
      <c r="G204" s="171">
        <v>1</v>
      </c>
      <c r="H204" s="8" t="s">
        <v>26</v>
      </c>
      <c r="I204" s="172"/>
      <c r="J204" s="173"/>
      <c r="K204" s="174"/>
      <c r="L204" s="174" t="str">
        <f>VLOOKUP(B204,电搭接情况统计!$B$2:$H$423,7,0)</f>
        <v>CPS1330</v>
      </c>
      <c r="M204" s="175"/>
      <c r="N204" s="167"/>
      <c r="O204" s="179"/>
      <c r="P204" s="179"/>
      <c r="Q204" s="179"/>
      <c r="R204" s="179"/>
      <c r="S204" s="13" t="s">
        <v>27</v>
      </c>
      <c r="T204"/>
    </row>
    <row r="205" spans="1:20">
      <c r="A205" s="167" t="s">
        <v>438</v>
      </c>
      <c r="B205" s="184" t="s">
        <v>454</v>
      </c>
      <c r="C205" s="167" t="s">
        <v>455</v>
      </c>
      <c r="D205" s="178" t="s">
        <v>456</v>
      </c>
      <c r="E205" s="167"/>
      <c r="F205" s="183" t="s">
        <v>442</v>
      </c>
      <c r="G205" s="171">
        <v>1</v>
      </c>
      <c r="H205" s="8" t="s">
        <v>26</v>
      </c>
      <c r="I205" s="172"/>
      <c r="J205" s="173"/>
      <c r="K205" s="174"/>
      <c r="L205" s="174" t="str">
        <f>VLOOKUP(B205,电搭接情况统计!$B$2:$H$423,7,0)</f>
        <v>CPS1330</v>
      </c>
      <c r="M205" s="175"/>
      <c r="N205" s="167"/>
      <c r="O205" s="179"/>
      <c r="P205" s="179"/>
      <c r="Q205" s="179"/>
      <c r="R205" s="179"/>
      <c r="S205" s="13" t="s">
        <v>27</v>
      </c>
      <c r="T205"/>
    </row>
    <row r="206" spans="1:20">
      <c r="A206" s="167" t="s">
        <v>438</v>
      </c>
      <c r="B206" s="184" t="s">
        <v>457</v>
      </c>
      <c r="C206" s="167" t="s">
        <v>455</v>
      </c>
      <c r="D206" s="178" t="s">
        <v>458</v>
      </c>
      <c r="E206" s="167"/>
      <c r="F206" s="183" t="s">
        <v>442</v>
      </c>
      <c r="G206" s="171">
        <v>1</v>
      </c>
      <c r="H206" s="8" t="s">
        <v>26</v>
      </c>
      <c r="I206" s="172"/>
      <c r="J206" s="173"/>
      <c r="K206" s="174"/>
      <c r="L206" s="174" t="str">
        <f>VLOOKUP(B206,电搭接情况统计!$B$2:$H$423,7,0)</f>
        <v>CPS1330</v>
      </c>
      <c r="M206" s="175"/>
      <c r="N206" s="167"/>
      <c r="O206" s="179"/>
      <c r="P206" s="179"/>
      <c r="Q206" s="179"/>
      <c r="R206" s="179"/>
      <c r="S206" s="13" t="s">
        <v>27</v>
      </c>
      <c r="T206"/>
    </row>
    <row r="207" spans="1:20">
      <c r="A207" s="167" t="s">
        <v>438</v>
      </c>
      <c r="B207" s="184" t="s">
        <v>459</v>
      </c>
      <c r="C207" s="167" t="s">
        <v>460</v>
      </c>
      <c r="D207" s="178" t="s">
        <v>461</v>
      </c>
      <c r="E207" s="167"/>
      <c r="F207" s="183" t="s">
        <v>442</v>
      </c>
      <c r="G207" s="171">
        <v>1</v>
      </c>
      <c r="H207" s="8" t="s">
        <v>26</v>
      </c>
      <c r="I207" s="172"/>
      <c r="J207" s="173"/>
      <c r="K207" s="174"/>
      <c r="L207" s="174" t="str">
        <f>VLOOKUP(B207,电搭接情况统计!$B$2:$H$423,7,0)</f>
        <v>CPS1330</v>
      </c>
      <c r="M207" s="175"/>
      <c r="N207" s="167"/>
      <c r="O207" s="179"/>
      <c r="P207" s="179"/>
      <c r="Q207" s="179"/>
      <c r="R207" s="179"/>
      <c r="S207" s="13" t="s">
        <v>27</v>
      </c>
      <c r="T207"/>
    </row>
    <row r="208" spans="1:20">
      <c r="A208" s="167" t="s">
        <v>438</v>
      </c>
      <c r="B208" s="184" t="s">
        <v>462</v>
      </c>
      <c r="C208" s="167" t="s">
        <v>460</v>
      </c>
      <c r="D208" s="178" t="s">
        <v>463</v>
      </c>
      <c r="E208" s="167"/>
      <c r="F208" s="183" t="s">
        <v>442</v>
      </c>
      <c r="G208" s="171">
        <v>1</v>
      </c>
      <c r="H208" s="8" t="s">
        <v>26</v>
      </c>
      <c r="I208" s="172"/>
      <c r="J208" s="173"/>
      <c r="K208" s="174"/>
      <c r="L208" s="174" t="str">
        <f>VLOOKUP(B208,电搭接情况统计!$B$2:$H$423,7,0)</f>
        <v>CPS1330</v>
      </c>
      <c r="M208" s="175"/>
      <c r="N208" s="167"/>
      <c r="O208" s="179"/>
      <c r="P208" s="179"/>
      <c r="Q208" s="179"/>
      <c r="R208" s="179"/>
      <c r="S208" s="13" t="s">
        <v>27</v>
      </c>
      <c r="T208"/>
    </row>
    <row r="209" spans="1:20">
      <c r="A209" s="167" t="s">
        <v>438</v>
      </c>
      <c r="B209" s="146" t="s">
        <v>464</v>
      </c>
      <c r="C209" s="167" t="s">
        <v>465</v>
      </c>
      <c r="D209" s="178" t="s">
        <v>466</v>
      </c>
      <c r="E209" s="167"/>
      <c r="F209" s="183" t="s">
        <v>442</v>
      </c>
      <c r="G209" s="171">
        <v>1</v>
      </c>
      <c r="H209" s="8" t="s">
        <v>26</v>
      </c>
      <c r="I209" s="172"/>
      <c r="J209" s="173"/>
      <c r="K209" s="174"/>
      <c r="L209" s="174" t="str">
        <f>VLOOKUP(B209,电搭接情况统计!$B$2:$H$423,7,0)</f>
        <v>CPS1330</v>
      </c>
      <c r="M209" s="175"/>
      <c r="N209" s="167"/>
      <c r="O209" s="179"/>
      <c r="P209" s="179"/>
      <c r="Q209" s="179"/>
      <c r="R209" s="179"/>
      <c r="S209" s="13" t="s">
        <v>27</v>
      </c>
      <c r="T209"/>
    </row>
    <row r="210" spans="1:20">
      <c r="A210" s="167" t="s">
        <v>438</v>
      </c>
      <c r="B210" s="146" t="s">
        <v>467</v>
      </c>
      <c r="C210" s="167" t="s">
        <v>468</v>
      </c>
      <c r="D210" s="178" t="s">
        <v>469</v>
      </c>
      <c r="E210" s="167"/>
      <c r="F210" s="183" t="s">
        <v>442</v>
      </c>
      <c r="G210" s="171">
        <v>1</v>
      </c>
      <c r="H210" s="8" t="s">
        <v>26</v>
      </c>
      <c r="I210" s="172"/>
      <c r="J210" s="173"/>
      <c r="K210" s="174"/>
      <c r="L210" s="174" t="str">
        <f>VLOOKUP(B210,电搭接情况统计!$B$2:$H$423,7,0)</f>
        <v>CPS1330</v>
      </c>
      <c r="M210" s="175"/>
      <c r="N210" s="167"/>
      <c r="O210" s="179"/>
      <c r="P210" s="179"/>
      <c r="Q210" s="179"/>
      <c r="R210" s="179"/>
      <c r="S210" s="13" t="s">
        <v>27</v>
      </c>
      <c r="T210"/>
    </row>
    <row r="211" spans="1:20">
      <c r="A211" s="167" t="s">
        <v>438</v>
      </c>
      <c r="B211" s="184" t="s">
        <v>470</v>
      </c>
      <c r="C211" s="167" t="s">
        <v>471</v>
      </c>
      <c r="D211" s="178" t="s">
        <v>472</v>
      </c>
      <c r="E211" s="167"/>
      <c r="F211" s="183" t="s">
        <v>442</v>
      </c>
      <c r="G211" s="171">
        <v>1</v>
      </c>
      <c r="H211" s="8" t="s">
        <v>26</v>
      </c>
      <c r="I211" s="172"/>
      <c r="J211" s="173"/>
      <c r="K211" s="174"/>
      <c r="L211" s="174" t="str">
        <f>VLOOKUP(B211,电搭接情况统计!$B$2:$H$423,7,0)</f>
        <v>CPS1330</v>
      </c>
      <c r="M211" s="175"/>
      <c r="N211" s="167"/>
      <c r="O211" s="179"/>
      <c r="P211" s="179"/>
      <c r="Q211" s="179"/>
      <c r="R211" s="179"/>
      <c r="S211" s="13" t="s">
        <v>27</v>
      </c>
      <c r="T211"/>
    </row>
    <row r="212" spans="1:20">
      <c r="A212" s="167" t="s">
        <v>438</v>
      </c>
      <c r="B212" s="184" t="s">
        <v>473</v>
      </c>
      <c r="C212" s="167" t="s">
        <v>471</v>
      </c>
      <c r="D212" s="178" t="s">
        <v>474</v>
      </c>
      <c r="E212" s="167"/>
      <c r="F212" s="183" t="s">
        <v>442</v>
      </c>
      <c r="G212" s="171">
        <v>1</v>
      </c>
      <c r="H212" s="8" t="s">
        <v>26</v>
      </c>
      <c r="I212" s="172"/>
      <c r="J212" s="173"/>
      <c r="K212" s="174"/>
      <c r="L212" s="174" t="str">
        <f>VLOOKUP(B212,电搭接情况统计!$B$2:$H$423,7,0)</f>
        <v>CPS1330</v>
      </c>
      <c r="M212" s="175"/>
      <c r="N212" s="167"/>
      <c r="O212" s="179"/>
      <c r="P212" s="179"/>
      <c r="Q212" s="179"/>
      <c r="R212" s="179"/>
      <c r="S212" s="13" t="s">
        <v>27</v>
      </c>
      <c r="T212"/>
    </row>
    <row r="213" spans="1:20">
      <c r="A213" s="167" t="s">
        <v>438</v>
      </c>
      <c r="B213" s="184" t="s">
        <v>475</v>
      </c>
      <c r="C213" s="167" t="s">
        <v>476</v>
      </c>
      <c r="D213" s="178" t="s">
        <v>477</v>
      </c>
      <c r="E213" s="167"/>
      <c r="F213" s="183" t="s">
        <v>442</v>
      </c>
      <c r="G213" s="171">
        <v>1</v>
      </c>
      <c r="H213" s="8" t="s">
        <v>26</v>
      </c>
      <c r="I213" s="172"/>
      <c r="J213" s="173"/>
      <c r="K213" s="174"/>
      <c r="L213" s="174" t="str">
        <f>VLOOKUP(B213,电搭接情况统计!$B$2:$H$423,7,0)</f>
        <v>CPS1330</v>
      </c>
      <c r="M213" s="175"/>
      <c r="N213" s="167"/>
      <c r="O213" s="179"/>
      <c r="P213" s="179"/>
      <c r="Q213" s="179"/>
      <c r="R213" s="179"/>
      <c r="S213" s="13" t="s">
        <v>27</v>
      </c>
      <c r="T213"/>
    </row>
    <row r="214" spans="1:20">
      <c r="A214" s="167" t="s">
        <v>438</v>
      </c>
      <c r="B214" s="198" t="s">
        <v>478</v>
      </c>
      <c r="C214" s="167" t="s">
        <v>476</v>
      </c>
      <c r="D214" s="178" t="s">
        <v>479</v>
      </c>
      <c r="E214" s="189" t="s">
        <v>1382</v>
      </c>
      <c r="F214" s="183" t="s">
        <v>442</v>
      </c>
      <c r="G214" s="171">
        <v>1</v>
      </c>
      <c r="H214" s="8" t="s">
        <v>26</v>
      </c>
      <c r="I214" s="172"/>
      <c r="J214" s="173"/>
      <c r="K214" s="174"/>
      <c r="L214" s="174" t="str">
        <f>VLOOKUP(B214,电搭接情况统计!$B$2:$H$423,7,0)</f>
        <v>CPS1330</v>
      </c>
      <c r="M214" s="175"/>
      <c r="N214" s="167"/>
      <c r="O214" s="179"/>
      <c r="P214" s="179"/>
      <c r="Q214" s="179"/>
      <c r="R214" s="179"/>
      <c r="S214" s="13" t="s">
        <v>27</v>
      </c>
      <c r="T214"/>
    </row>
    <row r="215" spans="1:20">
      <c r="A215" s="167" t="s">
        <v>438</v>
      </c>
      <c r="B215" s="198" t="s">
        <v>480</v>
      </c>
      <c r="C215" s="167" t="s">
        <v>476</v>
      </c>
      <c r="D215" s="178" t="s">
        <v>481</v>
      </c>
      <c r="E215" s="189" t="s">
        <v>1382</v>
      </c>
      <c r="F215" s="183" t="s">
        <v>442</v>
      </c>
      <c r="G215" s="171">
        <v>1</v>
      </c>
      <c r="H215" s="8" t="s">
        <v>26</v>
      </c>
      <c r="I215" s="172"/>
      <c r="J215" s="173"/>
      <c r="K215" s="174"/>
      <c r="L215" s="174" t="str">
        <f>VLOOKUP(B215,电搭接情况统计!$B$2:$H$423,7,0)</f>
        <v>CPS1330</v>
      </c>
      <c r="M215" s="175"/>
      <c r="N215" s="167"/>
      <c r="O215" s="179"/>
      <c r="P215" s="179"/>
      <c r="Q215" s="179"/>
      <c r="R215" s="179"/>
      <c r="S215" s="13" t="s">
        <v>27</v>
      </c>
      <c r="T215"/>
    </row>
    <row r="216" spans="1:20">
      <c r="A216" s="167" t="s">
        <v>438</v>
      </c>
      <c r="B216" s="184" t="s">
        <v>482</v>
      </c>
      <c r="C216" s="167" t="s">
        <v>483</v>
      </c>
      <c r="D216" s="178" t="s">
        <v>484</v>
      </c>
      <c r="E216" s="167"/>
      <c r="F216" s="183" t="s">
        <v>442</v>
      </c>
      <c r="G216" s="171">
        <v>1</v>
      </c>
      <c r="H216" s="8" t="s">
        <v>26</v>
      </c>
      <c r="I216" s="172"/>
      <c r="J216" s="173"/>
      <c r="K216" s="174"/>
      <c r="L216" s="174" t="str">
        <f>VLOOKUP(B216,电搭接情况统计!$B$2:$H$423,7,0)</f>
        <v>CPS1330</v>
      </c>
      <c r="M216" s="175"/>
      <c r="N216" s="167"/>
      <c r="O216" s="179"/>
      <c r="P216" s="179"/>
      <c r="Q216" s="179"/>
      <c r="R216" s="179"/>
      <c r="S216" s="13" t="s">
        <v>27</v>
      </c>
      <c r="T216"/>
    </row>
    <row r="217" spans="1:20">
      <c r="A217" s="167" t="s">
        <v>438</v>
      </c>
      <c r="B217" s="198" t="s">
        <v>485</v>
      </c>
      <c r="C217" s="167" t="s">
        <v>483</v>
      </c>
      <c r="D217" s="178" t="s">
        <v>486</v>
      </c>
      <c r="E217" s="189" t="s">
        <v>1382</v>
      </c>
      <c r="F217" s="183" t="s">
        <v>442</v>
      </c>
      <c r="G217" s="171">
        <v>1</v>
      </c>
      <c r="H217" s="8" t="s">
        <v>26</v>
      </c>
      <c r="I217" s="172"/>
      <c r="J217" s="173"/>
      <c r="K217" s="174"/>
      <c r="L217" s="174" t="str">
        <f>VLOOKUP(B217,电搭接情况统计!$B$2:$H$423,7,0)</f>
        <v>CPS1330</v>
      </c>
      <c r="M217" s="175"/>
      <c r="N217" s="167"/>
      <c r="O217" s="179"/>
      <c r="P217" s="179"/>
      <c r="Q217" s="179"/>
      <c r="R217" s="179"/>
      <c r="S217" s="13" t="s">
        <v>27</v>
      </c>
      <c r="T217"/>
    </row>
    <row r="218" spans="1:20">
      <c r="A218" s="167" t="s">
        <v>438</v>
      </c>
      <c r="B218" s="198" t="s">
        <v>487</v>
      </c>
      <c r="C218" s="167" t="s">
        <v>483</v>
      </c>
      <c r="D218" s="178" t="s">
        <v>488</v>
      </c>
      <c r="E218" s="189" t="s">
        <v>1382</v>
      </c>
      <c r="F218" s="183" t="s">
        <v>442</v>
      </c>
      <c r="G218" s="171">
        <v>1</v>
      </c>
      <c r="H218" s="8" t="s">
        <v>26</v>
      </c>
      <c r="I218" s="172"/>
      <c r="J218" s="173"/>
      <c r="K218" s="174"/>
      <c r="L218" s="174" t="str">
        <f>VLOOKUP(B218,电搭接情况统计!$B$2:$H$423,7,0)</f>
        <v>CPS1330</v>
      </c>
      <c r="M218" s="175"/>
      <c r="N218" s="167"/>
      <c r="O218" s="179"/>
      <c r="P218" s="179"/>
      <c r="Q218" s="179"/>
      <c r="R218" s="179"/>
      <c r="S218" s="13" t="s">
        <v>27</v>
      </c>
      <c r="T218"/>
    </row>
    <row r="219" spans="1:20">
      <c r="A219" s="167" t="s">
        <v>438</v>
      </c>
      <c r="B219" s="184" t="s">
        <v>489</v>
      </c>
      <c r="C219" s="167" t="s">
        <v>490</v>
      </c>
      <c r="D219" s="178" t="s">
        <v>491</v>
      </c>
      <c r="E219" s="167"/>
      <c r="F219" s="183" t="s">
        <v>442</v>
      </c>
      <c r="G219" s="171">
        <v>1</v>
      </c>
      <c r="H219" s="8" t="s">
        <v>26</v>
      </c>
      <c r="I219" s="172"/>
      <c r="J219" s="173"/>
      <c r="K219" s="174"/>
      <c r="L219" s="174" t="str">
        <f>VLOOKUP(B219,电搭接情况统计!$B$2:$H$423,7,0)</f>
        <v>CPS1330</v>
      </c>
      <c r="M219" s="175"/>
      <c r="N219" s="167"/>
      <c r="O219" s="179"/>
      <c r="P219" s="179"/>
      <c r="Q219" s="179"/>
      <c r="R219" s="179"/>
      <c r="S219" s="13" t="s">
        <v>27</v>
      </c>
      <c r="T219"/>
    </row>
    <row r="220" spans="1:20">
      <c r="A220" s="167" t="s">
        <v>438</v>
      </c>
      <c r="B220" s="184" t="s">
        <v>492</v>
      </c>
      <c r="C220" s="167" t="s">
        <v>490</v>
      </c>
      <c r="D220" s="178" t="s">
        <v>493</v>
      </c>
      <c r="E220" s="167"/>
      <c r="F220" s="183" t="s">
        <v>442</v>
      </c>
      <c r="G220" s="171">
        <v>1</v>
      </c>
      <c r="H220" s="8" t="s">
        <v>26</v>
      </c>
      <c r="I220" s="172"/>
      <c r="J220" s="173"/>
      <c r="K220" s="174"/>
      <c r="L220" s="174" t="str">
        <f>VLOOKUP(B220,电搭接情况统计!$B$2:$H$423,7,0)</f>
        <v>CPS1330</v>
      </c>
      <c r="M220" s="175"/>
      <c r="N220" s="167"/>
      <c r="O220" s="179"/>
      <c r="P220" s="179"/>
      <c r="Q220" s="179"/>
      <c r="R220" s="179"/>
      <c r="S220" s="13" t="s">
        <v>27</v>
      </c>
      <c r="T220"/>
    </row>
    <row r="221" spans="1:20">
      <c r="A221" s="167" t="s">
        <v>438</v>
      </c>
      <c r="B221" s="184" t="s">
        <v>494</v>
      </c>
      <c r="C221" s="167" t="s">
        <v>490</v>
      </c>
      <c r="D221" s="178" t="s">
        <v>495</v>
      </c>
      <c r="E221" s="167"/>
      <c r="F221" s="183" t="s">
        <v>442</v>
      </c>
      <c r="G221" s="171">
        <v>1</v>
      </c>
      <c r="H221" s="8" t="s">
        <v>26</v>
      </c>
      <c r="I221" s="172"/>
      <c r="J221" s="173"/>
      <c r="K221" s="174"/>
      <c r="L221" s="174" t="str">
        <f>VLOOKUP(B221,电搭接情况统计!$B$2:$H$423,7,0)</f>
        <v>CPS1330</v>
      </c>
      <c r="M221" s="175"/>
      <c r="N221" s="167"/>
      <c r="O221" s="179"/>
      <c r="P221" s="179"/>
      <c r="Q221" s="179"/>
      <c r="R221" s="179"/>
      <c r="S221" s="13" t="s">
        <v>27</v>
      </c>
      <c r="T221"/>
    </row>
    <row r="222" spans="1:20">
      <c r="A222" s="167" t="s">
        <v>438</v>
      </c>
      <c r="B222" s="184" t="s">
        <v>496</v>
      </c>
      <c r="C222" s="167" t="s">
        <v>490</v>
      </c>
      <c r="D222" s="178" t="s">
        <v>497</v>
      </c>
      <c r="E222" s="167"/>
      <c r="F222" s="183" t="s">
        <v>442</v>
      </c>
      <c r="G222" s="171">
        <v>1</v>
      </c>
      <c r="H222" s="8" t="s">
        <v>26</v>
      </c>
      <c r="I222" s="172"/>
      <c r="J222" s="173"/>
      <c r="K222" s="174"/>
      <c r="L222" s="174" t="str">
        <f>VLOOKUP(B222,电搭接情况统计!$B$2:$H$423,7,0)</f>
        <v>CPS1330</v>
      </c>
      <c r="M222" s="175"/>
      <c r="N222" s="167"/>
      <c r="O222" s="179"/>
      <c r="P222" s="179"/>
      <c r="Q222" s="179"/>
      <c r="R222" s="179"/>
      <c r="S222" s="13" t="s">
        <v>27</v>
      </c>
      <c r="T222"/>
    </row>
    <row r="223" spans="1:20">
      <c r="A223" s="167" t="s">
        <v>438</v>
      </c>
      <c r="B223" s="146" t="s">
        <v>498</v>
      </c>
      <c r="C223" s="167" t="s">
        <v>499</v>
      </c>
      <c r="D223" s="178" t="s">
        <v>500</v>
      </c>
      <c r="E223" s="189" t="s">
        <v>1383</v>
      </c>
      <c r="F223" s="183" t="s">
        <v>442</v>
      </c>
      <c r="G223" s="171">
        <v>1</v>
      </c>
      <c r="H223" s="8" t="s">
        <v>26</v>
      </c>
      <c r="I223" s="172"/>
      <c r="J223" s="173"/>
      <c r="K223" s="174"/>
      <c r="L223" s="174" t="str">
        <f>VLOOKUP(B223,电搭接情况统计!$B$2:$H$423,7,0)</f>
        <v>CPS1330</v>
      </c>
      <c r="M223" s="175"/>
      <c r="N223" s="167"/>
      <c r="O223" s="179"/>
      <c r="P223" s="179"/>
      <c r="Q223" s="179"/>
      <c r="R223" s="179"/>
      <c r="S223" s="13" t="s">
        <v>27</v>
      </c>
      <c r="T223"/>
    </row>
    <row r="224" spans="1:20">
      <c r="A224" s="167" t="s">
        <v>438</v>
      </c>
      <c r="B224" s="146" t="s">
        <v>501</v>
      </c>
      <c r="C224" s="167" t="s">
        <v>499</v>
      </c>
      <c r="D224" s="178" t="s">
        <v>502</v>
      </c>
      <c r="E224" s="189" t="s">
        <v>1383</v>
      </c>
      <c r="F224" s="183" t="s">
        <v>442</v>
      </c>
      <c r="G224" s="171">
        <v>1</v>
      </c>
      <c r="H224" s="8" t="s">
        <v>26</v>
      </c>
      <c r="I224" s="172"/>
      <c r="J224" s="173"/>
      <c r="K224" s="174"/>
      <c r="L224" s="174" t="str">
        <f>VLOOKUP(B224,电搭接情况统计!$B$2:$H$423,7,0)</f>
        <v>CPS1330</v>
      </c>
      <c r="M224" s="175"/>
      <c r="N224" s="167"/>
      <c r="O224" s="179"/>
      <c r="P224" s="179"/>
      <c r="Q224" s="179"/>
      <c r="R224" s="179"/>
      <c r="S224" s="13" t="s">
        <v>27</v>
      </c>
      <c r="T224"/>
    </row>
    <row r="225" spans="1:20">
      <c r="A225" s="167" t="s">
        <v>438</v>
      </c>
      <c r="B225" s="146" t="s">
        <v>503</v>
      </c>
      <c r="C225" s="167" t="s">
        <v>504</v>
      </c>
      <c r="D225" s="178" t="s">
        <v>505</v>
      </c>
      <c r="E225" s="189" t="s">
        <v>1384</v>
      </c>
      <c r="F225" s="183" t="s">
        <v>442</v>
      </c>
      <c r="G225" s="171">
        <v>1</v>
      </c>
      <c r="H225" s="8" t="s">
        <v>26</v>
      </c>
      <c r="I225" s="172"/>
      <c r="J225" s="173"/>
      <c r="K225" s="174"/>
      <c r="L225" s="174" t="str">
        <f>VLOOKUP(B225,电搭接情况统计!$B$2:$H$423,7,0)</f>
        <v>CPS1330</v>
      </c>
      <c r="M225" s="175"/>
      <c r="N225" s="167"/>
      <c r="O225" s="179"/>
      <c r="P225" s="179"/>
      <c r="Q225" s="179"/>
      <c r="R225" s="179"/>
      <c r="S225" s="13" t="s">
        <v>27</v>
      </c>
      <c r="T225"/>
    </row>
    <row r="226" spans="1:20">
      <c r="A226" s="167" t="s">
        <v>438</v>
      </c>
      <c r="B226" s="146" t="s">
        <v>506</v>
      </c>
      <c r="C226" s="167" t="s">
        <v>504</v>
      </c>
      <c r="D226" s="178" t="s">
        <v>507</v>
      </c>
      <c r="E226" s="189" t="s">
        <v>1384</v>
      </c>
      <c r="F226" s="183" t="s">
        <v>442</v>
      </c>
      <c r="G226" s="171">
        <v>1</v>
      </c>
      <c r="H226" s="8" t="s">
        <v>26</v>
      </c>
      <c r="I226" s="172"/>
      <c r="J226" s="173"/>
      <c r="K226" s="174"/>
      <c r="L226" s="174" t="str">
        <f>VLOOKUP(B226,电搭接情况统计!$B$2:$H$423,7,0)</f>
        <v>CPS1330</v>
      </c>
      <c r="M226" s="175"/>
      <c r="N226" s="167"/>
      <c r="O226" s="179"/>
      <c r="P226" s="179"/>
      <c r="Q226" s="179"/>
      <c r="R226" s="179"/>
      <c r="S226" s="13" t="s">
        <v>27</v>
      </c>
      <c r="T226"/>
    </row>
    <row r="227" spans="1:20">
      <c r="A227" s="167" t="s">
        <v>438</v>
      </c>
      <c r="B227" s="146" t="s">
        <v>508</v>
      </c>
      <c r="C227" s="167" t="s">
        <v>509</v>
      </c>
      <c r="D227" s="178" t="s">
        <v>510</v>
      </c>
      <c r="E227" s="189" t="s">
        <v>1385</v>
      </c>
      <c r="F227" s="183" t="s">
        <v>442</v>
      </c>
      <c r="G227" s="171">
        <v>1</v>
      </c>
      <c r="H227" s="8" t="s">
        <v>26</v>
      </c>
      <c r="I227" s="172"/>
      <c r="J227" s="173"/>
      <c r="K227" s="174"/>
      <c r="L227" s="174" t="str">
        <f>VLOOKUP(B227,电搭接情况统计!$B$2:$H$423,7,0)</f>
        <v>CPS1330</v>
      </c>
      <c r="M227" s="175"/>
      <c r="N227" s="167"/>
      <c r="O227" s="179"/>
      <c r="P227" s="179"/>
      <c r="Q227" s="179"/>
      <c r="R227" s="179"/>
      <c r="S227" s="13" t="s">
        <v>27</v>
      </c>
      <c r="T227"/>
    </row>
    <row r="228" spans="1:20">
      <c r="A228" s="167" t="s">
        <v>438</v>
      </c>
      <c r="B228" s="146" t="s">
        <v>511</v>
      </c>
      <c r="C228" s="167" t="s">
        <v>512</v>
      </c>
      <c r="D228" s="178" t="s">
        <v>513</v>
      </c>
      <c r="E228" s="189" t="s">
        <v>1385</v>
      </c>
      <c r="F228" s="183" t="s">
        <v>442</v>
      </c>
      <c r="G228" s="171">
        <v>1</v>
      </c>
      <c r="H228" s="8" t="s">
        <v>26</v>
      </c>
      <c r="I228" s="172"/>
      <c r="J228" s="173"/>
      <c r="K228" s="174"/>
      <c r="L228" s="174" t="str">
        <f>VLOOKUP(B228,电搭接情况统计!$B$2:$H$423,7,0)</f>
        <v>CPS1330</v>
      </c>
      <c r="M228" s="175"/>
      <c r="N228" s="167"/>
      <c r="O228" s="179"/>
      <c r="P228" s="179"/>
      <c r="Q228" s="179"/>
      <c r="R228" s="179"/>
      <c r="S228" s="13" t="s">
        <v>27</v>
      </c>
      <c r="T228"/>
    </row>
    <row r="229" spans="1:20">
      <c r="A229" s="167" t="s">
        <v>438</v>
      </c>
      <c r="B229" s="184" t="s">
        <v>514</v>
      </c>
      <c r="C229" s="167" t="s">
        <v>515</v>
      </c>
      <c r="D229" s="178" t="s">
        <v>516</v>
      </c>
      <c r="E229" s="167"/>
      <c r="F229" s="183" t="s">
        <v>517</v>
      </c>
      <c r="G229" s="171">
        <v>1</v>
      </c>
      <c r="H229" s="8" t="s">
        <v>26</v>
      </c>
      <c r="I229" s="172"/>
      <c r="J229" s="173"/>
      <c r="K229" s="174"/>
      <c r="L229" s="174" t="str">
        <f>VLOOKUP(B229,电搭接情况统计!$B$2:$H$423,7,0)</f>
        <v>CPS1330</v>
      </c>
      <c r="M229" s="175"/>
      <c r="N229" s="167"/>
      <c r="O229" s="179"/>
      <c r="P229" s="179"/>
      <c r="Q229" s="179"/>
      <c r="R229" s="179"/>
      <c r="S229" s="13" t="s">
        <v>27</v>
      </c>
      <c r="T229"/>
    </row>
    <row r="230" spans="1:20">
      <c r="A230" s="167" t="s">
        <v>438</v>
      </c>
      <c r="B230" s="198" t="s">
        <v>518</v>
      </c>
      <c r="C230" s="167" t="s">
        <v>515</v>
      </c>
      <c r="D230" s="178" t="s">
        <v>519</v>
      </c>
      <c r="E230" s="189" t="s">
        <v>1382</v>
      </c>
      <c r="F230" s="183" t="s">
        <v>517</v>
      </c>
      <c r="G230" s="171">
        <v>1</v>
      </c>
      <c r="H230" s="8" t="s">
        <v>26</v>
      </c>
      <c r="I230" s="172"/>
      <c r="J230" s="173"/>
      <c r="K230" s="174"/>
      <c r="L230" s="174" t="str">
        <f>VLOOKUP(B230,电搭接情况统计!$B$2:$H$423,7,0)</f>
        <v>CPS1330</v>
      </c>
      <c r="M230" s="175"/>
      <c r="N230" s="167"/>
      <c r="O230" s="179"/>
      <c r="P230" s="179"/>
      <c r="Q230" s="179"/>
      <c r="R230" s="179"/>
      <c r="S230" s="13" t="s">
        <v>27</v>
      </c>
      <c r="T230"/>
    </row>
    <row r="231" spans="1:20">
      <c r="A231" s="167" t="s">
        <v>438</v>
      </c>
      <c r="B231" s="198" t="s">
        <v>520</v>
      </c>
      <c r="C231" s="167" t="s">
        <v>515</v>
      </c>
      <c r="D231" s="178" t="s">
        <v>521</v>
      </c>
      <c r="E231" s="189" t="s">
        <v>1382</v>
      </c>
      <c r="F231" s="183" t="s">
        <v>517</v>
      </c>
      <c r="G231" s="171">
        <v>1</v>
      </c>
      <c r="H231" s="8" t="s">
        <v>26</v>
      </c>
      <c r="I231" s="172"/>
      <c r="J231" s="173"/>
      <c r="K231" s="174"/>
      <c r="L231" s="174" t="str">
        <f>VLOOKUP(B231,电搭接情况统计!$B$2:$H$423,7,0)</f>
        <v>CPS1330</v>
      </c>
      <c r="M231" s="175"/>
      <c r="N231" s="167"/>
      <c r="O231" s="179"/>
      <c r="P231" s="179"/>
      <c r="Q231" s="179"/>
      <c r="R231" s="179"/>
      <c r="S231" s="13" t="s">
        <v>27</v>
      </c>
      <c r="T231"/>
    </row>
    <row r="232" spans="1:20">
      <c r="A232" s="167" t="s">
        <v>438</v>
      </c>
      <c r="B232" s="198" t="s">
        <v>522</v>
      </c>
      <c r="C232" s="167" t="s">
        <v>523</v>
      </c>
      <c r="D232" s="178" t="s">
        <v>524</v>
      </c>
      <c r="E232" s="167"/>
      <c r="F232" s="183" t="s">
        <v>517</v>
      </c>
      <c r="G232" s="171">
        <v>1</v>
      </c>
      <c r="H232" s="8" t="s">
        <v>26</v>
      </c>
      <c r="I232" s="172"/>
      <c r="J232" s="173"/>
      <c r="K232" s="174"/>
      <c r="L232" s="174" t="str">
        <f>VLOOKUP(B232,电搭接情况统计!$B$2:$H$423,7,0)</f>
        <v>CPS1330</v>
      </c>
      <c r="M232" s="175"/>
      <c r="N232" s="167"/>
      <c r="O232" s="179"/>
      <c r="P232" s="179"/>
      <c r="Q232" s="179"/>
      <c r="R232" s="179"/>
      <c r="S232" s="13" t="s">
        <v>27</v>
      </c>
      <c r="T232"/>
    </row>
    <row r="233" spans="1:20">
      <c r="A233" s="167" t="s">
        <v>438</v>
      </c>
      <c r="B233" s="198" t="s">
        <v>525</v>
      </c>
      <c r="C233" s="167" t="s">
        <v>526</v>
      </c>
      <c r="D233" s="178" t="s">
        <v>527</v>
      </c>
      <c r="E233" s="167"/>
      <c r="F233" s="183" t="s">
        <v>517</v>
      </c>
      <c r="G233" s="171">
        <v>1</v>
      </c>
      <c r="H233" s="8" t="s">
        <v>26</v>
      </c>
      <c r="I233" s="172"/>
      <c r="J233" s="173"/>
      <c r="K233" s="174"/>
      <c r="L233" s="174" t="str">
        <f>VLOOKUP(B233,电搭接情况统计!$B$2:$H$423,7,0)</f>
        <v>CPS1330</v>
      </c>
      <c r="M233" s="175"/>
      <c r="N233" s="167"/>
      <c r="O233" s="179"/>
      <c r="P233" s="179"/>
      <c r="Q233" s="179"/>
      <c r="R233" s="179"/>
      <c r="S233" s="13" t="s">
        <v>27</v>
      </c>
      <c r="T233"/>
    </row>
    <row r="234" spans="1:20">
      <c r="A234" s="167" t="s">
        <v>438</v>
      </c>
      <c r="B234" s="198" t="s">
        <v>528</v>
      </c>
      <c r="C234" s="167" t="s">
        <v>526</v>
      </c>
      <c r="D234" s="178" t="s">
        <v>529</v>
      </c>
      <c r="E234" s="189" t="s">
        <v>1382</v>
      </c>
      <c r="F234" s="183" t="s">
        <v>517</v>
      </c>
      <c r="G234" s="171">
        <v>1</v>
      </c>
      <c r="H234" s="8" t="s">
        <v>26</v>
      </c>
      <c r="I234" s="172"/>
      <c r="J234" s="173"/>
      <c r="K234" s="174"/>
      <c r="L234" s="174" t="str">
        <f>VLOOKUP(B234,电搭接情况统计!$B$2:$H$423,7,0)</f>
        <v>CPS1330</v>
      </c>
      <c r="M234" s="175"/>
      <c r="N234" s="167"/>
      <c r="O234" s="179"/>
      <c r="P234" s="179"/>
      <c r="Q234" s="179"/>
      <c r="R234" s="179"/>
      <c r="S234" s="13" t="s">
        <v>27</v>
      </c>
      <c r="T234"/>
    </row>
    <row r="235" spans="1:20">
      <c r="A235" s="167" t="s">
        <v>438</v>
      </c>
      <c r="B235" s="198" t="s">
        <v>530</v>
      </c>
      <c r="C235" s="167" t="s">
        <v>526</v>
      </c>
      <c r="D235" s="178" t="s">
        <v>531</v>
      </c>
      <c r="E235" s="189" t="s">
        <v>1382</v>
      </c>
      <c r="F235" s="183" t="s">
        <v>517</v>
      </c>
      <c r="G235" s="171">
        <v>1</v>
      </c>
      <c r="H235" s="8" t="s">
        <v>26</v>
      </c>
      <c r="I235" s="172"/>
      <c r="J235" s="173"/>
      <c r="K235" s="174"/>
      <c r="L235" s="174" t="str">
        <f>VLOOKUP(B235,电搭接情况统计!$B$2:$H$423,7,0)</f>
        <v>CPS1330</v>
      </c>
      <c r="M235" s="175"/>
      <c r="N235" s="167"/>
      <c r="O235" s="179"/>
      <c r="P235" s="179"/>
      <c r="Q235" s="179"/>
      <c r="R235" s="179"/>
      <c r="S235" s="13" t="s">
        <v>27</v>
      </c>
      <c r="T235"/>
    </row>
    <row r="236" spans="1:20">
      <c r="A236" s="167" t="s">
        <v>438</v>
      </c>
      <c r="B236" s="144" t="s">
        <v>532</v>
      </c>
      <c r="C236" s="167" t="s">
        <v>533</v>
      </c>
      <c r="D236" s="178" t="s">
        <v>534</v>
      </c>
      <c r="E236" s="167"/>
      <c r="F236" s="183" t="s">
        <v>517</v>
      </c>
      <c r="G236" s="171">
        <v>1</v>
      </c>
      <c r="H236" s="8" t="s">
        <v>26</v>
      </c>
      <c r="I236" s="172"/>
      <c r="J236" s="173"/>
      <c r="K236" s="174"/>
      <c r="L236" s="174" t="str">
        <f>VLOOKUP(B236,电搭接情况统计!$B$2:$H$423,7,0)</f>
        <v>CPS1330</v>
      </c>
      <c r="M236" s="175"/>
      <c r="N236" s="167"/>
      <c r="O236" s="179"/>
      <c r="P236" s="179"/>
      <c r="Q236" s="179"/>
      <c r="R236" s="179"/>
      <c r="S236" s="13" t="s">
        <v>27</v>
      </c>
      <c r="T236"/>
    </row>
    <row r="237" spans="1:20">
      <c r="A237" s="167" t="s">
        <v>438</v>
      </c>
      <c r="B237" s="146" t="s">
        <v>535</v>
      </c>
      <c r="C237" s="167" t="s">
        <v>536</v>
      </c>
      <c r="D237" s="178" t="s">
        <v>537</v>
      </c>
      <c r="E237" s="189" t="s">
        <v>1386</v>
      </c>
      <c r="F237" s="183" t="s">
        <v>517</v>
      </c>
      <c r="G237" s="171">
        <v>1</v>
      </c>
      <c r="H237" s="8" t="s">
        <v>26</v>
      </c>
      <c r="I237" s="172"/>
      <c r="J237" s="173"/>
      <c r="K237" s="174"/>
      <c r="L237" s="174" t="str">
        <f>VLOOKUP(B237,电搭接情况统计!$B$2:$H$423,7,0)</f>
        <v>CPS1330</v>
      </c>
      <c r="M237" s="175"/>
      <c r="N237" s="167"/>
      <c r="O237" s="179"/>
      <c r="P237" s="179"/>
      <c r="Q237" s="179"/>
      <c r="R237" s="179"/>
      <c r="S237" s="13" t="s">
        <v>27</v>
      </c>
      <c r="T237"/>
    </row>
    <row r="238" spans="1:20">
      <c r="A238" s="167" t="s">
        <v>438</v>
      </c>
      <c r="B238" s="146" t="s">
        <v>538</v>
      </c>
      <c r="C238" s="167" t="s">
        <v>539</v>
      </c>
      <c r="D238" s="178" t="s">
        <v>540</v>
      </c>
      <c r="E238" s="189" t="s">
        <v>1387</v>
      </c>
      <c r="F238" s="183" t="s">
        <v>517</v>
      </c>
      <c r="G238" s="171">
        <v>1</v>
      </c>
      <c r="H238" s="8" t="s">
        <v>26</v>
      </c>
      <c r="I238" s="172"/>
      <c r="J238" s="173"/>
      <c r="K238" s="174"/>
      <c r="L238" s="174" t="str">
        <f>VLOOKUP(B238,电搭接情况统计!$B$2:$H$423,7,0)</f>
        <v>CPS1330</v>
      </c>
      <c r="M238" s="175"/>
      <c r="N238" s="167"/>
      <c r="O238" s="179"/>
      <c r="P238" s="179"/>
      <c r="Q238" s="179"/>
      <c r="R238" s="179"/>
      <c r="S238" s="13" t="s">
        <v>27</v>
      </c>
      <c r="T238"/>
    </row>
    <row r="239" ht="30" spans="1:20">
      <c r="A239" s="167" t="s">
        <v>438</v>
      </c>
      <c r="B239" s="144" t="s">
        <v>541</v>
      </c>
      <c r="C239" s="167" t="s">
        <v>542</v>
      </c>
      <c r="D239" s="178" t="s">
        <v>543</v>
      </c>
      <c r="E239" s="191" t="s">
        <v>1388</v>
      </c>
      <c r="F239" s="183" t="s">
        <v>517</v>
      </c>
      <c r="G239" s="171">
        <v>1</v>
      </c>
      <c r="H239" s="8" t="s">
        <v>26</v>
      </c>
      <c r="I239" s="172"/>
      <c r="J239" s="173"/>
      <c r="K239" s="174"/>
      <c r="L239" s="174" t="str">
        <f>VLOOKUP(B239,电搭接情况统计!$B$2:$H$423,7,0)</f>
        <v>CPS1330</v>
      </c>
      <c r="M239" s="175"/>
      <c r="N239" s="167"/>
      <c r="O239" s="179"/>
      <c r="P239" s="179"/>
      <c r="Q239" s="179"/>
      <c r="R239" s="179"/>
      <c r="S239" s="13" t="s">
        <v>27</v>
      </c>
      <c r="T239"/>
    </row>
    <row r="240" spans="1:20">
      <c r="A240" s="167" t="s">
        <v>438</v>
      </c>
      <c r="B240" s="146" t="s">
        <v>544</v>
      </c>
      <c r="C240" s="167" t="s">
        <v>545</v>
      </c>
      <c r="D240" s="178" t="s">
        <v>546</v>
      </c>
      <c r="E240" s="189" t="s">
        <v>1389</v>
      </c>
      <c r="F240" s="183" t="s">
        <v>364</v>
      </c>
      <c r="G240" s="171">
        <v>1</v>
      </c>
      <c r="H240" s="8" t="s">
        <v>26</v>
      </c>
      <c r="I240" s="172" t="s">
        <v>321</v>
      </c>
      <c r="J240" s="173"/>
      <c r="K240" s="174"/>
      <c r="L240" s="174" t="str">
        <f>VLOOKUP(B240,电搭接情况统计!$B$2:$H$423,7,0)</f>
        <v>CPS1330</v>
      </c>
      <c r="M240" s="175"/>
      <c r="N240" s="167"/>
      <c r="O240" s="179"/>
      <c r="P240" s="179"/>
      <c r="Q240" s="179"/>
      <c r="R240" s="179"/>
      <c r="S240" s="13" t="s">
        <v>27</v>
      </c>
      <c r="T240"/>
    </row>
    <row r="241" spans="1:20">
      <c r="A241" s="167" t="s">
        <v>438</v>
      </c>
      <c r="B241" s="146" t="s">
        <v>547</v>
      </c>
      <c r="C241" s="167" t="s">
        <v>545</v>
      </c>
      <c r="D241" s="178" t="s">
        <v>548</v>
      </c>
      <c r="E241" s="189" t="s">
        <v>1389</v>
      </c>
      <c r="F241" s="183" t="s">
        <v>364</v>
      </c>
      <c r="G241" s="171">
        <v>1</v>
      </c>
      <c r="H241" s="8" t="s">
        <v>26</v>
      </c>
      <c r="I241" s="172" t="s">
        <v>321</v>
      </c>
      <c r="J241" s="173"/>
      <c r="K241" s="174"/>
      <c r="L241" s="174" t="str">
        <f>VLOOKUP(B241,电搭接情况统计!$B$2:$H$423,7,0)</f>
        <v>CPS1330</v>
      </c>
      <c r="M241" s="175"/>
      <c r="N241" s="167"/>
      <c r="O241" s="179"/>
      <c r="P241" s="179"/>
      <c r="Q241" s="179"/>
      <c r="R241" s="179"/>
      <c r="S241" s="13" t="s">
        <v>27</v>
      </c>
      <c r="T241"/>
    </row>
    <row r="242" spans="1:20">
      <c r="A242" s="167" t="s">
        <v>438</v>
      </c>
      <c r="B242" s="146" t="s">
        <v>549</v>
      </c>
      <c r="C242" s="167" t="s">
        <v>550</v>
      </c>
      <c r="D242" s="178" t="s">
        <v>551</v>
      </c>
      <c r="E242" s="189" t="s">
        <v>1389</v>
      </c>
      <c r="F242" s="183" t="s">
        <v>119</v>
      </c>
      <c r="G242" s="171">
        <v>1</v>
      </c>
      <c r="H242" s="8" t="s">
        <v>26</v>
      </c>
      <c r="I242" s="172" t="s">
        <v>321</v>
      </c>
      <c r="J242" s="173"/>
      <c r="K242" s="174"/>
      <c r="L242" s="174" t="str">
        <f>VLOOKUP(B242,电搭接情况统计!$B$2:$H$423,7,0)</f>
        <v>CPS1330</v>
      </c>
      <c r="M242" s="175"/>
      <c r="N242" s="167"/>
      <c r="O242" s="179"/>
      <c r="P242" s="179"/>
      <c r="Q242" s="179"/>
      <c r="R242" s="179"/>
      <c r="S242" s="13" t="s">
        <v>27</v>
      </c>
      <c r="T242"/>
    </row>
    <row r="243" spans="1:20">
      <c r="A243" s="167" t="s">
        <v>438</v>
      </c>
      <c r="B243" s="146" t="s">
        <v>552</v>
      </c>
      <c r="C243" s="167" t="s">
        <v>553</v>
      </c>
      <c r="D243" s="178" t="s">
        <v>554</v>
      </c>
      <c r="E243" s="189" t="s">
        <v>1390</v>
      </c>
      <c r="F243" s="183" t="s">
        <v>442</v>
      </c>
      <c r="G243" s="171">
        <v>1</v>
      </c>
      <c r="H243" s="8" t="s">
        <v>26</v>
      </c>
      <c r="I243" s="172"/>
      <c r="J243" s="173"/>
      <c r="K243" s="174"/>
      <c r="L243" s="174" t="str">
        <f>VLOOKUP(B243,电搭接情况统计!$B$2:$H$423,7,0)</f>
        <v>CPS1330</v>
      </c>
      <c r="M243" s="175"/>
      <c r="N243" s="167"/>
      <c r="O243" s="179"/>
      <c r="P243" s="179"/>
      <c r="Q243" s="179"/>
      <c r="R243" s="179"/>
      <c r="S243" s="13" t="s">
        <v>27</v>
      </c>
      <c r="T243"/>
    </row>
    <row r="244" spans="1:20">
      <c r="A244" s="167" t="s">
        <v>438</v>
      </c>
      <c r="B244" s="146" t="s">
        <v>555</v>
      </c>
      <c r="C244" s="167" t="s">
        <v>553</v>
      </c>
      <c r="D244" s="178" t="s">
        <v>556</v>
      </c>
      <c r="E244" s="189" t="s">
        <v>1390</v>
      </c>
      <c r="F244" s="183" t="s">
        <v>442</v>
      </c>
      <c r="G244" s="171">
        <v>1</v>
      </c>
      <c r="H244" s="8" t="s">
        <v>26</v>
      </c>
      <c r="I244" s="172"/>
      <c r="J244" s="173"/>
      <c r="K244" s="174"/>
      <c r="L244" s="174" t="str">
        <f>VLOOKUP(B244,电搭接情况统计!$B$2:$H$423,7,0)</f>
        <v>CPS1330</v>
      </c>
      <c r="M244" s="175"/>
      <c r="N244" s="167"/>
      <c r="O244" s="179"/>
      <c r="P244" s="179"/>
      <c r="Q244" s="179"/>
      <c r="R244" s="179"/>
      <c r="S244" s="13" t="s">
        <v>27</v>
      </c>
      <c r="T244"/>
    </row>
    <row r="245" spans="1:20">
      <c r="A245" s="167" t="s">
        <v>438</v>
      </c>
      <c r="B245" s="146" t="s">
        <v>557</v>
      </c>
      <c r="C245" s="167" t="s">
        <v>558</v>
      </c>
      <c r="D245" s="178" t="s">
        <v>559</v>
      </c>
      <c r="E245" s="189" t="s">
        <v>1390</v>
      </c>
      <c r="F245" s="183" t="s">
        <v>119</v>
      </c>
      <c r="G245" s="171">
        <v>1</v>
      </c>
      <c r="H245" s="8" t="s">
        <v>26</v>
      </c>
      <c r="I245" s="172"/>
      <c r="J245" s="173"/>
      <c r="K245" s="174"/>
      <c r="L245" s="174" t="str">
        <f>VLOOKUP(B245,电搭接情况统计!$B$2:$H$423,7,0)</f>
        <v>CPS1330</v>
      </c>
      <c r="M245" s="175"/>
      <c r="N245" s="167"/>
      <c r="O245" s="179"/>
      <c r="P245" s="179"/>
      <c r="Q245" s="179"/>
      <c r="R245" s="179"/>
      <c r="S245" s="13" t="s">
        <v>27</v>
      </c>
      <c r="T245"/>
    </row>
    <row r="246" spans="1:20">
      <c r="A246" s="167" t="s">
        <v>438</v>
      </c>
      <c r="B246" s="146" t="s">
        <v>560</v>
      </c>
      <c r="C246" s="167" t="s">
        <v>561</v>
      </c>
      <c r="D246" s="178" t="s">
        <v>562</v>
      </c>
      <c r="E246" s="189" t="s">
        <v>1391</v>
      </c>
      <c r="F246" s="183" t="s">
        <v>36</v>
      </c>
      <c r="G246" s="171">
        <v>1</v>
      </c>
      <c r="H246" s="8" t="s">
        <v>26</v>
      </c>
      <c r="I246" s="172" t="s">
        <v>563</v>
      </c>
      <c r="J246" s="182" t="str">
        <f>VLOOKUP($B246,设备架接口信息!$A$1:$G$69,4,0)</f>
        <v>三角螺栓安装</v>
      </c>
      <c r="K246" s="175" t="str">
        <f>VLOOKUP($B246,设备架接口信息!$A$1:$G$69,5,0)</f>
        <v>面搭接</v>
      </c>
      <c r="L246" s="174" t="str">
        <f>VLOOKUP(B246,电搭接情况统计!$B$2:$H$423,7,0)</f>
        <v>CPS1330</v>
      </c>
      <c r="M246" s="175">
        <f>VLOOKUP($B246,设备架接口信息!$A$1:$G$69,6,0)</f>
        <v>0.15</v>
      </c>
      <c r="N246" s="167"/>
      <c r="O246" s="179"/>
      <c r="P246" s="179"/>
      <c r="Q246" s="179"/>
      <c r="R246" s="179"/>
      <c r="S246" s="13" t="s">
        <v>27</v>
      </c>
      <c r="T246"/>
    </row>
    <row r="247" spans="1:20">
      <c r="A247" s="167" t="s">
        <v>438</v>
      </c>
      <c r="B247" s="146" t="s">
        <v>564</v>
      </c>
      <c r="C247" s="167" t="s">
        <v>565</v>
      </c>
      <c r="D247" s="178" t="s">
        <v>566</v>
      </c>
      <c r="E247" s="189" t="s">
        <v>1392</v>
      </c>
      <c r="F247" s="183" t="s">
        <v>36</v>
      </c>
      <c r="G247" s="171">
        <v>1</v>
      </c>
      <c r="H247" s="8" t="s">
        <v>26</v>
      </c>
      <c r="I247" s="172" t="s">
        <v>563</v>
      </c>
      <c r="J247" s="182" t="str">
        <f>VLOOKUP($B247,设备架接口信息!$A$1:$G$69,4,0)</f>
        <v>三角螺栓安装</v>
      </c>
      <c r="K247" s="175" t="str">
        <f>VLOOKUP($B247,设备架接口信息!$A$1:$G$69,5,0)</f>
        <v>面搭接</v>
      </c>
      <c r="L247" s="174" t="str">
        <f>VLOOKUP(B247,电搭接情况统计!$B$2:$H$423,7,0)</f>
        <v>CPS1330</v>
      </c>
      <c r="M247" s="175">
        <f>VLOOKUP($B247,设备架接口信息!$A$1:$G$69,6,0)</f>
        <v>0.15</v>
      </c>
      <c r="N247" s="167"/>
      <c r="O247" s="179"/>
      <c r="P247" s="179"/>
      <c r="Q247" s="179"/>
      <c r="R247" s="179"/>
      <c r="S247" s="13" t="s">
        <v>27</v>
      </c>
      <c r="T247"/>
    </row>
    <row r="248" spans="1:20">
      <c r="A248" s="167" t="s">
        <v>438</v>
      </c>
      <c r="B248" s="146" t="s">
        <v>567</v>
      </c>
      <c r="C248" s="167" t="s">
        <v>565</v>
      </c>
      <c r="D248" s="178" t="s">
        <v>568</v>
      </c>
      <c r="E248" s="189" t="s">
        <v>1392</v>
      </c>
      <c r="F248" s="183" t="s">
        <v>36</v>
      </c>
      <c r="G248" s="171">
        <v>1</v>
      </c>
      <c r="H248" s="8" t="s">
        <v>26</v>
      </c>
      <c r="I248" s="172" t="s">
        <v>563</v>
      </c>
      <c r="J248" s="182" t="str">
        <f>VLOOKUP($B248,设备架接口信息!$A$1:$G$69,4,0)</f>
        <v>三角螺栓安装</v>
      </c>
      <c r="K248" s="175" t="str">
        <f>VLOOKUP($B248,设备架接口信息!$A$1:$G$69,5,0)</f>
        <v>面搭接</v>
      </c>
      <c r="L248" s="174" t="str">
        <f>VLOOKUP(B248,电搭接情况统计!$B$2:$H$423,7,0)</f>
        <v>CPS1330</v>
      </c>
      <c r="M248" s="175">
        <f>VLOOKUP($B248,设备架接口信息!$A$1:$G$69,6,0)</f>
        <v>0.15</v>
      </c>
      <c r="N248" s="167"/>
      <c r="O248" s="179"/>
      <c r="P248" s="179"/>
      <c r="Q248" s="179"/>
      <c r="R248" s="179"/>
      <c r="S248" s="13" t="s">
        <v>27</v>
      </c>
      <c r="T248"/>
    </row>
    <row r="249" spans="1:20">
      <c r="A249" s="167" t="s">
        <v>438</v>
      </c>
      <c r="B249" s="146" t="s">
        <v>569</v>
      </c>
      <c r="C249" s="167" t="s">
        <v>570</v>
      </c>
      <c r="D249" s="178" t="s">
        <v>571</v>
      </c>
      <c r="E249" s="189" t="s">
        <v>1393</v>
      </c>
      <c r="F249" s="183" t="s">
        <v>186</v>
      </c>
      <c r="G249" s="171">
        <v>2</v>
      </c>
      <c r="H249" s="8" t="s">
        <v>26</v>
      </c>
      <c r="I249" s="172"/>
      <c r="J249" s="173"/>
      <c r="K249" s="174"/>
      <c r="L249" s="174"/>
      <c r="M249" s="175"/>
      <c r="N249" s="167"/>
      <c r="O249" s="179"/>
      <c r="P249" s="179"/>
      <c r="Q249" s="179"/>
      <c r="R249" s="179"/>
      <c r="S249" s="13" t="s">
        <v>27</v>
      </c>
      <c r="T249"/>
    </row>
    <row r="250" spans="1:20">
      <c r="A250" s="167" t="s">
        <v>438</v>
      </c>
      <c r="B250" s="146" t="s">
        <v>572</v>
      </c>
      <c r="C250" s="167" t="s">
        <v>570</v>
      </c>
      <c r="D250" s="178" t="s">
        <v>573</v>
      </c>
      <c r="E250" s="189" t="s">
        <v>1393</v>
      </c>
      <c r="F250" s="183" t="s">
        <v>186</v>
      </c>
      <c r="G250" s="171">
        <v>2</v>
      </c>
      <c r="H250" s="8" t="s">
        <v>26</v>
      </c>
      <c r="I250" s="172"/>
      <c r="J250" s="173"/>
      <c r="K250" s="174"/>
      <c r="L250" s="174"/>
      <c r="M250" s="175"/>
      <c r="N250" s="167"/>
      <c r="O250" s="179"/>
      <c r="P250" s="179"/>
      <c r="Q250" s="179"/>
      <c r="R250" s="179"/>
      <c r="S250" s="13" t="s">
        <v>27</v>
      </c>
      <c r="T250"/>
    </row>
    <row r="251" spans="1:20">
      <c r="A251" s="167" t="s">
        <v>438</v>
      </c>
      <c r="B251" s="146" t="s">
        <v>574</v>
      </c>
      <c r="C251" s="167" t="s">
        <v>570</v>
      </c>
      <c r="D251" s="178" t="s">
        <v>575</v>
      </c>
      <c r="E251" s="189" t="s">
        <v>1393</v>
      </c>
      <c r="F251" s="183" t="s">
        <v>186</v>
      </c>
      <c r="G251" s="171">
        <v>2</v>
      </c>
      <c r="H251" s="8" t="s">
        <v>26</v>
      </c>
      <c r="I251" s="172"/>
      <c r="J251" s="173"/>
      <c r="K251" s="174"/>
      <c r="L251" s="174"/>
      <c r="M251" s="175"/>
      <c r="N251" s="167"/>
      <c r="O251" s="179"/>
      <c r="P251" s="179"/>
      <c r="Q251" s="179"/>
      <c r="R251" s="179"/>
      <c r="S251" s="13" t="s">
        <v>27</v>
      </c>
      <c r="T251"/>
    </row>
    <row r="252" spans="1:20">
      <c r="A252" s="167" t="s">
        <v>438</v>
      </c>
      <c r="B252" s="146" t="s">
        <v>576</v>
      </c>
      <c r="C252" s="167" t="s">
        <v>570</v>
      </c>
      <c r="D252" s="178" t="s">
        <v>577</v>
      </c>
      <c r="E252" s="189" t="s">
        <v>1393</v>
      </c>
      <c r="F252" s="183" t="s">
        <v>186</v>
      </c>
      <c r="G252" s="171">
        <v>2</v>
      </c>
      <c r="H252" s="8" t="s">
        <v>26</v>
      </c>
      <c r="I252" s="172"/>
      <c r="J252" s="173"/>
      <c r="K252" s="174"/>
      <c r="L252" s="174"/>
      <c r="M252" s="175"/>
      <c r="N252" s="167"/>
      <c r="O252" s="179"/>
      <c r="P252" s="179"/>
      <c r="Q252" s="179"/>
      <c r="R252" s="179"/>
      <c r="S252" s="13" t="s">
        <v>27</v>
      </c>
      <c r="T252"/>
    </row>
    <row r="253" spans="1:20">
      <c r="A253" s="167" t="s">
        <v>438</v>
      </c>
      <c r="B253" s="198" t="s">
        <v>578</v>
      </c>
      <c r="C253" s="167" t="s">
        <v>579</v>
      </c>
      <c r="D253" s="178" t="s">
        <v>580</v>
      </c>
      <c r="E253" s="189" t="s">
        <v>970</v>
      </c>
      <c r="F253" s="183" t="s">
        <v>36</v>
      </c>
      <c r="G253" s="171">
        <v>1</v>
      </c>
      <c r="H253" s="8" t="s">
        <v>26</v>
      </c>
      <c r="I253" s="172"/>
      <c r="J253" s="182" t="str">
        <f>VLOOKUP($B253,设备架接口信息!$A$1:$G$69,4,0)</f>
        <v>3MCU托架安装，A类锁紧器</v>
      </c>
      <c r="K253" s="175" t="str">
        <f>VLOOKUP($B253,设备架接口信息!$A$1:$G$69,5,0)</f>
        <v>面搭接</v>
      </c>
      <c r="L253" s="174" t="str">
        <f>VLOOKUP(B253,电搭接情况统计!$B$2:$H$423,7,0)</f>
        <v>CPS1330设备壳体-托架-机体支架面面搭接</v>
      </c>
      <c r="M253" s="175">
        <f>VLOOKUP($B253,设备架接口信息!$A$1:$G$69,6,0)</f>
        <v>4.06</v>
      </c>
      <c r="N253" s="167"/>
      <c r="O253" s="179"/>
      <c r="P253" s="179"/>
      <c r="Q253" s="179"/>
      <c r="R253" s="179"/>
      <c r="S253" s="67" t="s">
        <v>37</v>
      </c>
      <c r="T253"/>
    </row>
    <row r="254" spans="1:20">
      <c r="A254" s="167" t="s">
        <v>438</v>
      </c>
      <c r="B254" s="184" t="s">
        <v>581</v>
      </c>
      <c r="C254" s="167" t="s">
        <v>582</v>
      </c>
      <c r="D254" s="178" t="s">
        <v>583</v>
      </c>
      <c r="E254" s="189" t="s">
        <v>970</v>
      </c>
      <c r="F254" s="183" t="s">
        <v>300</v>
      </c>
      <c r="G254" s="171">
        <v>1</v>
      </c>
      <c r="H254" s="8" t="s">
        <v>26</v>
      </c>
      <c r="I254" s="172"/>
      <c r="J254" s="182" t="str">
        <f>VLOOKUP($B254,设备架接口信息!$A$1:$G$69,4,0)</f>
        <v>3MCU托架安装，A类锁紧器</v>
      </c>
      <c r="K254" s="175" t="str">
        <f>VLOOKUP($B254,设备架接口信息!$A$1:$G$69,5,0)</f>
        <v>面搭接</v>
      </c>
      <c r="L254" s="174" t="str">
        <f>VLOOKUP(B254,电搭接情况统计!$B$2:$H$423,7,0)</f>
        <v>CPS1330设备壳体-托架-机体支架面面搭接</v>
      </c>
      <c r="M254" s="175">
        <f>VLOOKUP($B254,设备架接口信息!$A$1:$G$69,6,0)</f>
        <v>4.06</v>
      </c>
      <c r="N254" s="167"/>
      <c r="O254" s="179"/>
      <c r="P254" s="179"/>
      <c r="Q254" s="179"/>
      <c r="R254" s="179"/>
      <c r="S254" s="13" t="s">
        <v>27</v>
      </c>
      <c r="T254"/>
    </row>
    <row r="255" spans="1:20">
      <c r="A255" s="167" t="s">
        <v>438</v>
      </c>
      <c r="B255" s="184" t="s">
        <v>584</v>
      </c>
      <c r="C255" s="167" t="s">
        <v>585</v>
      </c>
      <c r="D255" s="178" t="s">
        <v>586</v>
      </c>
      <c r="E255" s="189" t="s">
        <v>1394</v>
      </c>
      <c r="F255" s="183" t="s">
        <v>364</v>
      </c>
      <c r="G255" s="171">
        <v>1</v>
      </c>
      <c r="H255" s="8" t="s">
        <v>26</v>
      </c>
      <c r="I255" s="172" t="s">
        <v>321</v>
      </c>
      <c r="J255" s="173"/>
      <c r="K255" s="174"/>
      <c r="L255" s="174" t="str">
        <f>VLOOKUP(B255,电搭接情况统计!$B$2:$H$423,7,0)</f>
        <v>CPS1330搭接线</v>
      </c>
      <c r="M255" s="175"/>
      <c r="N255" s="167"/>
      <c r="O255" s="179"/>
      <c r="P255" s="179"/>
      <c r="Q255" s="179"/>
      <c r="R255" s="179"/>
      <c r="S255" s="13" t="s">
        <v>27</v>
      </c>
      <c r="T255"/>
    </row>
    <row r="256" spans="1:20">
      <c r="A256" s="167" t="s">
        <v>438</v>
      </c>
      <c r="B256" s="184" t="s">
        <v>587</v>
      </c>
      <c r="C256" s="167" t="s">
        <v>585</v>
      </c>
      <c r="D256" s="178" t="s">
        <v>588</v>
      </c>
      <c r="E256" s="189" t="s">
        <v>1394</v>
      </c>
      <c r="F256" s="183" t="s">
        <v>364</v>
      </c>
      <c r="G256" s="171">
        <v>1</v>
      </c>
      <c r="H256" s="8" t="s">
        <v>26</v>
      </c>
      <c r="I256" s="172" t="s">
        <v>321</v>
      </c>
      <c r="J256" s="173"/>
      <c r="K256" s="174"/>
      <c r="L256" s="174" t="str">
        <f>VLOOKUP(B256,电搭接情况统计!$B$2:$H$423,7,0)</f>
        <v>CPS1330搭接线</v>
      </c>
      <c r="M256" s="175"/>
      <c r="N256" s="167"/>
      <c r="O256" s="179"/>
      <c r="P256" s="179"/>
      <c r="Q256" s="179"/>
      <c r="R256" s="179"/>
      <c r="S256" s="13" t="s">
        <v>27</v>
      </c>
      <c r="T256"/>
    </row>
    <row r="257" spans="1:20">
      <c r="A257" s="167" t="s">
        <v>438</v>
      </c>
      <c r="B257" s="184" t="s">
        <v>589</v>
      </c>
      <c r="C257" s="167" t="s">
        <v>585</v>
      </c>
      <c r="D257" s="178" t="s">
        <v>590</v>
      </c>
      <c r="E257" s="189" t="s">
        <v>1394</v>
      </c>
      <c r="F257" s="183" t="s">
        <v>364</v>
      </c>
      <c r="G257" s="171">
        <v>1</v>
      </c>
      <c r="H257" s="8" t="s">
        <v>26</v>
      </c>
      <c r="I257" s="172" t="s">
        <v>321</v>
      </c>
      <c r="J257" s="173"/>
      <c r="K257" s="174"/>
      <c r="L257" s="174" t="str">
        <f>VLOOKUP(B257,电搭接情况统计!$B$2:$H$423,7,0)</f>
        <v>CPS1330搭接线</v>
      </c>
      <c r="M257" s="175"/>
      <c r="N257" s="167"/>
      <c r="O257" s="179"/>
      <c r="P257" s="179"/>
      <c r="Q257" s="179"/>
      <c r="R257" s="179"/>
      <c r="S257" s="13" t="s">
        <v>27</v>
      </c>
      <c r="T257"/>
    </row>
    <row r="258" spans="1:20">
      <c r="A258" s="167" t="s">
        <v>438</v>
      </c>
      <c r="B258" s="184" t="s">
        <v>591</v>
      </c>
      <c r="C258" s="167" t="s">
        <v>585</v>
      </c>
      <c r="D258" s="178" t="s">
        <v>592</v>
      </c>
      <c r="E258" s="189" t="s">
        <v>1394</v>
      </c>
      <c r="F258" s="183" t="s">
        <v>364</v>
      </c>
      <c r="G258" s="171">
        <v>1</v>
      </c>
      <c r="H258" s="8" t="s">
        <v>26</v>
      </c>
      <c r="I258" s="172" t="s">
        <v>321</v>
      </c>
      <c r="J258" s="173"/>
      <c r="K258" s="174"/>
      <c r="L258" s="174" t="str">
        <f>VLOOKUP(B258,电搭接情况统计!$B$2:$H$423,7,0)</f>
        <v>CPS1330搭接线</v>
      </c>
      <c r="M258" s="175"/>
      <c r="N258" s="167"/>
      <c r="O258" s="179"/>
      <c r="P258" s="179"/>
      <c r="Q258" s="179"/>
      <c r="R258" s="179"/>
      <c r="S258" s="13" t="s">
        <v>27</v>
      </c>
      <c r="T258"/>
    </row>
    <row r="259" spans="1:20">
      <c r="A259" s="167" t="s">
        <v>438</v>
      </c>
      <c r="B259" s="184" t="s">
        <v>593</v>
      </c>
      <c r="C259" s="167" t="s">
        <v>594</v>
      </c>
      <c r="D259" s="178" t="s">
        <v>595</v>
      </c>
      <c r="E259" s="189" t="s">
        <v>1395</v>
      </c>
      <c r="F259" s="183" t="s">
        <v>442</v>
      </c>
      <c r="G259" s="171">
        <v>1</v>
      </c>
      <c r="H259" s="8" t="s">
        <v>26</v>
      </c>
      <c r="I259" s="172"/>
      <c r="J259" s="173"/>
      <c r="K259" s="174"/>
      <c r="L259" s="174" t="str">
        <f>VLOOKUP(B259,电搭接情况统计!$B$2:$H$423,7,0)</f>
        <v>CPS1330</v>
      </c>
      <c r="M259" s="175"/>
      <c r="N259" s="167"/>
      <c r="O259" s="179"/>
      <c r="P259" s="179"/>
      <c r="Q259" s="179"/>
      <c r="R259" s="179"/>
      <c r="S259" s="13" t="s">
        <v>27</v>
      </c>
      <c r="T259"/>
    </row>
    <row r="260" spans="1:20">
      <c r="A260" s="167" t="s">
        <v>438</v>
      </c>
      <c r="B260" s="184" t="s">
        <v>596</v>
      </c>
      <c r="C260" s="167" t="s">
        <v>594</v>
      </c>
      <c r="D260" s="178" t="s">
        <v>597</v>
      </c>
      <c r="E260" s="189" t="s">
        <v>1395</v>
      </c>
      <c r="F260" s="183" t="s">
        <v>442</v>
      </c>
      <c r="G260" s="171">
        <v>1</v>
      </c>
      <c r="H260" s="8" t="s">
        <v>26</v>
      </c>
      <c r="I260" s="172"/>
      <c r="J260" s="173"/>
      <c r="K260" s="174"/>
      <c r="L260" s="174" t="str">
        <f>VLOOKUP(B260,电搭接情况统计!$B$2:$H$423,7,0)</f>
        <v>CPS1330</v>
      </c>
      <c r="M260" s="175"/>
      <c r="N260" s="167"/>
      <c r="O260" s="179"/>
      <c r="P260" s="179"/>
      <c r="Q260" s="179"/>
      <c r="R260" s="179"/>
      <c r="S260" s="13" t="s">
        <v>27</v>
      </c>
      <c r="T260"/>
    </row>
    <row r="261" spans="1:20">
      <c r="A261" s="167" t="s">
        <v>438</v>
      </c>
      <c r="B261" s="184" t="s">
        <v>598</v>
      </c>
      <c r="C261" s="167" t="s">
        <v>594</v>
      </c>
      <c r="D261" s="178" t="s">
        <v>599</v>
      </c>
      <c r="E261" s="189" t="s">
        <v>1395</v>
      </c>
      <c r="F261" s="183" t="s">
        <v>442</v>
      </c>
      <c r="G261" s="171">
        <v>1</v>
      </c>
      <c r="H261" s="8" t="s">
        <v>26</v>
      </c>
      <c r="I261" s="172"/>
      <c r="J261" s="173"/>
      <c r="K261" s="174"/>
      <c r="L261" s="174" t="str">
        <f>VLOOKUP(B261,电搭接情况统计!$B$2:$H$423,7,0)</f>
        <v>CPS1330</v>
      </c>
      <c r="M261" s="175"/>
      <c r="N261" s="167"/>
      <c r="O261" s="179"/>
      <c r="P261" s="179"/>
      <c r="Q261" s="179"/>
      <c r="R261" s="179"/>
      <c r="S261" s="13" t="s">
        <v>27</v>
      </c>
      <c r="T261"/>
    </row>
    <row r="262" spans="1:20">
      <c r="A262" s="167" t="s">
        <v>438</v>
      </c>
      <c r="B262" s="184" t="s">
        <v>600</v>
      </c>
      <c r="C262" s="167" t="s">
        <v>594</v>
      </c>
      <c r="D262" s="178" t="s">
        <v>601</v>
      </c>
      <c r="E262" s="189" t="s">
        <v>1395</v>
      </c>
      <c r="F262" s="183" t="s">
        <v>442</v>
      </c>
      <c r="G262" s="171">
        <v>1</v>
      </c>
      <c r="H262" s="8" t="s">
        <v>26</v>
      </c>
      <c r="I262" s="172"/>
      <c r="J262" s="173"/>
      <c r="K262" s="174"/>
      <c r="L262" s="174" t="str">
        <f>VLOOKUP(B262,电搭接情况统计!$B$2:$H$423,7,0)</f>
        <v>CPS1330</v>
      </c>
      <c r="M262" s="175"/>
      <c r="N262" s="167"/>
      <c r="O262" s="179"/>
      <c r="P262" s="179"/>
      <c r="Q262" s="179"/>
      <c r="R262" s="179"/>
      <c r="S262" s="13" t="s">
        <v>27</v>
      </c>
      <c r="T262"/>
    </row>
    <row r="263" spans="1:20">
      <c r="A263" s="167" t="s">
        <v>438</v>
      </c>
      <c r="B263" s="184" t="s">
        <v>602</v>
      </c>
      <c r="C263" s="167" t="s">
        <v>603</v>
      </c>
      <c r="D263" s="178" t="s">
        <v>604</v>
      </c>
      <c r="E263" s="167"/>
      <c r="F263" s="183" t="s">
        <v>442</v>
      </c>
      <c r="G263" s="171">
        <v>1</v>
      </c>
      <c r="H263" s="8" t="s">
        <v>26</v>
      </c>
      <c r="I263" s="172"/>
      <c r="J263" s="173"/>
      <c r="K263" s="174"/>
      <c r="L263" s="174" t="str">
        <f>VLOOKUP(B263,电搭接情况统计!$B$2:$H$423,7,0)</f>
        <v>CPS1330</v>
      </c>
      <c r="M263" s="175"/>
      <c r="N263" s="167"/>
      <c r="O263" s="179"/>
      <c r="P263" s="179"/>
      <c r="Q263" s="179"/>
      <c r="R263" s="179"/>
      <c r="S263" s="13" t="s">
        <v>27</v>
      </c>
      <c r="T263"/>
    </row>
    <row r="264" spans="1:20">
      <c r="A264" s="167" t="s">
        <v>438</v>
      </c>
      <c r="B264" s="184" t="s">
        <v>605</v>
      </c>
      <c r="C264" s="167" t="s">
        <v>603</v>
      </c>
      <c r="D264" s="178" t="s">
        <v>606</v>
      </c>
      <c r="E264" s="167"/>
      <c r="F264" s="183" t="s">
        <v>442</v>
      </c>
      <c r="G264" s="171">
        <v>1</v>
      </c>
      <c r="H264" s="8" t="s">
        <v>26</v>
      </c>
      <c r="I264" s="172"/>
      <c r="J264" s="173"/>
      <c r="K264" s="174"/>
      <c r="L264" s="174" t="str">
        <f>VLOOKUP(B264,电搭接情况统计!$B$2:$H$423,7,0)</f>
        <v>CPS1330</v>
      </c>
      <c r="M264" s="175"/>
      <c r="N264" s="167"/>
      <c r="O264" s="179"/>
      <c r="P264" s="179"/>
      <c r="Q264" s="179"/>
      <c r="R264" s="179"/>
      <c r="S264" s="13" t="s">
        <v>27</v>
      </c>
      <c r="T264"/>
    </row>
    <row r="265" spans="1:20">
      <c r="A265" s="167" t="s">
        <v>438</v>
      </c>
      <c r="B265" s="184" t="s">
        <v>607</v>
      </c>
      <c r="C265" s="167" t="s">
        <v>603</v>
      </c>
      <c r="D265" s="178" t="s">
        <v>608</v>
      </c>
      <c r="E265" s="167"/>
      <c r="F265" s="183" t="s">
        <v>442</v>
      </c>
      <c r="G265" s="171">
        <v>1</v>
      </c>
      <c r="H265" s="8" t="s">
        <v>26</v>
      </c>
      <c r="I265" s="172"/>
      <c r="J265" s="173"/>
      <c r="K265" s="174"/>
      <c r="L265" s="174" t="str">
        <f>VLOOKUP(B265,电搭接情况统计!$B$2:$H$423,7,0)</f>
        <v>CPS1330</v>
      </c>
      <c r="M265" s="175"/>
      <c r="N265" s="167"/>
      <c r="O265" s="179"/>
      <c r="P265" s="179"/>
      <c r="Q265" s="179"/>
      <c r="R265" s="179"/>
      <c r="S265" s="13" t="s">
        <v>27</v>
      </c>
      <c r="T265"/>
    </row>
    <row r="266" spans="1:20">
      <c r="A266" s="167" t="s">
        <v>438</v>
      </c>
      <c r="B266" s="184" t="s">
        <v>609</v>
      </c>
      <c r="C266" s="167" t="s">
        <v>603</v>
      </c>
      <c r="D266" s="178" t="s">
        <v>610</v>
      </c>
      <c r="E266" s="167"/>
      <c r="F266" s="183" t="s">
        <v>442</v>
      </c>
      <c r="G266" s="171">
        <v>1</v>
      </c>
      <c r="H266" s="8" t="s">
        <v>26</v>
      </c>
      <c r="I266" s="172"/>
      <c r="J266" s="173"/>
      <c r="K266" s="174"/>
      <c r="L266" s="174" t="str">
        <f>VLOOKUP(B266,电搭接情况统计!$B$2:$H$423,7,0)</f>
        <v>CPS1330</v>
      </c>
      <c r="M266" s="175"/>
      <c r="N266" s="167"/>
      <c r="O266" s="179"/>
      <c r="P266" s="179"/>
      <c r="Q266" s="179"/>
      <c r="R266" s="179"/>
      <c r="S266" s="13" t="s">
        <v>27</v>
      </c>
      <c r="T266"/>
    </row>
    <row r="267" spans="1:20">
      <c r="A267" s="167" t="s">
        <v>438</v>
      </c>
      <c r="B267" s="184" t="s">
        <v>611</v>
      </c>
      <c r="C267" s="167" t="s">
        <v>612</v>
      </c>
      <c r="D267" s="178" t="s">
        <v>613</v>
      </c>
      <c r="E267" s="189" t="s">
        <v>1396</v>
      </c>
      <c r="F267" s="183" t="s">
        <v>442</v>
      </c>
      <c r="G267" s="171">
        <v>1</v>
      </c>
      <c r="H267" s="8" t="s">
        <v>26</v>
      </c>
      <c r="I267" s="172"/>
      <c r="J267" s="173"/>
      <c r="K267" s="174"/>
      <c r="L267" s="174"/>
      <c r="M267" s="175"/>
      <c r="N267" s="167"/>
      <c r="O267" s="179"/>
      <c r="P267" s="179"/>
      <c r="Q267" s="179"/>
      <c r="R267" s="179"/>
      <c r="S267" s="13" t="s">
        <v>27</v>
      </c>
      <c r="T267"/>
    </row>
    <row r="268" spans="1:20">
      <c r="A268" s="167" t="s">
        <v>438</v>
      </c>
      <c r="B268" s="184" t="s">
        <v>614</v>
      </c>
      <c r="C268" s="167" t="s">
        <v>612</v>
      </c>
      <c r="D268" s="178" t="s">
        <v>615</v>
      </c>
      <c r="E268" s="189" t="s">
        <v>1396</v>
      </c>
      <c r="F268" s="183" t="s">
        <v>442</v>
      </c>
      <c r="G268" s="171">
        <v>1</v>
      </c>
      <c r="H268" s="8" t="s">
        <v>26</v>
      </c>
      <c r="I268" s="172"/>
      <c r="J268" s="173"/>
      <c r="K268" s="174"/>
      <c r="L268" s="174"/>
      <c r="M268" s="175"/>
      <c r="N268" s="167"/>
      <c r="O268" s="179"/>
      <c r="P268" s="179"/>
      <c r="Q268" s="179"/>
      <c r="R268" s="179"/>
      <c r="S268" s="13" t="s">
        <v>27</v>
      </c>
      <c r="T268"/>
    </row>
    <row r="269" spans="1:20">
      <c r="A269" s="167" t="s">
        <v>438</v>
      </c>
      <c r="B269" s="184" t="s">
        <v>616</v>
      </c>
      <c r="C269" s="167" t="s">
        <v>612</v>
      </c>
      <c r="D269" s="178" t="s">
        <v>617</v>
      </c>
      <c r="E269" s="189" t="s">
        <v>1396</v>
      </c>
      <c r="F269" s="183" t="s">
        <v>442</v>
      </c>
      <c r="G269" s="171">
        <v>1</v>
      </c>
      <c r="H269" s="8" t="s">
        <v>26</v>
      </c>
      <c r="I269" s="172"/>
      <c r="J269" s="173"/>
      <c r="K269" s="174"/>
      <c r="L269" s="174"/>
      <c r="M269" s="175"/>
      <c r="N269" s="167"/>
      <c r="O269" s="179"/>
      <c r="P269" s="179"/>
      <c r="Q269" s="179"/>
      <c r="R269" s="179"/>
      <c r="S269" s="13" t="s">
        <v>27</v>
      </c>
      <c r="T269"/>
    </row>
    <row r="270" spans="1:20">
      <c r="A270" s="167" t="s">
        <v>438</v>
      </c>
      <c r="B270" s="184" t="s">
        <v>618</v>
      </c>
      <c r="C270" s="167" t="s">
        <v>612</v>
      </c>
      <c r="D270" s="178" t="s">
        <v>619</v>
      </c>
      <c r="E270" s="189" t="s">
        <v>1396</v>
      </c>
      <c r="F270" s="183" t="s">
        <v>442</v>
      </c>
      <c r="G270" s="171">
        <v>1</v>
      </c>
      <c r="H270" s="8" t="s">
        <v>26</v>
      </c>
      <c r="I270" s="172"/>
      <c r="J270" s="173"/>
      <c r="K270" s="174"/>
      <c r="L270" s="174"/>
      <c r="M270" s="175"/>
      <c r="N270" s="167"/>
      <c r="O270" s="179"/>
      <c r="P270" s="179"/>
      <c r="Q270" s="179"/>
      <c r="R270" s="179"/>
      <c r="S270" s="13" t="s">
        <v>27</v>
      </c>
      <c r="T270"/>
    </row>
    <row r="271" spans="1:20">
      <c r="A271" s="167" t="s">
        <v>438</v>
      </c>
      <c r="B271" s="184" t="s">
        <v>620</v>
      </c>
      <c r="C271" s="167" t="s">
        <v>621</v>
      </c>
      <c r="D271" s="178" t="s">
        <v>622</v>
      </c>
      <c r="E271" s="189" t="s">
        <v>1397</v>
      </c>
      <c r="F271" s="183" t="s">
        <v>517</v>
      </c>
      <c r="G271" s="171">
        <v>1</v>
      </c>
      <c r="H271" s="8" t="s">
        <v>26</v>
      </c>
      <c r="I271" s="172"/>
      <c r="J271" s="173"/>
      <c r="K271" s="174"/>
      <c r="L271" s="174" t="str">
        <f>VLOOKUP(B271,电搭接情况统计!$B$2:$H$423,7,0)</f>
        <v>CPS1330</v>
      </c>
      <c r="M271" s="175"/>
      <c r="N271" s="167"/>
      <c r="O271" s="179"/>
      <c r="P271" s="179"/>
      <c r="Q271" s="179"/>
      <c r="R271" s="179"/>
      <c r="S271" s="13" t="s">
        <v>27</v>
      </c>
      <c r="T271"/>
    </row>
    <row r="272" spans="1:20">
      <c r="A272" s="167" t="s">
        <v>438</v>
      </c>
      <c r="B272" s="184" t="s">
        <v>623</v>
      </c>
      <c r="C272" s="167" t="s">
        <v>621</v>
      </c>
      <c r="D272" s="178" t="s">
        <v>624</v>
      </c>
      <c r="E272" s="189" t="s">
        <v>1397</v>
      </c>
      <c r="F272" s="183" t="s">
        <v>517</v>
      </c>
      <c r="G272" s="171">
        <v>1</v>
      </c>
      <c r="H272" s="8" t="s">
        <v>26</v>
      </c>
      <c r="I272" s="172"/>
      <c r="J272" s="173"/>
      <c r="K272" s="174"/>
      <c r="L272" s="174" t="str">
        <f>VLOOKUP(B272,电搭接情况统计!$B$2:$H$423,7,0)</f>
        <v>CPS1330</v>
      </c>
      <c r="M272" s="175"/>
      <c r="N272" s="167"/>
      <c r="O272" s="179"/>
      <c r="P272" s="179"/>
      <c r="Q272" s="179"/>
      <c r="R272" s="179"/>
      <c r="S272" s="13" t="s">
        <v>27</v>
      </c>
      <c r="T272"/>
    </row>
    <row r="273" spans="1:20">
      <c r="A273" s="167" t="s">
        <v>438</v>
      </c>
      <c r="B273" s="184" t="s">
        <v>625</v>
      </c>
      <c r="C273" s="167" t="s">
        <v>626</v>
      </c>
      <c r="D273" s="178" t="s">
        <v>627</v>
      </c>
      <c r="E273" s="189" t="s">
        <v>1398</v>
      </c>
      <c r="F273" s="183" t="s">
        <v>517</v>
      </c>
      <c r="G273" s="171">
        <v>1</v>
      </c>
      <c r="H273" s="8" t="s">
        <v>26</v>
      </c>
      <c r="I273" s="172"/>
      <c r="J273" s="173"/>
      <c r="K273" s="174"/>
      <c r="L273" s="174"/>
      <c r="M273" s="175"/>
      <c r="N273" s="167"/>
      <c r="O273" s="179"/>
      <c r="P273" s="179"/>
      <c r="Q273" s="179"/>
      <c r="R273" s="179"/>
      <c r="S273" s="13" t="s">
        <v>27</v>
      </c>
      <c r="T273"/>
    </row>
    <row r="274" spans="1:20">
      <c r="A274" s="167" t="s">
        <v>438</v>
      </c>
      <c r="B274" s="184" t="s">
        <v>628</v>
      </c>
      <c r="C274" s="167" t="s">
        <v>626</v>
      </c>
      <c r="D274" s="178" t="s">
        <v>629</v>
      </c>
      <c r="E274" s="189" t="s">
        <v>1398</v>
      </c>
      <c r="F274" s="183" t="s">
        <v>517</v>
      </c>
      <c r="G274" s="171">
        <v>1</v>
      </c>
      <c r="H274" s="8" t="s">
        <v>26</v>
      </c>
      <c r="I274" s="172"/>
      <c r="J274" s="173"/>
      <c r="K274" s="174"/>
      <c r="L274" s="174"/>
      <c r="M274" s="175"/>
      <c r="N274" s="167"/>
      <c r="O274" s="179"/>
      <c r="P274" s="179"/>
      <c r="Q274" s="179"/>
      <c r="R274" s="179"/>
      <c r="S274" s="13" t="s">
        <v>27</v>
      </c>
      <c r="T274"/>
    </row>
    <row r="275" spans="1:20">
      <c r="A275" s="167" t="s">
        <v>438</v>
      </c>
      <c r="B275" s="184" t="s">
        <v>630</v>
      </c>
      <c r="C275" s="167" t="s">
        <v>631</v>
      </c>
      <c r="D275" s="178" t="s">
        <v>632</v>
      </c>
      <c r="E275" s="189" t="s">
        <v>1399</v>
      </c>
      <c r="F275" s="183" t="s">
        <v>442</v>
      </c>
      <c r="G275" s="171">
        <v>1</v>
      </c>
      <c r="H275" s="8" t="s">
        <v>26</v>
      </c>
      <c r="I275" s="172"/>
      <c r="J275" s="173"/>
      <c r="K275" s="174"/>
      <c r="L275" s="174" t="str">
        <f>VLOOKUP(B275,电搭接情况统计!$B$2:$H$423,7,0)</f>
        <v>CDS2001</v>
      </c>
      <c r="M275" s="175"/>
      <c r="N275" s="167"/>
      <c r="O275" s="179"/>
      <c r="P275" s="179"/>
      <c r="Q275" s="179"/>
      <c r="R275" s="179"/>
      <c r="S275" s="13" t="s">
        <v>27</v>
      </c>
      <c r="T275"/>
    </row>
    <row r="276" spans="1:20">
      <c r="A276" s="167" t="s">
        <v>438</v>
      </c>
      <c r="B276" s="184" t="s">
        <v>633</v>
      </c>
      <c r="C276" s="167" t="s">
        <v>631</v>
      </c>
      <c r="D276" s="178" t="s">
        <v>634</v>
      </c>
      <c r="E276" s="189" t="s">
        <v>1399</v>
      </c>
      <c r="F276" s="183" t="s">
        <v>442</v>
      </c>
      <c r="G276" s="171">
        <v>1</v>
      </c>
      <c r="H276" s="8" t="s">
        <v>26</v>
      </c>
      <c r="I276" s="172"/>
      <c r="J276" s="173"/>
      <c r="K276" s="174"/>
      <c r="L276" s="174" t="str">
        <f>VLOOKUP(B276,电搭接情况统计!$B$2:$H$423,7,0)</f>
        <v>CDS2001</v>
      </c>
      <c r="M276" s="175"/>
      <c r="N276" s="167"/>
      <c r="O276" s="179"/>
      <c r="P276" s="179"/>
      <c r="Q276" s="179"/>
      <c r="R276" s="179"/>
      <c r="S276" s="13" t="s">
        <v>27</v>
      </c>
      <c r="T276"/>
    </row>
    <row r="277" spans="1:20">
      <c r="A277" s="167" t="s">
        <v>438</v>
      </c>
      <c r="B277" s="184" t="s">
        <v>635</v>
      </c>
      <c r="C277" s="167" t="s">
        <v>631</v>
      </c>
      <c r="D277" s="178" t="s">
        <v>636</v>
      </c>
      <c r="E277" s="189" t="s">
        <v>1399</v>
      </c>
      <c r="F277" s="183" t="s">
        <v>442</v>
      </c>
      <c r="G277" s="171">
        <v>1</v>
      </c>
      <c r="H277" s="8" t="s">
        <v>26</v>
      </c>
      <c r="I277" s="172"/>
      <c r="J277" s="173"/>
      <c r="K277" s="174"/>
      <c r="L277" s="174" t="str">
        <f>VLOOKUP(B277,电搭接情况统计!$B$2:$H$423,7,0)</f>
        <v>CDS2001</v>
      </c>
      <c r="M277" s="175"/>
      <c r="N277" s="167"/>
      <c r="O277" s="179"/>
      <c r="P277" s="179"/>
      <c r="Q277" s="179"/>
      <c r="R277" s="179"/>
      <c r="S277" s="13" t="s">
        <v>27</v>
      </c>
      <c r="T277"/>
    </row>
    <row r="278" spans="1:20">
      <c r="A278" s="167" t="s">
        <v>438</v>
      </c>
      <c r="B278" s="184" t="s">
        <v>637</v>
      </c>
      <c r="C278" s="167" t="s">
        <v>631</v>
      </c>
      <c r="D278" s="178" t="s">
        <v>638</v>
      </c>
      <c r="E278" s="189" t="s">
        <v>1399</v>
      </c>
      <c r="F278" s="183" t="s">
        <v>442</v>
      </c>
      <c r="G278" s="171">
        <v>1</v>
      </c>
      <c r="H278" s="8" t="s">
        <v>26</v>
      </c>
      <c r="I278" s="172"/>
      <c r="J278" s="173"/>
      <c r="K278" s="174"/>
      <c r="L278" s="174" t="str">
        <f>VLOOKUP(B278,电搭接情况统计!$B$2:$H$423,7,0)</f>
        <v>CDS2001</v>
      </c>
      <c r="M278" s="175"/>
      <c r="N278" s="167"/>
      <c r="O278" s="179"/>
      <c r="P278" s="179"/>
      <c r="Q278" s="179"/>
      <c r="R278" s="179"/>
      <c r="S278" s="13" t="s">
        <v>27</v>
      </c>
      <c r="T278"/>
    </row>
    <row r="279" ht="45" spans="1:20">
      <c r="A279" s="167" t="s">
        <v>438</v>
      </c>
      <c r="B279" s="184" t="s">
        <v>639</v>
      </c>
      <c r="C279" s="167" t="s">
        <v>640</v>
      </c>
      <c r="D279" s="178" t="s">
        <v>641</v>
      </c>
      <c r="E279" s="191" t="s">
        <v>1400</v>
      </c>
      <c r="F279" s="183" t="s">
        <v>442</v>
      </c>
      <c r="G279" s="171">
        <v>1</v>
      </c>
      <c r="H279" s="8" t="s">
        <v>26</v>
      </c>
      <c r="I279" s="172"/>
      <c r="J279" s="173"/>
      <c r="K279" s="174"/>
      <c r="L279" s="174" t="str">
        <f>VLOOKUP(B279,电搭接情况统计!$B$2:$H$423,7,0)</f>
        <v>CDS2001</v>
      </c>
      <c r="M279" s="175"/>
      <c r="N279" s="167"/>
      <c r="O279" s="179"/>
      <c r="P279" s="179"/>
      <c r="Q279" s="179"/>
      <c r="R279" s="179"/>
      <c r="S279" s="13" t="s">
        <v>27</v>
      </c>
      <c r="T279"/>
    </row>
    <row r="280" ht="45" spans="1:20">
      <c r="A280" s="167" t="s">
        <v>438</v>
      </c>
      <c r="B280" s="184" t="s">
        <v>642</v>
      </c>
      <c r="C280" s="167" t="s">
        <v>640</v>
      </c>
      <c r="D280" s="178" t="s">
        <v>643</v>
      </c>
      <c r="E280" s="191" t="s">
        <v>1400</v>
      </c>
      <c r="F280" s="183" t="s">
        <v>442</v>
      </c>
      <c r="G280" s="171">
        <v>1</v>
      </c>
      <c r="H280" s="8" t="s">
        <v>26</v>
      </c>
      <c r="I280" s="172"/>
      <c r="J280" s="173"/>
      <c r="K280" s="174"/>
      <c r="L280" s="174" t="str">
        <f>VLOOKUP(B280,电搭接情况统计!$B$2:$H$423,7,0)</f>
        <v>CDS2001</v>
      </c>
      <c r="M280" s="175"/>
      <c r="N280" s="167"/>
      <c r="O280" s="179"/>
      <c r="P280" s="179"/>
      <c r="Q280" s="179"/>
      <c r="R280" s="179"/>
      <c r="S280" s="13" t="s">
        <v>27</v>
      </c>
      <c r="T280"/>
    </row>
    <row r="281" ht="45" spans="1:20">
      <c r="A281" s="167" t="s">
        <v>438</v>
      </c>
      <c r="B281" s="184" t="s">
        <v>644</v>
      </c>
      <c r="C281" s="167" t="s">
        <v>640</v>
      </c>
      <c r="D281" s="178" t="s">
        <v>645</v>
      </c>
      <c r="E281" s="191" t="s">
        <v>1400</v>
      </c>
      <c r="F281" s="183" t="s">
        <v>442</v>
      </c>
      <c r="G281" s="171">
        <v>1</v>
      </c>
      <c r="H281" s="8" t="s">
        <v>26</v>
      </c>
      <c r="I281" s="172"/>
      <c r="J281" s="173"/>
      <c r="K281" s="174"/>
      <c r="L281" s="174" t="str">
        <f>VLOOKUP(B281,电搭接情况统计!$B$2:$H$423,7,0)</f>
        <v>CDS2001</v>
      </c>
      <c r="M281" s="175"/>
      <c r="N281" s="167"/>
      <c r="O281" s="179"/>
      <c r="P281" s="179"/>
      <c r="Q281" s="179"/>
      <c r="R281" s="179"/>
      <c r="S281" s="13" t="s">
        <v>27</v>
      </c>
      <c r="T281"/>
    </row>
    <row r="282" ht="45" spans="1:20">
      <c r="A282" s="167" t="s">
        <v>438</v>
      </c>
      <c r="B282" s="184" t="s">
        <v>646</v>
      </c>
      <c r="C282" s="167" t="s">
        <v>640</v>
      </c>
      <c r="D282" s="178" t="s">
        <v>647</v>
      </c>
      <c r="E282" s="191" t="s">
        <v>1400</v>
      </c>
      <c r="F282" s="183" t="s">
        <v>442</v>
      </c>
      <c r="G282" s="171">
        <v>1</v>
      </c>
      <c r="H282" s="8" t="s">
        <v>26</v>
      </c>
      <c r="I282" s="172"/>
      <c r="J282" s="173"/>
      <c r="K282" s="174"/>
      <c r="L282" s="174" t="str">
        <f>VLOOKUP(B282,电搭接情况统计!$B$2:$H$423,7,0)</f>
        <v>CDS2001</v>
      </c>
      <c r="M282" s="175"/>
      <c r="N282" s="167"/>
      <c r="O282" s="179"/>
      <c r="P282" s="179"/>
      <c r="Q282" s="179"/>
      <c r="R282" s="179"/>
      <c r="S282" s="13" t="s">
        <v>27</v>
      </c>
      <c r="T282"/>
    </row>
    <row r="283" spans="1:20">
      <c r="A283" s="167" t="s">
        <v>438</v>
      </c>
      <c r="B283" s="184" t="s">
        <v>648</v>
      </c>
      <c r="C283" s="167" t="s">
        <v>649</v>
      </c>
      <c r="D283" s="178" t="s">
        <v>650</v>
      </c>
      <c r="E283" s="189" t="s">
        <v>1401</v>
      </c>
      <c r="F283" s="183" t="s">
        <v>442</v>
      </c>
      <c r="G283" s="171">
        <v>1</v>
      </c>
      <c r="H283" s="8" t="s">
        <v>26</v>
      </c>
      <c r="I283" s="172"/>
      <c r="J283" s="173"/>
      <c r="K283" s="174"/>
      <c r="L283" s="174" t="str">
        <f>VLOOKUP(B283,电搭接情况统计!$B$2:$H$423,7,0)</f>
        <v>CDS2001</v>
      </c>
      <c r="M283" s="175"/>
      <c r="N283" s="167"/>
      <c r="O283" s="179"/>
      <c r="P283" s="179"/>
      <c r="Q283" s="179"/>
      <c r="R283" s="179"/>
      <c r="S283" s="13" t="s">
        <v>27</v>
      </c>
      <c r="T283"/>
    </row>
    <row r="284" spans="1:20">
      <c r="A284" s="167" t="s">
        <v>438</v>
      </c>
      <c r="B284" s="184" t="s">
        <v>651</v>
      </c>
      <c r="C284" s="167" t="s">
        <v>649</v>
      </c>
      <c r="D284" s="178" t="s">
        <v>652</v>
      </c>
      <c r="E284" s="189" t="s">
        <v>1401</v>
      </c>
      <c r="F284" s="183" t="s">
        <v>442</v>
      </c>
      <c r="G284" s="171">
        <v>1</v>
      </c>
      <c r="H284" s="8" t="s">
        <v>26</v>
      </c>
      <c r="I284" s="172"/>
      <c r="J284" s="173"/>
      <c r="K284" s="174"/>
      <c r="L284" s="174" t="str">
        <f>VLOOKUP(B284,电搭接情况统计!$B$2:$H$423,7,0)</f>
        <v>CDS2001</v>
      </c>
      <c r="M284" s="175"/>
      <c r="N284" s="167"/>
      <c r="O284" s="179"/>
      <c r="P284" s="179"/>
      <c r="Q284" s="179"/>
      <c r="R284" s="179"/>
      <c r="S284" s="13" t="s">
        <v>27</v>
      </c>
      <c r="T284"/>
    </row>
    <row r="285" spans="1:20">
      <c r="A285" s="167" t="s">
        <v>438</v>
      </c>
      <c r="B285" s="184" t="s">
        <v>653</v>
      </c>
      <c r="C285" s="167" t="s">
        <v>649</v>
      </c>
      <c r="D285" s="178" t="s">
        <v>654</v>
      </c>
      <c r="E285" s="189" t="s">
        <v>1401</v>
      </c>
      <c r="F285" s="183" t="s">
        <v>442</v>
      </c>
      <c r="G285" s="171">
        <v>1</v>
      </c>
      <c r="H285" s="8" t="s">
        <v>26</v>
      </c>
      <c r="I285" s="172"/>
      <c r="J285" s="173"/>
      <c r="K285" s="174"/>
      <c r="L285" s="174" t="str">
        <f>VLOOKUP(B285,电搭接情况统计!$B$2:$H$423,7,0)</f>
        <v>CDS2001</v>
      </c>
      <c r="M285" s="175"/>
      <c r="N285" s="167"/>
      <c r="O285" s="179"/>
      <c r="P285" s="179"/>
      <c r="Q285" s="179"/>
      <c r="R285" s="179"/>
      <c r="S285" s="13" t="s">
        <v>27</v>
      </c>
      <c r="T285"/>
    </row>
    <row r="286" spans="1:20">
      <c r="A286" s="167" t="s">
        <v>438</v>
      </c>
      <c r="B286" s="184" t="s">
        <v>655</v>
      </c>
      <c r="C286" s="167" t="s">
        <v>649</v>
      </c>
      <c r="D286" s="178" t="s">
        <v>656</v>
      </c>
      <c r="E286" s="189" t="s">
        <v>1401</v>
      </c>
      <c r="F286" s="183" t="s">
        <v>442</v>
      </c>
      <c r="G286" s="171">
        <v>1</v>
      </c>
      <c r="H286" s="8" t="s">
        <v>26</v>
      </c>
      <c r="I286" s="172"/>
      <c r="J286" s="173"/>
      <c r="K286" s="174"/>
      <c r="L286" s="174" t="str">
        <f>VLOOKUP(B286,电搭接情况统计!$B$2:$H$423,7,0)</f>
        <v>CDS2001</v>
      </c>
      <c r="M286" s="175"/>
      <c r="N286" s="167"/>
      <c r="O286" s="179"/>
      <c r="P286" s="179"/>
      <c r="Q286" s="179"/>
      <c r="R286" s="179"/>
      <c r="S286" s="13" t="s">
        <v>27</v>
      </c>
      <c r="T286"/>
    </row>
    <row r="287" spans="1:20">
      <c r="A287" s="167" t="s">
        <v>438</v>
      </c>
      <c r="B287" s="146" t="s">
        <v>657</v>
      </c>
      <c r="C287" s="167" t="s">
        <v>658</v>
      </c>
      <c r="D287" s="178" t="s">
        <v>659</v>
      </c>
      <c r="E287" s="189" t="s">
        <v>1402</v>
      </c>
      <c r="F287" s="183" t="s">
        <v>44</v>
      </c>
      <c r="G287" s="171">
        <v>2</v>
      </c>
      <c r="H287" s="8" t="s">
        <v>26</v>
      </c>
      <c r="I287" s="172"/>
      <c r="J287" s="173"/>
      <c r="K287" s="174"/>
      <c r="L287" s="174" t="str">
        <f>VLOOKUP(B287,电搭接情况统计!$B$2:$H$423,7,0)</f>
        <v>CPS1330壳体面面搭接</v>
      </c>
      <c r="M287" s="175"/>
      <c r="N287" s="167"/>
      <c r="O287" s="179"/>
      <c r="P287" s="179"/>
      <c r="Q287" s="179"/>
      <c r="R287" s="179"/>
      <c r="S287" s="13" t="s">
        <v>27</v>
      </c>
      <c r="T287"/>
    </row>
    <row r="288" spans="1:20">
      <c r="A288" s="167" t="s">
        <v>438</v>
      </c>
      <c r="B288" s="146" t="s">
        <v>660</v>
      </c>
      <c r="C288" s="167" t="s">
        <v>661</v>
      </c>
      <c r="D288" s="178" t="s">
        <v>662</v>
      </c>
      <c r="E288" s="189" t="s">
        <v>1402</v>
      </c>
      <c r="F288" s="183" t="s">
        <v>44</v>
      </c>
      <c r="G288" s="171">
        <v>2</v>
      </c>
      <c r="H288" s="8" t="s">
        <v>26</v>
      </c>
      <c r="I288" s="172"/>
      <c r="J288" s="173"/>
      <c r="K288" s="174"/>
      <c r="L288" s="174" t="str">
        <f>VLOOKUP(B288,电搭接情况统计!$B$2:$H$423,7,0)</f>
        <v>CPS1330壳体面面搭接</v>
      </c>
      <c r="M288" s="175"/>
      <c r="N288" s="167"/>
      <c r="O288" s="179"/>
      <c r="P288" s="179"/>
      <c r="Q288" s="179"/>
      <c r="R288" s="179"/>
      <c r="S288" s="13" t="s">
        <v>27</v>
      </c>
      <c r="T288"/>
    </row>
    <row r="289" spans="1:20">
      <c r="A289" s="167" t="s">
        <v>438</v>
      </c>
      <c r="B289" s="184" t="s">
        <v>663</v>
      </c>
      <c r="C289" s="167" t="s">
        <v>664</v>
      </c>
      <c r="D289" s="178" t="s">
        <v>665</v>
      </c>
      <c r="E289" s="189" t="s">
        <v>1403</v>
      </c>
      <c r="F289" s="183" t="s">
        <v>119</v>
      </c>
      <c r="G289" s="171">
        <v>1</v>
      </c>
      <c r="H289" s="8" t="s">
        <v>26</v>
      </c>
      <c r="I289" s="172" t="s">
        <v>321</v>
      </c>
      <c r="J289" s="173"/>
      <c r="K289" s="174"/>
      <c r="L289" s="174" t="str">
        <f>VLOOKUP(B289,电搭接情况统计!$B$2:$H$423,7,0)</f>
        <v>CPS1330搭接线</v>
      </c>
      <c r="M289" s="175"/>
      <c r="N289" s="167"/>
      <c r="O289" s="179"/>
      <c r="P289" s="179"/>
      <c r="Q289" s="179"/>
      <c r="R289" s="179"/>
      <c r="S289" s="13" t="s">
        <v>27</v>
      </c>
      <c r="T289"/>
    </row>
    <row r="290" spans="1:20">
      <c r="A290" s="167" t="s">
        <v>438</v>
      </c>
      <c r="B290" s="184" t="s">
        <v>666</v>
      </c>
      <c r="C290" s="167" t="s">
        <v>667</v>
      </c>
      <c r="D290" s="178" t="s">
        <v>668</v>
      </c>
      <c r="E290" s="189" t="s">
        <v>1404</v>
      </c>
      <c r="F290" s="183" t="s">
        <v>517</v>
      </c>
      <c r="G290" s="171">
        <v>1</v>
      </c>
      <c r="H290" s="8" t="s">
        <v>26</v>
      </c>
      <c r="I290" s="172"/>
      <c r="J290" s="173"/>
      <c r="K290" s="174"/>
      <c r="L290" s="174" t="str">
        <f>VLOOKUP(B290,电搭接情况统计!$B$2:$H$423,7,0)</f>
        <v>CPS1330，设备壳体面面搭接</v>
      </c>
      <c r="M290" s="175"/>
      <c r="N290" s="167"/>
      <c r="O290" s="179"/>
      <c r="P290" s="179"/>
      <c r="Q290" s="179"/>
      <c r="R290" s="179"/>
      <c r="S290" s="13" t="s">
        <v>27</v>
      </c>
      <c r="T290"/>
    </row>
    <row r="291" spans="1:20">
      <c r="A291" s="167" t="s">
        <v>438</v>
      </c>
      <c r="B291" s="184" t="s">
        <v>669</v>
      </c>
      <c r="C291" s="167" t="s">
        <v>670</v>
      </c>
      <c r="D291" s="178" t="s">
        <v>671</v>
      </c>
      <c r="E291" s="189" t="s">
        <v>1405</v>
      </c>
      <c r="F291" s="183" t="s">
        <v>517</v>
      </c>
      <c r="G291" s="171">
        <v>1</v>
      </c>
      <c r="H291" s="8" t="s">
        <v>26</v>
      </c>
      <c r="I291" s="172"/>
      <c r="J291" s="173"/>
      <c r="K291" s="174"/>
      <c r="L291" s="174" t="str">
        <f>VLOOKUP(B291,电搭接情况统计!$B$2:$H$423,7,0)</f>
        <v>CPS1331，设备壳体面面搭接</v>
      </c>
      <c r="M291" s="175"/>
      <c r="N291" s="167"/>
      <c r="O291" s="179"/>
      <c r="P291" s="179"/>
      <c r="Q291" s="179"/>
      <c r="R291" s="179"/>
      <c r="S291" s="13" t="s">
        <v>27</v>
      </c>
      <c r="T291"/>
    </row>
    <row r="292" spans="1:20">
      <c r="A292" s="167" t="s">
        <v>438</v>
      </c>
      <c r="B292" s="146" t="s">
        <v>672</v>
      </c>
      <c r="C292" s="167" t="s">
        <v>673</v>
      </c>
      <c r="D292" s="178" t="s">
        <v>674</v>
      </c>
      <c r="E292" s="189" t="s">
        <v>1382</v>
      </c>
      <c r="F292" s="183" t="s">
        <v>517</v>
      </c>
      <c r="G292" s="171">
        <v>1</v>
      </c>
      <c r="H292" s="8" t="s">
        <v>26</v>
      </c>
      <c r="I292" s="172"/>
      <c r="J292" s="173"/>
      <c r="K292" s="174"/>
      <c r="L292" s="174" t="str">
        <f>VLOOKUP(B292,电搭接情况统计!$B$2:$H$423,7,0)</f>
        <v>CPS1330</v>
      </c>
      <c r="M292" s="175"/>
      <c r="N292" s="167"/>
      <c r="O292" s="179"/>
      <c r="P292" s="179"/>
      <c r="Q292" s="179"/>
      <c r="R292" s="179"/>
      <c r="S292" s="13" t="s">
        <v>27</v>
      </c>
      <c r="T292"/>
    </row>
    <row r="293" spans="1:20">
      <c r="A293" s="167" t="s">
        <v>438</v>
      </c>
      <c r="B293" s="146" t="s">
        <v>675</v>
      </c>
      <c r="C293" s="167" t="s">
        <v>673</v>
      </c>
      <c r="D293" s="178" t="s">
        <v>676</v>
      </c>
      <c r="E293" s="189" t="s">
        <v>1382</v>
      </c>
      <c r="F293" s="183" t="s">
        <v>517</v>
      </c>
      <c r="G293" s="171">
        <v>1</v>
      </c>
      <c r="H293" s="8" t="s">
        <v>26</v>
      </c>
      <c r="I293" s="172"/>
      <c r="J293" s="173"/>
      <c r="K293" s="174"/>
      <c r="L293" s="174" t="str">
        <f>VLOOKUP(B293,电搭接情况统计!$B$2:$H$423,7,0)</f>
        <v>CPS1330</v>
      </c>
      <c r="M293" s="175"/>
      <c r="N293" s="167"/>
      <c r="O293" s="179"/>
      <c r="P293" s="179"/>
      <c r="Q293" s="179"/>
      <c r="R293" s="179"/>
      <c r="S293" s="13" t="s">
        <v>27</v>
      </c>
      <c r="T293"/>
    </row>
    <row r="294" spans="1:20">
      <c r="A294" s="167" t="s">
        <v>438</v>
      </c>
      <c r="B294" s="184" t="s">
        <v>677</v>
      </c>
      <c r="C294" s="167" t="s">
        <v>678</v>
      </c>
      <c r="D294" s="178" t="s">
        <v>679</v>
      </c>
      <c r="E294" s="189" t="s">
        <v>1406</v>
      </c>
      <c r="F294" s="183" t="s">
        <v>36</v>
      </c>
      <c r="G294" s="171">
        <v>1</v>
      </c>
      <c r="H294" s="8" t="s">
        <v>26</v>
      </c>
      <c r="I294" s="172"/>
      <c r="J294" s="182" t="str">
        <f>VLOOKUP($B294,设备架接口信息!$A$1:$G$69,4,0)</f>
        <v>2MCU托架安装，A类锁紧器</v>
      </c>
      <c r="K294" s="175" t="str">
        <f>VLOOKUP($B294,设备架接口信息!$A$1:$G$69,5,0)</f>
        <v>面搭接</v>
      </c>
      <c r="L294" s="174" t="str">
        <f>VLOOKUP(B294,电搭接情况统计!$B$2:$H$423,7,0)</f>
        <v>CPS1330设备壳体-托架-机体支架面面搭接</v>
      </c>
      <c r="M294" s="175">
        <f>VLOOKUP($B294,设备架接口信息!$A$1:$G$69,6,0)</f>
        <v>6</v>
      </c>
      <c r="N294" s="167"/>
      <c r="O294" s="179"/>
      <c r="P294" s="179"/>
      <c r="Q294" s="179"/>
      <c r="R294" s="179"/>
      <c r="S294" s="67" t="s">
        <v>37</v>
      </c>
      <c r="T294"/>
    </row>
    <row r="295" spans="1:20">
      <c r="A295" s="167" t="s">
        <v>438</v>
      </c>
      <c r="B295" s="184" t="s">
        <v>680</v>
      </c>
      <c r="C295" s="167" t="s">
        <v>678</v>
      </c>
      <c r="D295" s="174" t="s">
        <v>681</v>
      </c>
      <c r="E295" s="189" t="s">
        <v>1406</v>
      </c>
      <c r="F295" s="196" t="s">
        <v>320</v>
      </c>
      <c r="G295" s="171">
        <v>1</v>
      </c>
      <c r="H295" s="8" t="s">
        <v>26</v>
      </c>
      <c r="I295" s="172"/>
      <c r="J295" s="182" t="str">
        <f>VLOOKUP($B295,设备架接口信息!$A$1:$G$69,4,0)</f>
        <v>2MCU托架安装，A类锁紧器</v>
      </c>
      <c r="K295" s="175" t="str">
        <f>VLOOKUP($B295,设备架接口信息!$A$1:$G$69,5,0)</f>
        <v>面搭接</v>
      </c>
      <c r="L295" s="174" t="str">
        <f>VLOOKUP(B295,电搭接情况统计!$B$2:$H$423,7,0)</f>
        <v>CPS1330设备壳体-托架-机体支架面面搭接</v>
      </c>
      <c r="M295" s="175">
        <f>VLOOKUP($B295,设备架接口信息!$A$1:$G$69,6,0)</f>
        <v>6</v>
      </c>
      <c r="N295" s="167"/>
      <c r="O295" s="179"/>
      <c r="P295" s="179"/>
      <c r="Q295" s="179"/>
      <c r="R295" s="179"/>
      <c r="S295" s="67" t="s">
        <v>37</v>
      </c>
      <c r="T295"/>
    </row>
    <row r="296" spans="1:20">
      <c r="A296" s="167" t="s">
        <v>438</v>
      </c>
      <c r="B296" s="146" t="s">
        <v>682</v>
      </c>
      <c r="C296" s="167" t="s">
        <v>683</v>
      </c>
      <c r="D296" s="174" t="s">
        <v>684</v>
      </c>
      <c r="E296" s="167"/>
      <c r="F296" s="183" t="s">
        <v>683</v>
      </c>
      <c r="G296" s="171">
        <v>1</v>
      </c>
      <c r="H296" s="8" t="s">
        <v>26</v>
      </c>
      <c r="I296" s="172"/>
      <c r="J296" s="173"/>
      <c r="K296" s="174"/>
      <c r="L296" s="174"/>
      <c r="M296" s="175"/>
      <c r="N296" s="167"/>
      <c r="O296" s="179"/>
      <c r="P296" s="179"/>
      <c r="Q296" s="179"/>
      <c r="R296" s="179"/>
      <c r="S296" s="13" t="s">
        <v>27</v>
      </c>
      <c r="T296"/>
    </row>
    <row r="297" spans="1:20">
      <c r="A297" s="167" t="s">
        <v>685</v>
      </c>
      <c r="B297" s="146" t="s">
        <v>686</v>
      </c>
      <c r="C297" s="167" t="s">
        <v>687</v>
      </c>
      <c r="D297" s="178" t="s">
        <v>688</v>
      </c>
      <c r="E297" s="167"/>
      <c r="F297" s="183" t="s">
        <v>50</v>
      </c>
      <c r="G297" s="171">
        <v>2</v>
      </c>
      <c r="H297" s="8" t="s">
        <v>26</v>
      </c>
      <c r="I297" s="172"/>
      <c r="J297" s="173"/>
      <c r="K297" s="174"/>
      <c r="L297" s="174"/>
      <c r="M297" s="175"/>
      <c r="N297" s="167"/>
      <c r="O297" s="179"/>
      <c r="P297" s="179"/>
      <c r="Q297" s="179"/>
      <c r="R297" s="179"/>
      <c r="S297" s="13" t="s">
        <v>27</v>
      </c>
      <c r="T297"/>
    </row>
    <row r="298" spans="1:20">
      <c r="A298" s="167" t="s">
        <v>685</v>
      </c>
      <c r="B298" s="146" t="s">
        <v>689</v>
      </c>
      <c r="C298" s="167" t="s">
        <v>690</v>
      </c>
      <c r="D298" s="178" t="s">
        <v>691</v>
      </c>
      <c r="E298" s="167"/>
      <c r="F298" s="183" t="s">
        <v>186</v>
      </c>
      <c r="G298" s="171">
        <v>2</v>
      </c>
      <c r="H298" s="8" t="s">
        <v>26</v>
      </c>
      <c r="I298" s="172"/>
      <c r="J298" s="173"/>
      <c r="K298" s="174"/>
      <c r="L298" s="174"/>
      <c r="M298" s="175"/>
      <c r="N298" s="167"/>
      <c r="O298" s="179"/>
      <c r="P298" s="179"/>
      <c r="Q298" s="179"/>
      <c r="R298" s="179"/>
      <c r="S298" s="13" t="s">
        <v>27</v>
      </c>
      <c r="T298"/>
    </row>
    <row r="299" spans="1:20">
      <c r="A299" s="167" t="s">
        <v>685</v>
      </c>
      <c r="B299" s="146" t="s">
        <v>692</v>
      </c>
      <c r="C299" s="167" t="s">
        <v>690</v>
      </c>
      <c r="D299" s="178" t="s">
        <v>693</v>
      </c>
      <c r="E299" s="167"/>
      <c r="F299" s="183" t="s">
        <v>186</v>
      </c>
      <c r="G299" s="171">
        <v>2</v>
      </c>
      <c r="H299" s="8" t="s">
        <v>26</v>
      </c>
      <c r="I299" s="172"/>
      <c r="J299" s="173"/>
      <c r="K299" s="174"/>
      <c r="L299" s="174"/>
      <c r="M299" s="175"/>
      <c r="N299" s="167"/>
      <c r="O299" s="179"/>
      <c r="P299" s="179"/>
      <c r="Q299" s="179"/>
      <c r="R299" s="179"/>
      <c r="S299" s="13" t="s">
        <v>27</v>
      </c>
      <c r="T299"/>
    </row>
    <row r="300" spans="1:20">
      <c r="A300" s="167" t="s">
        <v>685</v>
      </c>
      <c r="B300" s="146" t="s">
        <v>694</v>
      </c>
      <c r="C300" s="167" t="s">
        <v>695</v>
      </c>
      <c r="D300" s="178" t="s">
        <v>696</v>
      </c>
      <c r="E300" s="167"/>
      <c r="F300" s="183" t="s">
        <v>186</v>
      </c>
      <c r="G300" s="171">
        <v>2</v>
      </c>
      <c r="H300" s="8" t="s">
        <v>26</v>
      </c>
      <c r="I300" s="172"/>
      <c r="J300" s="173"/>
      <c r="K300" s="174"/>
      <c r="L300" s="174"/>
      <c r="M300" s="175"/>
      <c r="N300" s="167"/>
      <c r="O300" s="179"/>
      <c r="P300" s="179"/>
      <c r="Q300" s="179"/>
      <c r="R300" s="179"/>
      <c r="S300" s="13" t="s">
        <v>27</v>
      </c>
      <c r="T300"/>
    </row>
    <row r="301" spans="1:20">
      <c r="A301" s="167" t="s">
        <v>685</v>
      </c>
      <c r="B301" s="146" t="s">
        <v>697</v>
      </c>
      <c r="C301" s="167" t="s">
        <v>695</v>
      </c>
      <c r="D301" s="178" t="s">
        <v>698</v>
      </c>
      <c r="E301" s="167"/>
      <c r="F301" s="183" t="s">
        <v>186</v>
      </c>
      <c r="G301" s="171">
        <v>2</v>
      </c>
      <c r="H301" s="8" t="s">
        <v>26</v>
      </c>
      <c r="I301" s="172"/>
      <c r="J301" s="173"/>
      <c r="K301" s="174"/>
      <c r="L301" s="174"/>
      <c r="M301" s="175"/>
      <c r="N301" s="167"/>
      <c r="O301" s="179"/>
      <c r="P301" s="179"/>
      <c r="Q301" s="179"/>
      <c r="R301" s="179"/>
      <c r="S301" s="13" t="s">
        <v>27</v>
      </c>
      <c r="T301"/>
    </row>
    <row r="302" spans="1:20">
      <c r="A302" s="167" t="s">
        <v>685</v>
      </c>
      <c r="B302" s="146" t="s">
        <v>699</v>
      </c>
      <c r="C302" s="167" t="s">
        <v>700</v>
      </c>
      <c r="D302" s="178" t="s">
        <v>701</v>
      </c>
      <c r="E302" s="167"/>
      <c r="F302" s="183" t="s">
        <v>186</v>
      </c>
      <c r="G302" s="171">
        <v>2</v>
      </c>
      <c r="H302" s="8" t="s">
        <v>26</v>
      </c>
      <c r="I302" s="172"/>
      <c r="J302" s="173"/>
      <c r="K302" s="174"/>
      <c r="L302" s="174"/>
      <c r="M302" s="175"/>
      <c r="N302" s="167"/>
      <c r="O302" s="179"/>
      <c r="P302" s="179"/>
      <c r="Q302" s="179"/>
      <c r="R302" s="179"/>
      <c r="S302" s="13" t="s">
        <v>27</v>
      </c>
      <c r="T302"/>
    </row>
    <row r="303" spans="1:20">
      <c r="A303" s="167" t="s">
        <v>685</v>
      </c>
      <c r="B303" s="146" t="s">
        <v>702</v>
      </c>
      <c r="C303" s="167" t="s">
        <v>700</v>
      </c>
      <c r="D303" s="178" t="s">
        <v>703</v>
      </c>
      <c r="E303" s="167"/>
      <c r="F303" s="183" t="s">
        <v>186</v>
      </c>
      <c r="G303" s="171">
        <v>2</v>
      </c>
      <c r="H303" s="8" t="s">
        <v>26</v>
      </c>
      <c r="I303" s="172"/>
      <c r="J303" s="173"/>
      <c r="K303" s="174"/>
      <c r="L303" s="174"/>
      <c r="M303" s="175"/>
      <c r="N303" s="167"/>
      <c r="O303" s="179"/>
      <c r="P303" s="179"/>
      <c r="Q303" s="179"/>
      <c r="R303" s="179"/>
      <c r="S303" s="13" t="s">
        <v>27</v>
      </c>
      <c r="T303"/>
    </row>
    <row r="304" spans="1:20">
      <c r="A304" s="167" t="s">
        <v>685</v>
      </c>
      <c r="B304" s="146" t="s">
        <v>704</v>
      </c>
      <c r="C304" s="167" t="s">
        <v>705</v>
      </c>
      <c r="D304" s="174" t="s">
        <v>706</v>
      </c>
      <c r="E304" s="167" t="s">
        <v>707</v>
      </c>
      <c r="F304" s="199" t="s">
        <v>683</v>
      </c>
      <c r="G304" s="171">
        <v>2</v>
      </c>
      <c r="H304" s="8" t="s">
        <v>26</v>
      </c>
      <c r="I304" s="172"/>
      <c r="J304" s="173"/>
      <c r="K304" s="174"/>
      <c r="L304" s="174"/>
      <c r="M304" s="175"/>
      <c r="N304" s="167"/>
      <c r="O304" s="179"/>
      <c r="P304" s="179"/>
      <c r="Q304" s="179"/>
      <c r="R304" s="179"/>
      <c r="S304" s="13" t="s">
        <v>27</v>
      </c>
      <c r="T304"/>
    </row>
    <row r="305" spans="1:20">
      <c r="A305" s="167" t="s">
        <v>685</v>
      </c>
      <c r="B305" s="146" t="s">
        <v>709</v>
      </c>
      <c r="C305" s="167" t="s">
        <v>710</v>
      </c>
      <c r="D305" s="178" t="s">
        <v>711</v>
      </c>
      <c r="E305" s="167"/>
      <c r="F305" s="183" t="s">
        <v>50</v>
      </c>
      <c r="G305" s="171">
        <v>2</v>
      </c>
      <c r="H305" s="8" t="s">
        <v>26</v>
      </c>
      <c r="I305" s="172"/>
      <c r="J305" s="173"/>
      <c r="K305" s="174"/>
      <c r="L305" s="174"/>
      <c r="M305" s="175"/>
      <c r="N305" s="167"/>
      <c r="O305" s="179"/>
      <c r="P305" s="179"/>
      <c r="Q305" s="179"/>
      <c r="R305" s="179"/>
      <c r="S305" s="13" t="s">
        <v>27</v>
      </c>
      <c r="T305"/>
    </row>
    <row r="306" spans="1:20">
      <c r="A306" s="167" t="s">
        <v>685</v>
      </c>
      <c r="B306" s="146" t="s">
        <v>712</v>
      </c>
      <c r="C306" s="167" t="s">
        <v>710</v>
      </c>
      <c r="D306" s="178" t="s">
        <v>713</v>
      </c>
      <c r="E306" s="167"/>
      <c r="F306" s="183" t="s">
        <v>50</v>
      </c>
      <c r="G306" s="171">
        <v>2</v>
      </c>
      <c r="H306" s="8" t="s">
        <v>26</v>
      </c>
      <c r="I306" s="172"/>
      <c r="J306" s="173"/>
      <c r="K306" s="174"/>
      <c r="L306" s="174"/>
      <c r="M306" s="175"/>
      <c r="N306" s="167"/>
      <c r="O306" s="179"/>
      <c r="P306" s="179"/>
      <c r="Q306" s="179"/>
      <c r="R306" s="179"/>
      <c r="S306" s="13" t="s">
        <v>27</v>
      </c>
      <c r="T306"/>
    </row>
    <row r="307" ht="14.1" customHeight="1" spans="1:20">
      <c r="A307" s="167" t="s">
        <v>685</v>
      </c>
      <c r="B307" s="184" t="s">
        <v>714</v>
      </c>
      <c r="C307" s="167" t="s">
        <v>715</v>
      </c>
      <c r="D307" s="178" t="s">
        <v>716</v>
      </c>
      <c r="E307" s="189" t="s">
        <v>717</v>
      </c>
      <c r="F307" s="183" t="s">
        <v>718</v>
      </c>
      <c r="G307" s="171">
        <v>1</v>
      </c>
      <c r="H307" s="8" t="s">
        <v>26</v>
      </c>
      <c r="I307" s="172"/>
      <c r="J307" s="173" t="s">
        <v>380</v>
      </c>
      <c r="K307" s="174"/>
      <c r="L307" s="174"/>
      <c r="M307" s="175">
        <v>0.106</v>
      </c>
      <c r="N307" s="167"/>
      <c r="O307" s="179"/>
      <c r="P307" s="179"/>
      <c r="Q307" s="179"/>
      <c r="R307" s="179"/>
      <c r="S307" s="13" t="s">
        <v>27</v>
      </c>
      <c r="T307"/>
    </row>
    <row r="308" spans="1:20">
      <c r="A308" s="167" t="s">
        <v>685</v>
      </c>
      <c r="B308" s="184" t="s">
        <v>719</v>
      </c>
      <c r="C308" s="167" t="s">
        <v>720</v>
      </c>
      <c r="D308" s="178" t="s">
        <v>721</v>
      </c>
      <c r="E308" s="189" t="s">
        <v>722</v>
      </c>
      <c r="F308" s="183" t="s">
        <v>723</v>
      </c>
      <c r="G308" s="171">
        <v>1</v>
      </c>
      <c r="H308" s="8" t="s">
        <v>26</v>
      </c>
      <c r="I308" s="174" t="s">
        <v>724</v>
      </c>
      <c r="J308" s="173" t="s">
        <v>380</v>
      </c>
      <c r="K308" s="174"/>
      <c r="L308" s="174"/>
      <c r="M308" s="175">
        <v>0.096</v>
      </c>
      <c r="N308" s="167"/>
      <c r="O308" s="179"/>
      <c r="P308" s="179"/>
      <c r="Q308" s="179"/>
      <c r="R308" s="179"/>
      <c r="S308" s="13" t="s">
        <v>27</v>
      </c>
      <c r="T308"/>
    </row>
    <row r="309" spans="1:20">
      <c r="A309" s="167" t="s">
        <v>685</v>
      </c>
      <c r="B309" s="184" t="s">
        <v>725</v>
      </c>
      <c r="C309" s="167" t="s">
        <v>726</v>
      </c>
      <c r="D309" s="178" t="s">
        <v>727</v>
      </c>
      <c r="E309" s="189" t="s">
        <v>722</v>
      </c>
      <c r="F309" s="183" t="s">
        <v>723</v>
      </c>
      <c r="G309" s="171">
        <v>1</v>
      </c>
      <c r="H309" s="8" t="s">
        <v>26</v>
      </c>
      <c r="I309" s="174" t="s">
        <v>724</v>
      </c>
      <c r="J309" s="173" t="s">
        <v>380</v>
      </c>
      <c r="K309" s="174"/>
      <c r="L309" s="174"/>
      <c r="M309" s="175">
        <v>0.096</v>
      </c>
      <c r="N309" s="167"/>
      <c r="O309" s="179"/>
      <c r="P309" s="179"/>
      <c r="Q309" s="179"/>
      <c r="R309" s="179"/>
      <c r="S309" s="13" t="s">
        <v>27</v>
      </c>
      <c r="T309"/>
    </row>
    <row r="310" spans="1:20">
      <c r="A310" s="167" t="s">
        <v>685</v>
      </c>
      <c r="B310" s="184" t="s">
        <v>728</v>
      </c>
      <c r="C310" s="167" t="s">
        <v>729</v>
      </c>
      <c r="D310" s="178" t="s">
        <v>730</v>
      </c>
      <c r="E310" s="189" t="s">
        <v>731</v>
      </c>
      <c r="F310" s="183" t="s">
        <v>723</v>
      </c>
      <c r="G310" s="171">
        <v>1</v>
      </c>
      <c r="H310" s="8" t="s">
        <v>26</v>
      </c>
      <c r="I310" s="172"/>
      <c r="J310" s="173" t="s">
        <v>389</v>
      </c>
      <c r="K310" s="174"/>
      <c r="L310" s="174"/>
      <c r="M310" s="175">
        <v>0.44</v>
      </c>
      <c r="N310" s="167"/>
      <c r="O310" s="179"/>
      <c r="P310" s="179"/>
      <c r="Q310" s="179"/>
      <c r="R310" s="179"/>
      <c r="S310" s="13" t="s">
        <v>27</v>
      </c>
      <c r="T310"/>
    </row>
    <row r="311" spans="1:20">
      <c r="A311" s="167" t="s">
        <v>685</v>
      </c>
      <c r="B311" s="184" t="s">
        <v>732</v>
      </c>
      <c r="C311" s="167" t="s">
        <v>733</v>
      </c>
      <c r="D311" s="178" t="s">
        <v>734</v>
      </c>
      <c r="E311" s="189" t="s">
        <v>731</v>
      </c>
      <c r="F311" s="183" t="s">
        <v>723</v>
      </c>
      <c r="G311" s="171">
        <v>1</v>
      </c>
      <c r="H311" s="8" t="s">
        <v>26</v>
      </c>
      <c r="I311" s="172"/>
      <c r="J311" s="173" t="s">
        <v>389</v>
      </c>
      <c r="K311" s="174"/>
      <c r="L311" s="174"/>
      <c r="M311" s="175">
        <v>0.44</v>
      </c>
      <c r="N311" s="167"/>
      <c r="O311" s="179"/>
      <c r="P311" s="179"/>
      <c r="Q311" s="179"/>
      <c r="R311" s="179"/>
      <c r="S311" s="13" t="s">
        <v>27</v>
      </c>
      <c r="T311"/>
    </row>
    <row r="312" spans="1:20">
      <c r="A312" s="167" t="s">
        <v>685</v>
      </c>
      <c r="B312" s="184" t="s">
        <v>735</v>
      </c>
      <c r="C312" s="167" t="s">
        <v>736</v>
      </c>
      <c r="D312" s="178" t="s">
        <v>737</v>
      </c>
      <c r="E312" s="189" t="s">
        <v>738</v>
      </c>
      <c r="F312" s="183" t="s">
        <v>31</v>
      </c>
      <c r="G312" s="171">
        <v>1</v>
      </c>
      <c r="H312" s="8" t="s">
        <v>26</v>
      </c>
      <c r="I312" s="174" t="s">
        <v>739</v>
      </c>
      <c r="J312" s="173" t="s">
        <v>380</v>
      </c>
      <c r="K312" s="174" t="s">
        <v>372</v>
      </c>
      <c r="L312" s="174" t="str">
        <f>VLOOKUP(B312,电搭接情况统计!$B$2:$H$423,7,0)</f>
        <v>S类</v>
      </c>
      <c r="M312" s="175">
        <v>0.145</v>
      </c>
      <c r="N312" s="167"/>
      <c r="O312" s="179"/>
      <c r="P312" s="179"/>
      <c r="Q312" s="179"/>
      <c r="R312" s="179"/>
      <c r="S312" s="13" t="s">
        <v>27</v>
      </c>
      <c r="T312"/>
    </row>
    <row r="313" spans="1:20">
      <c r="A313" s="167" t="s">
        <v>685</v>
      </c>
      <c r="B313" s="184" t="s">
        <v>740</v>
      </c>
      <c r="C313" s="167" t="s">
        <v>736</v>
      </c>
      <c r="D313" s="178" t="s">
        <v>741</v>
      </c>
      <c r="E313" s="189" t="s">
        <v>738</v>
      </c>
      <c r="F313" s="183" t="s">
        <v>742</v>
      </c>
      <c r="G313" s="171">
        <v>1</v>
      </c>
      <c r="H313" s="8" t="s">
        <v>26</v>
      </c>
      <c r="I313" s="174" t="s">
        <v>743</v>
      </c>
      <c r="J313" s="173" t="s">
        <v>380</v>
      </c>
      <c r="K313" s="174" t="s">
        <v>372</v>
      </c>
      <c r="L313" s="174" t="str">
        <f>VLOOKUP(B313,电搭接情况统计!$B$2:$H$423,7,0)</f>
        <v>S类</v>
      </c>
      <c r="M313" s="175">
        <v>0.145</v>
      </c>
      <c r="N313" s="167"/>
      <c r="O313" s="179"/>
      <c r="P313" s="179"/>
      <c r="Q313" s="179"/>
      <c r="R313" s="179"/>
      <c r="S313" s="13" t="s">
        <v>27</v>
      </c>
      <c r="T313"/>
    </row>
    <row r="314" spans="1:20">
      <c r="A314" s="167" t="s">
        <v>685</v>
      </c>
      <c r="B314" s="184" t="s">
        <v>749</v>
      </c>
      <c r="C314" s="167" t="s">
        <v>745</v>
      </c>
      <c r="D314" s="178" t="s">
        <v>750</v>
      </c>
      <c r="E314" s="189" t="s">
        <v>738</v>
      </c>
      <c r="F314" s="183" t="s">
        <v>718</v>
      </c>
      <c r="G314" s="171">
        <v>1</v>
      </c>
      <c r="H314" s="8" t="s">
        <v>26</v>
      </c>
      <c r="I314" s="174" t="s">
        <v>751</v>
      </c>
      <c r="J314" s="173" t="s">
        <v>380</v>
      </c>
      <c r="K314" s="174" t="s">
        <v>372</v>
      </c>
      <c r="L314" s="174" t="str">
        <f>VLOOKUP(B314,电搭接情况统计!$B$2:$H$423,7,0)</f>
        <v>S类</v>
      </c>
      <c r="M314" s="175">
        <v>0.145</v>
      </c>
      <c r="N314" s="167"/>
      <c r="O314" s="179"/>
      <c r="P314" s="179"/>
      <c r="Q314" s="179"/>
      <c r="R314" s="179"/>
      <c r="S314" s="13" t="s">
        <v>27</v>
      </c>
      <c r="T314"/>
    </row>
    <row r="315" spans="1:20">
      <c r="A315" s="167" t="s">
        <v>685</v>
      </c>
      <c r="B315" s="184" t="s">
        <v>752</v>
      </c>
      <c r="C315" s="167" t="s">
        <v>745</v>
      </c>
      <c r="D315" s="178" t="s">
        <v>753</v>
      </c>
      <c r="E315" s="189" t="s">
        <v>738</v>
      </c>
      <c r="F315" s="183" t="s">
        <v>718</v>
      </c>
      <c r="G315" s="171">
        <v>1</v>
      </c>
      <c r="H315" s="8" t="s">
        <v>26</v>
      </c>
      <c r="I315" s="174" t="s">
        <v>751</v>
      </c>
      <c r="J315" s="173" t="s">
        <v>380</v>
      </c>
      <c r="K315" s="174" t="s">
        <v>372</v>
      </c>
      <c r="L315" s="174" t="str">
        <f>VLOOKUP(B315,电搭接情况统计!$B$2:$H$423,7,0)</f>
        <v>S类</v>
      </c>
      <c r="M315" s="175">
        <v>0.145</v>
      </c>
      <c r="N315" s="167"/>
      <c r="O315" s="179"/>
      <c r="P315" s="179"/>
      <c r="Q315" s="179"/>
      <c r="R315" s="179"/>
      <c r="S315" s="13" t="s">
        <v>27</v>
      </c>
      <c r="T315"/>
    </row>
    <row r="316" ht="30" spans="1:20">
      <c r="A316" s="167" t="s">
        <v>685</v>
      </c>
      <c r="B316" s="190" t="s">
        <v>1407</v>
      </c>
      <c r="C316" s="200" t="s">
        <v>1408</v>
      </c>
      <c r="D316" s="178" t="s">
        <v>1409</v>
      </c>
      <c r="E316" s="189" t="s">
        <v>757</v>
      </c>
      <c r="F316" s="183" t="s">
        <v>723</v>
      </c>
      <c r="G316" s="171">
        <v>1</v>
      </c>
      <c r="H316" s="8" t="s">
        <v>26</v>
      </c>
      <c r="I316" s="172"/>
      <c r="J316" s="173" t="s">
        <v>389</v>
      </c>
      <c r="K316" s="174" t="s">
        <v>372</v>
      </c>
      <c r="L316" s="174" t="s">
        <v>758</v>
      </c>
      <c r="M316" s="175">
        <v>0.8</v>
      </c>
      <c r="N316" s="167"/>
      <c r="O316" s="179"/>
      <c r="P316" s="179"/>
      <c r="Q316" s="179"/>
      <c r="R316" s="179"/>
      <c r="S316" s="188" t="s">
        <v>1410</v>
      </c>
      <c r="T316"/>
    </row>
    <row r="317" ht="30" spans="1:20">
      <c r="A317" s="167" t="s">
        <v>685</v>
      </c>
      <c r="B317" s="190" t="s">
        <v>1411</v>
      </c>
      <c r="C317" s="200" t="s">
        <v>1412</v>
      </c>
      <c r="D317" s="178" t="s">
        <v>1413</v>
      </c>
      <c r="E317" s="189" t="s">
        <v>757</v>
      </c>
      <c r="F317" s="183" t="s">
        <v>723</v>
      </c>
      <c r="G317" s="171">
        <v>1</v>
      </c>
      <c r="H317" s="8" t="s">
        <v>26</v>
      </c>
      <c r="I317" s="172"/>
      <c r="J317" s="173" t="s">
        <v>389</v>
      </c>
      <c r="K317" s="174" t="s">
        <v>372</v>
      </c>
      <c r="L317" s="174" t="s">
        <v>758</v>
      </c>
      <c r="M317" s="175">
        <v>0.8</v>
      </c>
      <c r="N317" s="167"/>
      <c r="O317" s="179"/>
      <c r="P317" s="179"/>
      <c r="Q317" s="179"/>
      <c r="R317" s="179"/>
      <c r="S317" s="188" t="s">
        <v>1410</v>
      </c>
      <c r="T317"/>
    </row>
    <row r="318" spans="1:20">
      <c r="A318" s="167" t="s">
        <v>685</v>
      </c>
      <c r="B318" s="190" t="s">
        <v>1414</v>
      </c>
      <c r="C318" s="167" t="s">
        <v>755</v>
      </c>
      <c r="D318" s="178" t="s">
        <v>762</v>
      </c>
      <c r="E318" s="189" t="s">
        <v>757</v>
      </c>
      <c r="F318" s="183" t="s">
        <v>723</v>
      </c>
      <c r="G318" s="171">
        <v>1</v>
      </c>
      <c r="H318" s="8" t="s">
        <v>32</v>
      </c>
      <c r="I318" s="172"/>
      <c r="J318" s="173" t="s">
        <v>389</v>
      </c>
      <c r="K318" s="174" t="s">
        <v>372</v>
      </c>
      <c r="L318" s="174" t="s">
        <v>758</v>
      </c>
      <c r="M318" s="175">
        <v>0.8</v>
      </c>
      <c r="N318" s="167"/>
      <c r="O318" s="179"/>
      <c r="P318" s="179"/>
      <c r="Q318" s="179"/>
      <c r="R318" s="179"/>
      <c r="S318" s="174" t="s">
        <v>1415</v>
      </c>
      <c r="T318"/>
    </row>
    <row r="319" spans="1:20">
      <c r="A319" s="167" t="s">
        <v>685</v>
      </c>
      <c r="B319" s="190" t="s">
        <v>1416</v>
      </c>
      <c r="C319" s="167" t="s">
        <v>755</v>
      </c>
      <c r="D319" s="178" t="s">
        <v>764</v>
      </c>
      <c r="E319" s="189" t="s">
        <v>757</v>
      </c>
      <c r="F319" s="183" t="s">
        <v>723</v>
      </c>
      <c r="G319" s="171">
        <v>1</v>
      </c>
      <c r="H319" s="8" t="s">
        <v>32</v>
      </c>
      <c r="I319" s="172"/>
      <c r="J319" s="173" t="s">
        <v>389</v>
      </c>
      <c r="K319" s="174" t="s">
        <v>372</v>
      </c>
      <c r="L319" s="174" t="s">
        <v>758</v>
      </c>
      <c r="M319" s="175">
        <v>0.8</v>
      </c>
      <c r="N319" s="167"/>
      <c r="O319" s="179"/>
      <c r="P319" s="179"/>
      <c r="Q319" s="179"/>
      <c r="R319" s="179"/>
      <c r="S319" s="174" t="s">
        <v>1415</v>
      </c>
      <c r="T319"/>
    </row>
    <row r="320" spans="1:20">
      <c r="A320" s="167" t="s">
        <v>685</v>
      </c>
      <c r="B320" s="184" t="s">
        <v>765</v>
      </c>
      <c r="C320" s="167" t="s">
        <v>766</v>
      </c>
      <c r="D320" s="178" t="s">
        <v>767</v>
      </c>
      <c r="E320" s="189" t="s">
        <v>768</v>
      </c>
      <c r="F320" s="183" t="s">
        <v>723</v>
      </c>
      <c r="G320" s="171">
        <v>1</v>
      </c>
      <c r="H320" s="8" t="s">
        <v>26</v>
      </c>
      <c r="I320" s="172"/>
      <c r="J320" s="173" t="s">
        <v>389</v>
      </c>
      <c r="K320" s="174"/>
      <c r="L320" s="174"/>
      <c r="M320" s="175">
        <v>0.48</v>
      </c>
      <c r="N320" s="167"/>
      <c r="O320" s="179"/>
      <c r="P320" s="179"/>
      <c r="Q320" s="179"/>
      <c r="R320" s="179"/>
      <c r="S320" s="13" t="s">
        <v>27</v>
      </c>
      <c r="T320"/>
    </row>
    <row r="321" spans="1:20">
      <c r="A321" s="167" t="s">
        <v>685</v>
      </c>
      <c r="B321" s="184" t="s">
        <v>769</v>
      </c>
      <c r="C321" s="167" t="s">
        <v>770</v>
      </c>
      <c r="D321" s="178" t="s">
        <v>771</v>
      </c>
      <c r="E321" s="189" t="s">
        <v>768</v>
      </c>
      <c r="F321" s="183" t="s">
        <v>723</v>
      </c>
      <c r="G321" s="171">
        <v>1</v>
      </c>
      <c r="H321" s="8" t="s">
        <v>26</v>
      </c>
      <c r="I321" s="172"/>
      <c r="J321" s="173" t="s">
        <v>389</v>
      </c>
      <c r="K321" s="174"/>
      <c r="L321" s="174"/>
      <c r="M321" s="175">
        <v>0.48</v>
      </c>
      <c r="N321" s="167"/>
      <c r="O321" s="179"/>
      <c r="P321" s="179"/>
      <c r="Q321" s="179"/>
      <c r="R321" s="179"/>
      <c r="S321" s="13" t="s">
        <v>27</v>
      </c>
      <c r="T321"/>
    </row>
    <row r="322" spans="1:20">
      <c r="A322" s="167" t="s">
        <v>685</v>
      </c>
      <c r="B322" s="201" t="s">
        <v>772</v>
      </c>
      <c r="C322" s="167" t="s">
        <v>773</v>
      </c>
      <c r="D322" s="178" t="s">
        <v>774</v>
      </c>
      <c r="E322" s="189" t="s">
        <v>757</v>
      </c>
      <c r="F322" s="183" t="s">
        <v>517</v>
      </c>
      <c r="G322" s="171">
        <v>1</v>
      </c>
      <c r="H322" s="8" t="s">
        <v>32</v>
      </c>
      <c r="I322" s="172"/>
      <c r="J322" s="173" t="s">
        <v>389</v>
      </c>
      <c r="K322" s="174" t="s">
        <v>775</v>
      </c>
      <c r="L322" s="174"/>
      <c r="M322" s="175">
        <v>0.8</v>
      </c>
      <c r="N322" s="167"/>
      <c r="O322" s="179"/>
      <c r="P322" s="179"/>
      <c r="Q322" s="179"/>
      <c r="R322" s="179"/>
      <c r="S322" s="174" t="s">
        <v>1417</v>
      </c>
      <c r="T322"/>
    </row>
    <row r="323" spans="1:20">
      <c r="A323" s="167" t="s">
        <v>685</v>
      </c>
      <c r="B323" s="201" t="s">
        <v>776</v>
      </c>
      <c r="C323" s="167" t="s">
        <v>773</v>
      </c>
      <c r="D323" s="178" t="s">
        <v>777</v>
      </c>
      <c r="E323" s="189" t="s">
        <v>757</v>
      </c>
      <c r="F323" s="183" t="s">
        <v>517</v>
      </c>
      <c r="G323" s="171">
        <v>1</v>
      </c>
      <c r="H323" s="8" t="s">
        <v>32</v>
      </c>
      <c r="I323" s="172"/>
      <c r="J323" s="173" t="s">
        <v>389</v>
      </c>
      <c r="K323" s="174" t="s">
        <v>775</v>
      </c>
      <c r="L323" s="174"/>
      <c r="M323" s="175">
        <v>0.8</v>
      </c>
      <c r="N323" s="167"/>
      <c r="O323" s="179"/>
      <c r="P323" s="179"/>
      <c r="Q323" s="179"/>
      <c r="R323" s="179"/>
      <c r="S323" s="174" t="s">
        <v>1417</v>
      </c>
      <c r="T323"/>
    </row>
    <row r="324" spans="1:20">
      <c r="A324" s="167" t="s">
        <v>685</v>
      </c>
      <c r="B324" s="146" t="s">
        <v>1418</v>
      </c>
      <c r="C324" s="167"/>
      <c r="D324" s="178"/>
      <c r="E324" s="167" t="s">
        <v>1419</v>
      </c>
      <c r="F324" s="199" t="s">
        <v>683</v>
      </c>
      <c r="G324" s="171">
        <v>3</v>
      </c>
      <c r="H324" s="8" t="s">
        <v>26</v>
      </c>
      <c r="I324" s="172"/>
      <c r="J324" s="173"/>
      <c r="K324" s="174"/>
      <c r="L324" s="174"/>
      <c r="M324" s="175"/>
      <c r="N324" s="167"/>
      <c r="O324" s="179"/>
      <c r="P324" s="179"/>
      <c r="Q324" s="179"/>
      <c r="R324" s="179"/>
      <c r="S324" s="13" t="s">
        <v>27</v>
      </c>
      <c r="T324"/>
    </row>
    <row r="325" spans="1:20">
      <c r="A325" s="167" t="s">
        <v>685</v>
      </c>
      <c r="B325" s="146" t="s">
        <v>1420</v>
      </c>
      <c r="C325" s="167"/>
      <c r="D325" s="178"/>
      <c r="E325" s="167"/>
      <c r="F325" s="199" t="s">
        <v>1359</v>
      </c>
      <c r="G325" s="171">
        <v>3</v>
      </c>
      <c r="H325" s="8" t="s">
        <v>26</v>
      </c>
      <c r="I325" s="172"/>
      <c r="J325" s="173"/>
      <c r="K325" s="174"/>
      <c r="L325" s="174"/>
      <c r="M325" s="175"/>
      <c r="N325" s="167"/>
      <c r="O325" s="179"/>
      <c r="P325" s="179"/>
      <c r="Q325" s="179"/>
      <c r="R325" s="179"/>
      <c r="S325" s="13" t="s">
        <v>27</v>
      </c>
      <c r="T325"/>
    </row>
    <row r="326" spans="1:20">
      <c r="A326" s="167" t="s">
        <v>685</v>
      </c>
      <c r="B326" s="146" t="s">
        <v>1421</v>
      </c>
      <c r="C326" s="167"/>
      <c r="D326" s="178"/>
      <c r="E326" s="167"/>
      <c r="F326" s="199" t="s">
        <v>1359</v>
      </c>
      <c r="G326" s="171">
        <v>3</v>
      </c>
      <c r="H326" s="8" t="s">
        <v>26</v>
      </c>
      <c r="I326" s="172"/>
      <c r="J326" s="173"/>
      <c r="K326" s="174"/>
      <c r="L326" s="174"/>
      <c r="M326" s="175"/>
      <c r="N326" s="167"/>
      <c r="O326" s="179"/>
      <c r="P326" s="179"/>
      <c r="Q326" s="179"/>
      <c r="R326" s="179"/>
      <c r="S326" s="13" t="s">
        <v>27</v>
      </c>
      <c r="T326"/>
    </row>
    <row r="327" spans="1:20">
      <c r="A327" s="167" t="s">
        <v>685</v>
      </c>
      <c r="B327" s="146" t="s">
        <v>1422</v>
      </c>
      <c r="C327" s="167"/>
      <c r="D327" s="178"/>
      <c r="E327" s="167"/>
      <c r="F327" s="199" t="s">
        <v>1359</v>
      </c>
      <c r="G327" s="171">
        <v>3</v>
      </c>
      <c r="H327" s="8" t="s">
        <v>26</v>
      </c>
      <c r="I327" s="172"/>
      <c r="J327" s="173"/>
      <c r="K327" s="174"/>
      <c r="L327" s="174"/>
      <c r="M327" s="175"/>
      <c r="N327" s="167"/>
      <c r="O327" s="179"/>
      <c r="P327" s="179"/>
      <c r="Q327" s="179"/>
      <c r="R327" s="179"/>
      <c r="S327" s="13" t="s">
        <v>27</v>
      </c>
      <c r="T327"/>
    </row>
    <row r="328" spans="1:20">
      <c r="A328" s="167" t="s">
        <v>685</v>
      </c>
      <c r="B328" s="146" t="s">
        <v>1423</v>
      </c>
      <c r="C328" s="167"/>
      <c r="D328" s="178"/>
      <c r="E328" s="167"/>
      <c r="F328" s="199" t="s">
        <v>1359</v>
      </c>
      <c r="G328" s="171">
        <v>3</v>
      </c>
      <c r="H328" s="8" t="s">
        <v>26</v>
      </c>
      <c r="I328" s="172"/>
      <c r="J328" s="173"/>
      <c r="K328" s="174"/>
      <c r="L328" s="174"/>
      <c r="M328" s="175"/>
      <c r="N328" s="167"/>
      <c r="O328" s="179"/>
      <c r="P328" s="179"/>
      <c r="Q328" s="179"/>
      <c r="R328" s="179"/>
      <c r="S328" s="13" t="s">
        <v>27</v>
      </c>
      <c r="T328"/>
    </row>
    <row r="329" spans="1:20">
      <c r="A329" s="167" t="s">
        <v>685</v>
      </c>
      <c r="B329" s="146" t="s">
        <v>1424</v>
      </c>
      <c r="C329" s="167"/>
      <c r="D329" s="178"/>
      <c r="E329" s="167"/>
      <c r="F329" s="199" t="s">
        <v>1363</v>
      </c>
      <c r="G329" s="171">
        <v>3</v>
      </c>
      <c r="H329" s="8" t="s">
        <v>26</v>
      </c>
      <c r="I329" s="172"/>
      <c r="J329" s="173"/>
      <c r="K329" s="174"/>
      <c r="L329" s="174"/>
      <c r="M329" s="175"/>
      <c r="N329" s="167"/>
      <c r="O329" s="179"/>
      <c r="P329" s="179"/>
      <c r="Q329" s="179"/>
      <c r="R329" s="179"/>
      <c r="S329" s="13" t="s">
        <v>27</v>
      </c>
      <c r="T329"/>
    </row>
    <row r="330" spans="1:20">
      <c r="A330" s="167" t="s">
        <v>685</v>
      </c>
      <c r="B330" s="146" t="s">
        <v>1425</v>
      </c>
      <c r="C330" s="167"/>
      <c r="D330" s="178"/>
      <c r="E330" s="167"/>
      <c r="F330" s="199" t="s">
        <v>1363</v>
      </c>
      <c r="G330" s="171">
        <v>3</v>
      </c>
      <c r="H330" s="8" t="s">
        <v>26</v>
      </c>
      <c r="I330" s="172"/>
      <c r="J330" s="173"/>
      <c r="K330" s="174"/>
      <c r="L330" s="174"/>
      <c r="M330" s="175"/>
      <c r="N330" s="167"/>
      <c r="O330" s="179"/>
      <c r="P330" s="179"/>
      <c r="Q330" s="179"/>
      <c r="R330" s="179"/>
      <c r="S330" s="13" t="s">
        <v>27</v>
      </c>
      <c r="T330"/>
    </row>
    <row r="331" spans="1:20">
      <c r="A331" s="167" t="s">
        <v>685</v>
      </c>
      <c r="B331" s="146" t="s">
        <v>1426</v>
      </c>
      <c r="C331" s="167"/>
      <c r="D331" s="178"/>
      <c r="E331" s="167"/>
      <c r="F331" s="199" t="s">
        <v>1363</v>
      </c>
      <c r="G331" s="171">
        <v>3</v>
      </c>
      <c r="H331" s="8" t="s">
        <v>26</v>
      </c>
      <c r="I331" s="172"/>
      <c r="J331" s="173"/>
      <c r="K331" s="174"/>
      <c r="L331" s="174"/>
      <c r="M331" s="175"/>
      <c r="N331" s="167"/>
      <c r="O331" s="179"/>
      <c r="P331" s="179"/>
      <c r="Q331" s="179"/>
      <c r="R331" s="179"/>
      <c r="S331" s="13" t="s">
        <v>27</v>
      </c>
      <c r="T331"/>
    </row>
    <row r="332" spans="1:20">
      <c r="A332" s="167" t="s">
        <v>685</v>
      </c>
      <c r="B332" s="146" t="s">
        <v>1427</v>
      </c>
      <c r="C332" s="167"/>
      <c r="D332" s="178"/>
      <c r="E332" s="167"/>
      <c r="F332" s="199" t="s">
        <v>1363</v>
      </c>
      <c r="G332" s="171">
        <v>3</v>
      </c>
      <c r="H332" s="8" t="s">
        <v>26</v>
      </c>
      <c r="I332" s="172"/>
      <c r="J332" s="173"/>
      <c r="K332" s="174"/>
      <c r="L332" s="174"/>
      <c r="M332" s="175"/>
      <c r="N332" s="167"/>
      <c r="O332" s="179"/>
      <c r="P332" s="179"/>
      <c r="Q332" s="179"/>
      <c r="R332" s="179"/>
      <c r="S332" s="13" t="s">
        <v>27</v>
      </c>
      <c r="T332"/>
    </row>
    <row r="333" spans="1:20">
      <c r="A333" s="167" t="s">
        <v>685</v>
      </c>
      <c r="B333" s="146" t="s">
        <v>1428</v>
      </c>
      <c r="C333" s="167"/>
      <c r="D333" s="178"/>
      <c r="E333" s="167"/>
      <c r="F333" s="199" t="s">
        <v>1363</v>
      </c>
      <c r="G333" s="171">
        <v>3</v>
      </c>
      <c r="H333" s="8" t="s">
        <v>26</v>
      </c>
      <c r="I333" s="172"/>
      <c r="J333" s="173"/>
      <c r="K333" s="174"/>
      <c r="L333" s="174"/>
      <c r="M333" s="175"/>
      <c r="N333" s="167"/>
      <c r="O333" s="179"/>
      <c r="P333" s="179"/>
      <c r="Q333" s="179"/>
      <c r="R333" s="179"/>
      <c r="S333" s="13" t="s">
        <v>27</v>
      </c>
      <c r="T333"/>
    </row>
    <row r="334" spans="1:20">
      <c r="A334" s="167" t="s">
        <v>685</v>
      </c>
      <c r="B334" s="146" t="s">
        <v>1429</v>
      </c>
      <c r="C334" s="167"/>
      <c r="D334" s="178"/>
      <c r="E334" s="167"/>
      <c r="F334" s="199" t="s">
        <v>1363</v>
      </c>
      <c r="G334" s="171">
        <v>3</v>
      </c>
      <c r="H334" s="8" t="s">
        <v>26</v>
      </c>
      <c r="I334" s="172"/>
      <c r="J334" s="173"/>
      <c r="K334" s="174"/>
      <c r="L334" s="174"/>
      <c r="M334" s="175"/>
      <c r="N334" s="167"/>
      <c r="O334" s="179"/>
      <c r="P334" s="179"/>
      <c r="Q334" s="179"/>
      <c r="R334" s="179"/>
      <c r="S334" s="13" t="s">
        <v>27</v>
      </c>
      <c r="T334"/>
    </row>
    <row r="335" spans="1:20">
      <c r="A335" s="167" t="s">
        <v>685</v>
      </c>
      <c r="B335" s="146" t="s">
        <v>1430</v>
      </c>
      <c r="C335" s="167"/>
      <c r="D335" s="178"/>
      <c r="E335" s="167"/>
      <c r="F335" s="199" t="s">
        <v>1363</v>
      </c>
      <c r="G335" s="171">
        <v>3</v>
      </c>
      <c r="H335" s="8" t="s">
        <v>26</v>
      </c>
      <c r="I335" s="172"/>
      <c r="J335" s="173"/>
      <c r="K335" s="174"/>
      <c r="L335" s="174"/>
      <c r="M335" s="175"/>
      <c r="N335" s="167"/>
      <c r="O335" s="179"/>
      <c r="P335" s="179"/>
      <c r="Q335" s="179"/>
      <c r="R335" s="179"/>
      <c r="S335" s="13" t="s">
        <v>27</v>
      </c>
      <c r="T335"/>
    </row>
    <row r="336" spans="1:20">
      <c r="A336" s="167" t="s">
        <v>685</v>
      </c>
      <c r="B336" s="146" t="s">
        <v>1431</v>
      </c>
      <c r="C336" s="167"/>
      <c r="D336" s="178"/>
      <c r="E336" s="167"/>
      <c r="F336" s="199" t="s">
        <v>1363</v>
      </c>
      <c r="G336" s="171">
        <v>3</v>
      </c>
      <c r="H336" s="8" t="s">
        <v>26</v>
      </c>
      <c r="I336" s="172"/>
      <c r="J336" s="173"/>
      <c r="K336" s="174"/>
      <c r="L336" s="174"/>
      <c r="M336" s="175"/>
      <c r="N336" s="167"/>
      <c r="O336" s="179"/>
      <c r="P336" s="179"/>
      <c r="Q336" s="179"/>
      <c r="R336" s="179"/>
      <c r="S336" s="13" t="s">
        <v>27</v>
      </c>
      <c r="T336"/>
    </row>
    <row r="337" spans="1:20">
      <c r="A337" s="167" t="s">
        <v>685</v>
      </c>
      <c r="B337" s="146" t="s">
        <v>1432</v>
      </c>
      <c r="C337" s="167"/>
      <c r="D337" s="178"/>
      <c r="E337" s="167"/>
      <c r="F337" s="199" t="s">
        <v>1363</v>
      </c>
      <c r="G337" s="171">
        <v>3</v>
      </c>
      <c r="H337" s="8" t="s">
        <v>26</v>
      </c>
      <c r="I337" s="172"/>
      <c r="J337" s="173"/>
      <c r="K337" s="174"/>
      <c r="L337" s="174"/>
      <c r="M337" s="175"/>
      <c r="N337" s="167"/>
      <c r="O337" s="179"/>
      <c r="P337" s="179"/>
      <c r="Q337" s="179"/>
      <c r="R337" s="179"/>
      <c r="S337" s="13" t="s">
        <v>27</v>
      </c>
      <c r="T337"/>
    </row>
    <row r="338" spans="1:20">
      <c r="A338" s="167" t="s">
        <v>685</v>
      </c>
      <c r="B338" s="146" t="s">
        <v>1433</v>
      </c>
      <c r="C338" s="167"/>
      <c r="D338" s="178"/>
      <c r="E338" s="167"/>
      <c r="F338" s="199" t="s">
        <v>1363</v>
      </c>
      <c r="G338" s="171">
        <v>3</v>
      </c>
      <c r="H338" s="8" t="s">
        <v>26</v>
      </c>
      <c r="I338" s="172"/>
      <c r="J338" s="173"/>
      <c r="K338" s="174"/>
      <c r="L338" s="174"/>
      <c r="M338" s="175"/>
      <c r="N338" s="167"/>
      <c r="O338" s="179"/>
      <c r="P338" s="179"/>
      <c r="Q338" s="179"/>
      <c r="R338" s="179"/>
      <c r="S338" s="13" t="s">
        <v>27</v>
      </c>
      <c r="T338"/>
    </row>
    <row r="339" spans="1:20">
      <c r="A339" s="167" t="s">
        <v>685</v>
      </c>
      <c r="B339" s="146" t="s">
        <v>1434</v>
      </c>
      <c r="C339" s="167"/>
      <c r="D339" s="178"/>
      <c r="E339" s="167"/>
      <c r="F339" s="199" t="s">
        <v>1363</v>
      </c>
      <c r="G339" s="171">
        <v>3</v>
      </c>
      <c r="H339" s="8" t="s">
        <v>26</v>
      </c>
      <c r="I339" s="172"/>
      <c r="J339" s="173"/>
      <c r="K339" s="174"/>
      <c r="L339" s="174"/>
      <c r="M339" s="175"/>
      <c r="N339" s="167"/>
      <c r="O339" s="179"/>
      <c r="P339" s="179"/>
      <c r="Q339" s="179"/>
      <c r="R339" s="179"/>
      <c r="S339" s="13" t="s">
        <v>27</v>
      </c>
      <c r="T339"/>
    </row>
    <row r="340" spans="1:20">
      <c r="A340" s="167" t="s">
        <v>685</v>
      </c>
      <c r="B340" s="146" t="s">
        <v>1435</v>
      </c>
      <c r="C340" s="167"/>
      <c r="D340" s="178"/>
      <c r="E340" s="167" t="s">
        <v>1436</v>
      </c>
      <c r="F340" s="195" t="s">
        <v>1437</v>
      </c>
      <c r="G340" s="171">
        <v>3</v>
      </c>
      <c r="H340" s="8" t="s">
        <v>26</v>
      </c>
      <c r="I340" s="172"/>
      <c r="J340" s="173"/>
      <c r="K340" s="174"/>
      <c r="L340" s="174"/>
      <c r="M340" s="175"/>
      <c r="N340" s="167"/>
      <c r="O340" s="179"/>
      <c r="P340" s="179"/>
      <c r="Q340" s="179"/>
      <c r="R340" s="179"/>
      <c r="S340" s="13" t="s">
        <v>27</v>
      </c>
      <c r="T340"/>
    </row>
    <row r="341" spans="1:20">
      <c r="A341" s="167" t="s">
        <v>685</v>
      </c>
      <c r="B341" s="146" t="s">
        <v>1438</v>
      </c>
      <c r="C341" s="167"/>
      <c r="D341" s="178"/>
      <c r="E341" s="167" t="s">
        <v>1436</v>
      </c>
      <c r="F341" s="195" t="s">
        <v>1439</v>
      </c>
      <c r="G341" s="171">
        <v>3</v>
      </c>
      <c r="H341" s="8" t="s">
        <v>26</v>
      </c>
      <c r="I341" s="172"/>
      <c r="J341" s="173"/>
      <c r="K341" s="174"/>
      <c r="L341" s="174"/>
      <c r="M341" s="175"/>
      <c r="N341" s="167"/>
      <c r="O341" s="179"/>
      <c r="P341" s="179"/>
      <c r="Q341" s="179"/>
      <c r="R341" s="179"/>
      <c r="S341" s="13" t="s">
        <v>27</v>
      </c>
      <c r="T341"/>
    </row>
    <row r="342" spans="1:20">
      <c r="A342" s="167" t="s">
        <v>685</v>
      </c>
      <c r="B342" s="146" t="s">
        <v>1440</v>
      </c>
      <c r="C342" s="167"/>
      <c r="D342" s="178"/>
      <c r="E342" s="167" t="s">
        <v>1436</v>
      </c>
      <c r="F342" s="195" t="s">
        <v>1356</v>
      </c>
      <c r="G342" s="171">
        <v>3</v>
      </c>
      <c r="H342" s="8" t="s">
        <v>26</v>
      </c>
      <c r="I342" s="172"/>
      <c r="J342" s="173"/>
      <c r="K342" s="174"/>
      <c r="L342" s="174"/>
      <c r="M342" s="175"/>
      <c r="N342" s="167"/>
      <c r="O342" s="179"/>
      <c r="P342" s="179"/>
      <c r="Q342" s="179"/>
      <c r="R342" s="179"/>
      <c r="S342" s="13" t="s">
        <v>27</v>
      </c>
      <c r="T342"/>
    </row>
    <row r="343" spans="1:20">
      <c r="A343" s="167" t="s">
        <v>685</v>
      </c>
      <c r="B343" s="146" t="s">
        <v>1441</v>
      </c>
      <c r="C343" s="167"/>
      <c r="D343" s="178"/>
      <c r="E343" s="167" t="s">
        <v>1436</v>
      </c>
      <c r="F343" s="195" t="s">
        <v>1356</v>
      </c>
      <c r="G343" s="171">
        <v>3</v>
      </c>
      <c r="H343" s="8" t="s">
        <v>26</v>
      </c>
      <c r="I343" s="172"/>
      <c r="J343" s="173"/>
      <c r="K343" s="174"/>
      <c r="L343" s="174"/>
      <c r="M343" s="175"/>
      <c r="N343" s="167"/>
      <c r="O343" s="179"/>
      <c r="P343" s="179"/>
      <c r="Q343" s="179"/>
      <c r="R343" s="179"/>
      <c r="S343" s="13" t="s">
        <v>27</v>
      </c>
      <c r="T343"/>
    </row>
    <row r="344" spans="1:20">
      <c r="A344" s="167" t="s">
        <v>685</v>
      </c>
      <c r="B344" s="146" t="s">
        <v>1442</v>
      </c>
      <c r="C344" s="167"/>
      <c r="D344" s="178"/>
      <c r="E344" s="167" t="s">
        <v>1436</v>
      </c>
      <c r="F344" s="195" t="s">
        <v>1443</v>
      </c>
      <c r="G344" s="171">
        <v>3</v>
      </c>
      <c r="H344" s="8" t="s">
        <v>26</v>
      </c>
      <c r="I344" s="172"/>
      <c r="J344" s="173"/>
      <c r="K344" s="174"/>
      <c r="L344" s="174"/>
      <c r="M344" s="175"/>
      <c r="N344" s="167"/>
      <c r="O344" s="179"/>
      <c r="P344" s="179"/>
      <c r="Q344" s="179"/>
      <c r="R344" s="179"/>
      <c r="S344" s="13" t="s">
        <v>27</v>
      </c>
      <c r="T344"/>
    </row>
    <row r="345" spans="1:20">
      <c r="A345" s="167" t="s">
        <v>685</v>
      </c>
      <c r="B345" s="146" t="s">
        <v>1444</v>
      </c>
      <c r="C345" s="167"/>
      <c r="D345" s="178"/>
      <c r="E345" s="167" t="s">
        <v>1436</v>
      </c>
      <c r="F345" s="195" t="s">
        <v>1445</v>
      </c>
      <c r="G345" s="171">
        <v>3</v>
      </c>
      <c r="H345" s="8" t="s">
        <v>26</v>
      </c>
      <c r="I345" s="172"/>
      <c r="J345" s="173"/>
      <c r="K345" s="174"/>
      <c r="L345" s="174"/>
      <c r="M345" s="175"/>
      <c r="N345" s="167"/>
      <c r="O345" s="179"/>
      <c r="P345" s="179"/>
      <c r="Q345" s="179"/>
      <c r="R345" s="179"/>
      <c r="S345" s="13" t="s">
        <v>27</v>
      </c>
      <c r="T345"/>
    </row>
    <row r="346" spans="1:20">
      <c r="A346" s="167" t="s">
        <v>685</v>
      </c>
      <c r="B346" s="146" t="s">
        <v>1446</v>
      </c>
      <c r="C346" s="167"/>
      <c r="D346" s="178"/>
      <c r="E346" s="167" t="s">
        <v>1436</v>
      </c>
      <c r="F346" s="195" t="s">
        <v>102</v>
      </c>
      <c r="G346" s="171">
        <v>3</v>
      </c>
      <c r="H346" s="8" t="s">
        <v>26</v>
      </c>
      <c r="I346" s="172"/>
      <c r="J346" s="173"/>
      <c r="K346" s="174"/>
      <c r="L346" s="174"/>
      <c r="M346" s="175"/>
      <c r="N346" s="167"/>
      <c r="O346" s="179"/>
      <c r="P346" s="179"/>
      <c r="Q346" s="179"/>
      <c r="R346" s="179"/>
      <c r="S346" s="13" t="s">
        <v>27</v>
      </c>
      <c r="T346"/>
    </row>
    <row r="347" spans="1:20">
      <c r="A347" s="167" t="s">
        <v>685</v>
      </c>
      <c r="B347" s="146" t="s">
        <v>1447</v>
      </c>
      <c r="C347" s="167"/>
      <c r="D347" s="178"/>
      <c r="E347" s="167" t="s">
        <v>1436</v>
      </c>
      <c r="F347" s="195" t="s">
        <v>1448</v>
      </c>
      <c r="G347" s="171">
        <v>3</v>
      </c>
      <c r="H347" s="8" t="s">
        <v>26</v>
      </c>
      <c r="I347" s="172"/>
      <c r="J347" s="173"/>
      <c r="K347" s="174"/>
      <c r="L347" s="174"/>
      <c r="M347" s="175"/>
      <c r="N347" s="167"/>
      <c r="O347" s="179"/>
      <c r="P347" s="179"/>
      <c r="Q347" s="179"/>
      <c r="R347" s="179"/>
      <c r="S347" s="13" t="s">
        <v>27</v>
      </c>
      <c r="T347"/>
    </row>
    <row r="348" spans="1:20">
      <c r="A348" s="167" t="s">
        <v>685</v>
      </c>
      <c r="B348" s="146" t="s">
        <v>1449</v>
      </c>
      <c r="C348" s="167"/>
      <c r="D348" s="178"/>
      <c r="E348" s="167"/>
      <c r="F348" s="199" t="s">
        <v>683</v>
      </c>
      <c r="G348" s="171">
        <v>3</v>
      </c>
      <c r="H348" s="8" t="s">
        <v>26</v>
      </c>
      <c r="I348" s="172"/>
      <c r="J348" s="173"/>
      <c r="K348" s="174"/>
      <c r="L348" s="174"/>
      <c r="M348" s="175"/>
      <c r="N348" s="167"/>
      <c r="O348" s="179"/>
      <c r="P348" s="179"/>
      <c r="Q348" s="179"/>
      <c r="R348" s="179"/>
      <c r="S348" s="13" t="s">
        <v>27</v>
      </c>
      <c r="T348"/>
    </row>
    <row r="349" spans="1:20">
      <c r="A349" s="167" t="s">
        <v>685</v>
      </c>
      <c r="B349" s="146" t="s">
        <v>1450</v>
      </c>
      <c r="C349" s="167"/>
      <c r="D349" s="178"/>
      <c r="E349" s="167"/>
      <c r="F349" s="199" t="s">
        <v>683</v>
      </c>
      <c r="G349" s="171">
        <v>3</v>
      </c>
      <c r="H349" s="8" t="s">
        <v>26</v>
      </c>
      <c r="I349" s="172"/>
      <c r="J349" s="173"/>
      <c r="K349" s="174"/>
      <c r="L349" s="174"/>
      <c r="M349" s="175"/>
      <c r="N349" s="167"/>
      <c r="O349" s="179"/>
      <c r="P349" s="179"/>
      <c r="Q349" s="179"/>
      <c r="R349" s="179"/>
      <c r="S349" s="13" t="s">
        <v>27</v>
      </c>
      <c r="T349"/>
    </row>
    <row r="350" spans="1:20">
      <c r="A350" s="167" t="s">
        <v>685</v>
      </c>
      <c r="B350" s="146" t="s">
        <v>1451</v>
      </c>
      <c r="C350" s="167"/>
      <c r="D350" s="178"/>
      <c r="E350" s="167" t="s">
        <v>1452</v>
      </c>
      <c r="F350" s="199" t="s">
        <v>1359</v>
      </c>
      <c r="G350" s="171">
        <v>3</v>
      </c>
      <c r="H350" s="8" t="s">
        <v>26</v>
      </c>
      <c r="I350" s="172"/>
      <c r="J350" s="173"/>
      <c r="K350" s="174"/>
      <c r="L350" s="174"/>
      <c r="M350" s="175"/>
      <c r="N350" s="167"/>
      <c r="O350" s="179"/>
      <c r="P350" s="179"/>
      <c r="Q350" s="179"/>
      <c r="R350" s="179"/>
      <c r="S350" s="13" t="s">
        <v>27</v>
      </c>
      <c r="T350"/>
    </row>
    <row r="351" spans="1:20">
      <c r="A351" s="167" t="s">
        <v>685</v>
      </c>
      <c r="B351" s="146" t="s">
        <v>1453</v>
      </c>
      <c r="C351" s="167"/>
      <c r="D351" s="178"/>
      <c r="E351" s="167" t="s">
        <v>1452</v>
      </c>
      <c r="F351" s="199" t="s">
        <v>1359</v>
      </c>
      <c r="G351" s="171">
        <v>3</v>
      </c>
      <c r="H351" s="8" t="s">
        <v>26</v>
      </c>
      <c r="I351" s="172"/>
      <c r="J351" s="173"/>
      <c r="K351" s="174"/>
      <c r="L351" s="174"/>
      <c r="M351" s="175"/>
      <c r="N351" s="167"/>
      <c r="O351" s="179"/>
      <c r="P351" s="179"/>
      <c r="Q351" s="179"/>
      <c r="R351" s="179"/>
      <c r="S351" s="13" t="s">
        <v>27</v>
      </c>
      <c r="T351"/>
    </row>
    <row r="352" spans="1:20">
      <c r="A352" s="167" t="s">
        <v>685</v>
      </c>
      <c r="B352" s="146" t="s">
        <v>1454</v>
      </c>
      <c r="C352" s="167"/>
      <c r="D352" s="178"/>
      <c r="E352" s="167"/>
      <c r="F352" s="199" t="s">
        <v>1359</v>
      </c>
      <c r="G352" s="171">
        <v>3</v>
      </c>
      <c r="H352" s="8" t="s">
        <v>26</v>
      </c>
      <c r="I352" s="172"/>
      <c r="J352" s="173"/>
      <c r="K352" s="174"/>
      <c r="L352" s="174"/>
      <c r="M352" s="175"/>
      <c r="N352" s="167"/>
      <c r="O352" s="179"/>
      <c r="P352" s="179"/>
      <c r="Q352" s="179"/>
      <c r="R352" s="179"/>
      <c r="S352" s="13" t="s">
        <v>27</v>
      </c>
      <c r="T352"/>
    </row>
    <row r="353" spans="1:20">
      <c r="A353" s="167" t="s">
        <v>685</v>
      </c>
      <c r="B353" s="146" t="s">
        <v>1455</v>
      </c>
      <c r="C353" s="167"/>
      <c r="D353" s="178"/>
      <c r="E353" s="167"/>
      <c r="F353" s="199" t="s">
        <v>1359</v>
      </c>
      <c r="G353" s="171">
        <v>3</v>
      </c>
      <c r="H353" s="8" t="s">
        <v>26</v>
      </c>
      <c r="I353" s="172"/>
      <c r="J353" s="173"/>
      <c r="K353" s="174"/>
      <c r="L353" s="174"/>
      <c r="M353" s="175"/>
      <c r="N353" s="167"/>
      <c r="O353" s="179"/>
      <c r="P353" s="179"/>
      <c r="Q353" s="179"/>
      <c r="R353" s="179"/>
      <c r="S353" s="13" t="s">
        <v>27</v>
      </c>
      <c r="T353"/>
    </row>
    <row r="354" spans="1:20">
      <c r="A354" s="167" t="s">
        <v>685</v>
      </c>
      <c r="B354" s="146" t="s">
        <v>1456</v>
      </c>
      <c r="C354" s="167"/>
      <c r="D354" s="178"/>
      <c r="E354" s="167"/>
      <c r="F354" s="199" t="s">
        <v>1359</v>
      </c>
      <c r="G354" s="171">
        <v>3</v>
      </c>
      <c r="H354" s="8" t="s">
        <v>26</v>
      </c>
      <c r="I354" s="174"/>
      <c r="J354" s="173"/>
      <c r="K354" s="174"/>
      <c r="L354" s="174"/>
      <c r="M354" s="175"/>
      <c r="N354" s="167"/>
      <c r="O354" s="179"/>
      <c r="P354" s="179"/>
      <c r="Q354" s="179"/>
      <c r="R354" s="179"/>
      <c r="S354" s="13" t="s">
        <v>27</v>
      </c>
      <c r="T354"/>
    </row>
    <row r="355" spans="1:20">
      <c r="A355" s="167" t="s">
        <v>685</v>
      </c>
      <c r="B355" s="146" t="s">
        <v>1457</v>
      </c>
      <c r="C355" s="167"/>
      <c r="D355" s="178"/>
      <c r="E355" s="167"/>
      <c r="F355" s="199" t="s">
        <v>1359</v>
      </c>
      <c r="G355" s="171">
        <v>3</v>
      </c>
      <c r="H355" s="8" t="s">
        <v>26</v>
      </c>
      <c r="I355" s="172"/>
      <c r="J355" s="173"/>
      <c r="K355" s="174"/>
      <c r="L355" s="174"/>
      <c r="M355" s="175"/>
      <c r="N355" s="167"/>
      <c r="O355" s="179"/>
      <c r="P355" s="179"/>
      <c r="Q355" s="179"/>
      <c r="R355" s="179"/>
      <c r="S355" s="13" t="s">
        <v>27</v>
      </c>
      <c r="T355"/>
    </row>
    <row r="356" spans="1:20">
      <c r="A356" s="167" t="s">
        <v>685</v>
      </c>
      <c r="B356" s="146" t="s">
        <v>1458</v>
      </c>
      <c r="C356" s="167"/>
      <c r="D356" s="178"/>
      <c r="E356" s="167"/>
      <c r="F356" s="199" t="s">
        <v>1359</v>
      </c>
      <c r="G356" s="171">
        <v>3</v>
      </c>
      <c r="H356" s="8" t="s">
        <v>26</v>
      </c>
      <c r="I356" s="172"/>
      <c r="J356" s="173"/>
      <c r="K356" s="174"/>
      <c r="L356" s="174"/>
      <c r="M356" s="175"/>
      <c r="N356" s="167"/>
      <c r="O356" s="179"/>
      <c r="P356" s="179"/>
      <c r="Q356" s="179"/>
      <c r="R356" s="179"/>
      <c r="S356" s="13" t="s">
        <v>27</v>
      </c>
      <c r="T356"/>
    </row>
    <row r="357" spans="1:20">
      <c r="A357" s="167" t="s">
        <v>685</v>
      </c>
      <c r="B357" s="146" t="s">
        <v>1459</v>
      </c>
      <c r="C357" s="167"/>
      <c r="D357" s="178"/>
      <c r="E357" s="167"/>
      <c r="F357" s="199" t="s">
        <v>1359</v>
      </c>
      <c r="G357" s="171">
        <v>3</v>
      </c>
      <c r="H357" s="8" t="s">
        <v>26</v>
      </c>
      <c r="I357" s="172"/>
      <c r="J357" s="173"/>
      <c r="K357" s="174"/>
      <c r="L357" s="174"/>
      <c r="M357" s="175"/>
      <c r="N357" s="167"/>
      <c r="O357" s="179"/>
      <c r="P357" s="179"/>
      <c r="Q357" s="179"/>
      <c r="R357" s="179"/>
      <c r="S357" s="13" t="s">
        <v>27</v>
      </c>
      <c r="T357"/>
    </row>
    <row r="358" spans="1:20">
      <c r="A358" s="167" t="s">
        <v>685</v>
      </c>
      <c r="B358" s="146" t="s">
        <v>1460</v>
      </c>
      <c r="C358" s="167"/>
      <c r="D358" s="178"/>
      <c r="E358" s="167"/>
      <c r="F358" s="199" t="s">
        <v>1363</v>
      </c>
      <c r="G358" s="171">
        <v>3</v>
      </c>
      <c r="H358" s="8" t="s">
        <v>26</v>
      </c>
      <c r="I358" s="172"/>
      <c r="J358" s="173"/>
      <c r="K358" s="174"/>
      <c r="L358" s="174"/>
      <c r="M358" s="175"/>
      <c r="N358" s="167"/>
      <c r="O358" s="179"/>
      <c r="P358" s="179"/>
      <c r="Q358" s="179"/>
      <c r="R358" s="179"/>
      <c r="S358" s="13" t="s">
        <v>27</v>
      </c>
      <c r="T358"/>
    </row>
    <row r="359" spans="1:20">
      <c r="A359" s="167" t="s">
        <v>685</v>
      </c>
      <c r="B359" s="146" t="s">
        <v>1461</v>
      </c>
      <c r="C359" s="167"/>
      <c r="D359" s="178"/>
      <c r="E359" s="167"/>
      <c r="F359" s="199" t="s">
        <v>1363</v>
      </c>
      <c r="G359" s="171">
        <v>3</v>
      </c>
      <c r="H359" s="8" t="s">
        <v>26</v>
      </c>
      <c r="I359" s="172"/>
      <c r="J359" s="173"/>
      <c r="K359" s="174"/>
      <c r="L359" s="174"/>
      <c r="M359" s="175"/>
      <c r="N359" s="167"/>
      <c r="O359" s="179"/>
      <c r="P359" s="179"/>
      <c r="Q359" s="179"/>
      <c r="R359" s="179"/>
      <c r="S359" s="13" t="s">
        <v>27</v>
      </c>
      <c r="T359"/>
    </row>
    <row r="360" spans="1:20">
      <c r="A360" s="167" t="s">
        <v>685</v>
      </c>
      <c r="B360" s="146" t="s">
        <v>1462</v>
      </c>
      <c r="C360" s="167"/>
      <c r="D360" s="178"/>
      <c r="E360" s="167"/>
      <c r="F360" s="199" t="s">
        <v>1363</v>
      </c>
      <c r="G360" s="171">
        <v>3</v>
      </c>
      <c r="H360" s="8" t="s">
        <v>26</v>
      </c>
      <c r="I360" s="172"/>
      <c r="J360" s="173"/>
      <c r="K360" s="174"/>
      <c r="L360" s="174"/>
      <c r="M360" s="175"/>
      <c r="N360" s="167"/>
      <c r="O360" s="179"/>
      <c r="P360" s="179"/>
      <c r="Q360" s="179"/>
      <c r="R360" s="179"/>
      <c r="S360" s="13" t="s">
        <v>27</v>
      </c>
      <c r="T360"/>
    </row>
    <row r="361" spans="1:20">
      <c r="A361" s="167" t="s">
        <v>685</v>
      </c>
      <c r="B361" s="146" t="s">
        <v>1463</v>
      </c>
      <c r="C361" s="167"/>
      <c r="D361" s="178"/>
      <c r="E361" s="167"/>
      <c r="F361" s="199" t="s">
        <v>1363</v>
      </c>
      <c r="G361" s="171">
        <v>3</v>
      </c>
      <c r="H361" s="8" t="s">
        <v>26</v>
      </c>
      <c r="I361" s="172"/>
      <c r="J361" s="173"/>
      <c r="K361" s="174"/>
      <c r="L361" s="174"/>
      <c r="M361" s="175"/>
      <c r="N361" s="167"/>
      <c r="O361" s="179"/>
      <c r="P361" s="179"/>
      <c r="Q361" s="179"/>
      <c r="R361" s="179"/>
      <c r="S361" s="13" t="s">
        <v>27</v>
      </c>
      <c r="T361"/>
    </row>
    <row r="362" spans="1:20">
      <c r="A362" s="167" t="s">
        <v>685</v>
      </c>
      <c r="B362" s="146" t="s">
        <v>1464</v>
      </c>
      <c r="C362" s="167"/>
      <c r="D362" s="178"/>
      <c r="E362" s="167"/>
      <c r="F362" s="199" t="s">
        <v>1363</v>
      </c>
      <c r="G362" s="171">
        <v>3</v>
      </c>
      <c r="H362" s="8" t="s">
        <v>26</v>
      </c>
      <c r="I362" s="172"/>
      <c r="J362" s="173"/>
      <c r="K362" s="174"/>
      <c r="L362" s="174"/>
      <c r="M362" s="175"/>
      <c r="N362" s="167"/>
      <c r="O362" s="179"/>
      <c r="P362" s="179"/>
      <c r="Q362" s="179"/>
      <c r="R362" s="179"/>
      <c r="S362" s="13" t="s">
        <v>27</v>
      </c>
      <c r="T362"/>
    </row>
    <row r="363" spans="1:20">
      <c r="A363" s="167" t="s">
        <v>685</v>
      </c>
      <c r="B363" s="146" t="s">
        <v>1465</v>
      </c>
      <c r="C363" s="167"/>
      <c r="D363" s="178"/>
      <c r="E363" s="167"/>
      <c r="F363" s="199" t="s">
        <v>1363</v>
      </c>
      <c r="G363" s="171">
        <v>3</v>
      </c>
      <c r="H363" s="8" t="s">
        <v>26</v>
      </c>
      <c r="I363" s="172"/>
      <c r="J363" s="173"/>
      <c r="K363" s="174"/>
      <c r="L363" s="174"/>
      <c r="M363" s="175"/>
      <c r="N363" s="167"/>
      <c r="O363" s="179"/>
      <c r="P363" s="179"/>
      <c r="Q363" s="179"/>
      <c r="R363" s="179"/>
      <c r="S363" s="13" t="s">
        <v>27</v>
      </c>
      <c r="T363"/>
    </row>
    <row r="364" spans="1:20">
      <c r="A364" s="167" t="s">
        <v>685</v>
      </c>
      <c r="B364" s="146" t="s">
        <v>1466</v>
      </c>
      <c r="C364" s="167"/>
      <c r="D364" s="178"/>
      <c r="E364" s="167"/>
      <c r="F364" s="199" t="s">
        <v>1363</v>
      </c>
      <c r="G364" s="171">
        <v>3</v>
      </c>
      <c r="H364" s="8" t="s">
        <v>26</v>
      </c>
      <c r="I364" s="172"/>
      <c r="J364" s="173"/>
      <c r="K364" s="174"/>
      <c r="L364" s="174"/>
      <c r="M364" s="175"/>
      <c r="N364" s="167"/>
      <c r="O364" s="179"/>
      <c r="P364" s="179"/>
      <c r="Q364" s="179"/>
      <c r="R364" s="179"/>
      <c r="S364" s="13" t="s">
        <v>27</v>
      </c>
      <c r="T364"/>
    </row>
    <row r="365" spans="1:20">
      <c r="A365" s="167" t="s">
        <v>685</v>
      </c>
      <c r="B365" s="146" t="s">
        <v>1467</v>
      </c>
      <c r="C365" s="167"/>
      <c r="D365" s="178"/>
      <c r="E365" s="167"/>
      <c r="F365" s="199" t="s">
        <v>1363</v>
      </c>
      <c r="G365" s="171">
        <v>3</v>
      </c>
      <c r="H365" s="8" t="s">
        <v>26</v>
      </c>
      <c r="I365" s="172"/>
      <c r="J365" s="173"/>
      <c r="K365" s="174"/>
      <c r="L365" s="174"/>
      <c r="M365" s="175"/>
      <c r="N365" s="167"/>
      <c r="O365" s="179"/>
      <c r="P365" s="179"/>
      <c r="Q365" s="179"/>
      <c r="R365" s="179"/>
      <c r="S365" s="13" t="s">
        <v>27</v>
      </c>
      <c r="T365"/>
    </row>
    <row r="366" spans="1:20">
      <c r="A366" s="167" t="s">
        <v>685</v>
      </c>
      <c r="B366" s="146" t="s">
        <v>1468</v>
      </c>
      <c r="C366" s="167"/>
      <c r="D366" s="178"/>
      <c r="E366" s="167"/>
      <c r="F366" s="199" t="s">
        <v>1363</v>
      </c>
      <c r="G366" s="171">
        <v>3</v>
      </c>
      <c r="H366" s="8" t="s">
        <v>26</v>
      </c>
      <c r="I366" s="172"/>
      <c r="J366" s="173"/>
      <c r="K366" s="174"/>
      <c r="L366" s="174"/>
      <c r="M366" s="175"/>
      <c r="N366" s="167"/>
      <c r="O366" s="179"/>
      <c r="P366" s="179"/>
      <c r="Q366" s="179"/>
      <c r="R366" s="179"/>
      <c r="S366" s="13" t="s">
        <v>27</v>
      </c>
      <c r="T366"/>
    </row>
    <row r="367" spans="1:20">
      <c r="A367" s="167" t="s">
        <v>685</v>
      </c>
      <c r="B367" s="146" t="s">
        <v>1469</v>
      </c>
      <c r="C367" s="167"/>
      <c r="D367" s="178"/>
      <c r="E367" s="167"/>
      <c r="F367" s="199" t="s">
        <v>1363</v>
      </c>
      <c r="G367" s="171">
        <v>3</v>
      </c>
      <c r="H367" s="8" t="s">
        <v>26</v>
      </c>
      <c r="I367" s="172"/>
      <c r="J367" s="173"/>
      <c r="K367" s="174"/>
      <c r="L367" s="174"/>
      <c r="M367" s="175"/>
      <c r="N367" s="167"/>
      <c r="O367" s="179"/>
      <c r="P367" s="179"/>
      <c r="Q367" s="179"/>
      <c r="R367" s="179"/>
      <c r="S367" s="13" t="s">
        <v>27</v>
      </c>
      <c r="T367"/>
    </row>
    <row r="368" spans="1:20">
      <c r="A368" s="167" t="s">
        <v>685</v>
      </c>
      <c r="B368" s="146" t="s">
        <v>1470</v>
      </c>
      <c r="C368" s="167"/>
      <c r="D368" s="178"/>
      <c r="E368" s="167"/>
      <c r="F368" s="199" t="s">
        <v>1363</v>
      </c>
      <c r="G368" s="171">
        <v>3</v>
      </c>
      <c r="H368" s="8" t="s">
        <v>26</v>
      </c>
      <c r="I368" s="172"/>
      <c r="J368" s="173"/>
      <c r="K368" s="174"/>
      <c r="L368" s="174"/>
      <c r="M368" s="175"/>
      <c r="N368" s="167"/>
      <c r="O368" s="179"/>
      <c r="P368" s="179"/>
      <c r="Q368" s="179"/>
      <c r="R368" s="179"/>
      <c r="S368" s="13" t="s">
        <v>27</v>
      </c>
      <c r="T368"/>
    </row>
    <row r="369" spans="1:20">
      <c r="A369" s="167" t="s">
        <v>685</v>
      </c>
      <c r="B369" s="146" t="s">
        <v>1471</v>
      </c>
      <c r="C369" s="167"/>
      <c r="D369" s="178"/>
      <c r="E369" s="167"/>
      <c r="F369" s="199" t="s">
        <v>1363</v>
      </c>
      <c r="G369" s="171">
        <v>3</v>
      </c>
      <c r="H369" s="8" t="s">
        <v>26</v>
      </c>
      <c r="I369" s="172"/>
      <c r="J369" s="173"/>
      <c r="K369" s="174"/>
      <c r="L369" s="174"/>
      <c r="M369" s="175"/>
      <c r="N369" s="167"/>
      <c r="O369" s="179"/>
      <c r="P369" s="179"/>
      <c r="Q369" s="179"/>
      <c r="R369" s="179"/>
      <c r="S369" s="13" t="s">
        <v>27</v>
      </c>
      <c r="T369"/>
    </row>
    <row r="370" spans="1:20">
      <c r="A370" s="167" t="s">
        <v>685</v>
      </c>
      <c r="B370" s="146" t="s">
        <v>1472</v>
      </c>
      <c r="C370" s="167"/>
      <c r="D370" s="178"/>
      <c r="E370" s="167"/>
      <c r="F370" s="199" t="s">
        <v>1363</v>
      </c>
      <c r="G370" s="171">
        <v>3</v>
      </c>
      <c r="H370" s="8" t="s">
        <v>26</v>
      </c>
      <c r="I370" s="172"/>
      <c r="J370" s="173"/>
      <c r="K370" s="174"/>
      <c r="L370" s="174"/>
      <c r="M370" s="175"/>
      <c r="N370" s="167"/>
      <c r="O370" s="179"/>
      <c r="P370" s="179"/>
      <c r="Q370" s="179"/>
      <c r="R370" s="179"/>
      <c r="S370" s="13" t="s">
        <v>27</v>
      </c>
      <c r="T370"/>
    </row>
    <row r="371" spans="1:20">
      <c r="A371" s="167" t="s">
        <v>685</v>
      </c>
      <c r="B371" s="146" t="s">
        <v>1473</v>
      </c>
      <c r="C371" s="167"/>
      <c r="D371" s="178"/>
      <c r="E371" s="167"/>
      <c r="F371" s="199" t="s">
        <v>1363</v>
      </c>
      <c r="G371" s="171">
        <v>3</v>
      </c>
      <c r="H371" s="8" t="s">
        <v>26</v>
      </c>
      <c r="I371" s="172"/>
      <c r="J371" s="173"/>
      <c r="K371" s="174"/>
      <c r="L371" s="174"/>
      <c r="M371" s="175"/>
      <c r="N371" s="167"/>
      <c r="O371" s="179"/>
      <c r="P371" s="179"/>
      <c r="Q371" s="179"/>
      <c r="R371" s="179"/>
      <c r="S371" s="13" t="s">
        <v>27</v>
      </c>
      <c r="T371"/>
    </row>
    <row r="372" spans="1:20">
      <c r="A372" s="167" t="s">
        <v>685</v>
      </c>
      <c r="B372" s="146" t="s">
        <v>1474</v>
      </c>
      <c r="C372" s="167"/>
      <c r="D372" s="178"/>
      <c r="E372" s="167"/>
      <c r="F372" s="199" t="s">
        <v>1363</v>
      </c>
      <c r="G372" s="171">
        <v>3</v>
      </c>
      <c r="H372" s="8" t="s">
        <v>26</v>
      </c>
      <c r="I372" s="172"/>
      <c r="J372" s="173"/>
      <c r="K372" s="174"/>
      <c r="L372" s="174"/>
      <c r="M372" s="175"/>
      <c r="N372" s="167"/>
      <c r="O372" s="179"/>
      <c r="P372" s="179"/>
      <c r="Q372" s="179"/>
      <c r="R372" s="179"/>
      <c r="S372" s="13" t="s">
        <v>27</v>
      </c>
      <c r="T372"/>
    </row>
    <row r="373" spans="1:20">
      <c r="A373" s="167" t="s">
        <v>685</v>
      </c>
      <c r="B373" s="146" t="s">
        <v>1475</v>
      </c>
      <c r="C373" s="167"/>
      <c r="D373" s="178"/>
      <c r="E373" s="167"/>
      <c r="F373" s="199" t="s">
        <v>1363</v>
      </c>
      <c r="G373" s="171">
        <v>3</v>
      </c>
      <c r="H373" s="8" t="s">
        <v>26</v>
      </c>
      <c r="I373" s="172"/>
      <c r="J373" s="173"/>
      <c r="K373" s="174"/>
      <c r="L373" s="174"/>
      <c r="M373" s="175"/>
      <c r="N373" s="167"/>
      <c r="O373" s="179"/>
      <c r="P373" s="179"/>
      <c r="Q373" s="179"/>
      <c r="R373" s="179"/>
      <c r="S373" s="13" t="s">
        <v>27</v>
      </c>
      <c r="T373"/>
    </row>
    <row r="374" spans="1:20">
      <c r="A374" s="167" t="s">
        <v>685</v>
      </c>
      <c r="B374" s="146" t="s">
        <v>1476</v>
      </c>
      <c r="C374" s="167"/>
      <c r="D374" s="178"/>
      <c r="E374" s="167"/>
      <c r="F374" s="199" t="s">
        <v>1363</v>
      </c>
      <c r="G374" s="171">
        <v>3</v>
      </c>
      <c r="H374" s="8" t="s">
        <v>26</v>
      </c>
      <c r="I374" s="172"/>
      <c r="J374" s="173"/>
      <c r="K374" s="174"/>
      <c r="L374" s="174"/>
      <c r="M374" s="175"/>
      <c r="N374" s="167"/>
      <c r="O374" s="179"/>
      <c r="P374" s="179"/>
      <c r="Q374" s="179"/>
      <c r="R374" s="179"/>
      <c r="S374" s="13" t="s">
        <v>27</v>
      </c>
      <c r="T374"/>
    </row>
    <row r="375" spans="1:20">
      <c r="A375" s="167" t="s">
        <v>685</v>
      </c>
      <c r="B375" s="146" t="s">
        <v>1477</v>
      </c>
      <c r="C375" s="167"/>
      <c r="D375" s="178"/>
      <c r="E375" s="167"/>
      <c r="F375" s="199" t="s">
        <v>1363</v>
      </c>
      <c r="G375" s="171">
        <v>3</v>
      </c>
      <c r="H375" s="8" t="s">
        <v>26</v>
      </c>
      <c r="I375" s="172"/>
      <c r="J375" s="173"/>
      <c r="K375" s="174"/>
      <c r="L375" s="174"/>
      <c r="M375" s="175"/>
      <c r="N375" s="167"/>
      <c r="O375" s="179"/>
      <c r="P375" s="179"/>
      <c r="Q375" s="179"/>
      <c r="R375" s="179"/>
      <c r="S375" s="13" t="s">
        <v>27</v>
      </c>
      <c r="T375"/>
    </row>
    <row r="376" spans="1:20">
      <c r="A376" s="167" t="s">
        <v>685</v>
      </c>
      <c r="B376" s="146" t="s">
        <v>1478</v>
      </c>
      <c r="C376" s="167"/>
      <c r="D376" s="178"/>
      <c r="E376" s="167"/>
      <c r="F376" s="199" t="s">
        <v>1363</v>
      </c>
      <c r="G376" s="171">
        <v>3</v>
      </c>
      <c r="H376" s="8" t="s">
        <v>26</v>
      </c>
      <c r="I376" s="172"/>
      <c r="J376" s="173"/>
      <c r="K376" s="174"/>
      <c r="L376" s="174"/>
      <c r="M376" s="175"/>
      <c r="N376" s="167"/>
      <c r="O376" s="179"/>
      <c r="P376" s="179"/>
      <c r="Q376" s="179"/>
      <c r="R376" s="179"/>
      <c r="S376" s="13" t="s">
        <v>27</v>
      </c>
      <c r="T376"/>
    </row>
    <row r="377" spans="1:20">
      <c r="A377" s="167" t="s">
        <v>685</v>
      </c>
      <c r="B377" s="146" t="s">
        <v>1479</v>
      </c>
      <c r="C377" s="167"/>
      <c r="D377" s="178"/>
      <c r="E377" s="167"/>
      <c r="F377" s="199" t="s">
        <v>1363</v>
      </c>
      <c r="G377" s="171">
        <v>3</v>
      </c>
      <c r="H377" s="8" t="s">
        <v>26</v>
      </c>
      <c r="I377" s="172"/>
      <c r="J377" s="173"/>
      <c r="K377" s="174"/>
      <c r="L377" s="174"/>
      <c r="M377" s="175"/>
      <c r="N377" s="167"/>
      <c r="O377" s="179"/>
      <c r="P377" s="179"/>
      <c r="Q377" s="179"/>
      <c r="R377" s="179"/>
      <c r="S377" s="13" t="s">
        <v>27</v>
      </c>
      <c r="T377"/>
    </row>
    <row r="378" spans="1:20">
      <c r="A378" s="167" t="s">
        <v>685</v>
      </c>
      <c r="B378" s="146" t="s">
        <v>1480</v>
      </c>
      <c r="C378" s="167"/>
      <c r="D378" s="178"/>
      <c r="E378" s="167"/>
      <c r="F378" s="199" t="s">
        <v>1363</v>
      </c>
      <c r="G378" s="171">
        <v>3</v>
      </c>
      <c r="H378" s="8" t="s">
        <v>26</v>
      </c>
      <c r="I378" s="172"/>
      <c r="J378" s="173"/>
      <c r="K378" s="174"/>
      <c r="L378" s="174"/>
      <c r="M378" s="175"/>
      <c r="N378" s="167"/>
      <c r="O378" s="179"/>
      <c r="P378" s="179"/>
      <c r="Q378" s="179"/>
      <c r="R378" s="179"/>
      <c r="S378" s="13" t="s">
        <v>27</v>
      </c>
      <c r="T378"/>
    </row>
    <row r="379" spans="1:20">
      <c r="A379" s="167" t="s">
        <v>685</v>
      </c>
      <c r="B379" s="146" t="s">
        <v>1481</v>
      </c>
      <c r="C379" s="167"/>
      <c r="D379" s="178"/>
      <c r="E379" s="167"/>
      <c r="F379" s="199" t="s">
        <v>1363</v>
      </c>
      <c r="G379" s="171">
        <v>3</v>
      </c>
      <c r="H379" s="8" t="s">
        <v>26</v>
      </c>
      <c r="I379" s="172"/>
      <c r="J379" s="173"/>
      <c r="K379" s="174"/>
      <c r="L379" s="174"/>
      <c r="M379" s="175"/>
      <c r="N379" s="167"/>
      <c r="O379" s="179"/>
      <c r="P379" s="179"/>
      <c r="Q379" s="179"/>
      <c r="R379" s="179"/>
      <c r="S379" s="13" t="s">
        <v>27</v>
      </c>
      <c r="T379"/>
    </row>
    <row r="380" spans="1:20">
      <c r="A380" s="167" t="s">
        <v>685</v>
      </c>
      <c r="B380" s="146" t="s">
        <v>1482</v>
      </c>
      <c r="C380" s="167"/>
      <c r="D380" s="178"/>
      <c r="E380" s="167"/>
      <c r="F380" s="183" t="s">
        <v>31</v>
      </c>
      <c r="G380" s="171">
        <v>3</v>
      </c>
      <c r="H380" s="8" t="s">
        <v>26</v>
      </c>
      <c r="I380" s="172"/>
      <c r="J380" s="173"/>
      <c r="K380" s="174"/>
      <c r="L380" s="174"/>
      <c r="M380" s="175"/>
      <c r="N380" s="167"/>
      <c r="O380" s="179"/>
      <c r="P380" s="179"/>
      <c r="Q380" s="179"/>
      <c r="R380" s="179"/>
      <c r="S380" s="13" t="s">
        <v>27</v>
      </c>
      <c r="T380"/>
    </row>
    <row r="381" spans="1:20">
      <c r="A381" s="167" t="s">
        <v>685</v>
      </c>
      <c r="B381" s="146" t="s">
        <v>1483</v>
      </c>
      <c r="C381" s="167"/>
      <c r="D381" s="178"/>
      <c r="E381" s="167"/>
      <c r="F381" s="183" t="s">
        <v>31</v>
      </c>
      <c r="G381" s="171">
        <v>3</v>
      </c>
      <c r="H381" s="8" t="s">
        <v>26</v>
      </c>
      <c r="I381" s="172"/>
      <c r="J381" s="173"/>
      <c r="K381" s="174"/>
      <c r="L381" s="174"/>
      <c r="M381" s="175"/>
      <c r="N381" s="167"/>
      <c r="O381" s="179"/>
      <c r="P381" s="179"/>
      <c r="Q381" s="179"/>
      <c r="R381" s="179"/>
      <c r="S381" s="13" t="s">
        <v>27</v>
      </c>
      <c r="T381"/>
    </row>
    <row r="382" spans="1:20">
      <c r="A382" s="167" t="s">
        <v>791</v>
      </c>
      <c r="B382" s="184" t="s">
        <v>792</v>
      </c>
      <c r="C382" s="167" t="s">
        <v>793</v>
      </c>
      <c r="D382" s="178" t="s">
        <v>794</v>
      </c>
      <c r="E382" s="167"/>
      <c r="F382" s="183" t="s">
        <v>795</v>
      </c>
      <c r="G382" s="171">
        <v>1</v>
      </c>
      <c r="H382" s="8" t="s">
        <v>26</v>
      </c>
      <c r="I382" s="172"/>
      <c r="J382" s="173"/>
      <c r="K382" s="174"/>
      <c r="L382" s="174" t="str">
        <f>VLOOKUP(B382,电搭接情况统计!$B$2:$H$423,7,0)</f>
        <v>NA</v>
      </c>
      <c r="M382" s="175"/>
      <c r="N382" s="167"/>
      <c r="O382" s="179"/>
      <c r="P382" s="179"/>
      <c r="Q382" s="179"/>
      <c r="R382" s="179"/>
      <c r="S382" s="13" t="s">
        <v>27</v>
      </c>
      <c r="T382"/>
    </row>
    <row r="383" spans="1:20">
      <c r="A383" s="167" t="s">
        <v>791</v>
      </c>
      <c r="B383" s="184" t="s">
        <v>796</v>
      </c>
      <c r="C383" s="167" t="s">
        <v>793</v>
      </c>
      <c r="D383" s="178" t="s">
        <v>797</v>
      </c>
      <c r="E383" s="167"/>
      <c r="F383" s="183" t="s">
        <v>795</v>
      </c>
      <c r="G383" s="171">
        <v>1</v>
      </c>
      <c r="H383" s="8" t="s">
        <v>26</v>
      </c>
      <c r="I383" s="172"/>
      <c r="J383" s="173"/>
      <c r="K383" s="174"/>
      <c r="L383" s="174" t="str">
        <f>VLOOKUP(B383,电搭接情况统计!$B$2:$H$423,7,0)</f>
        <v>NA</v>
      </c>
      <c r="M383" s="175"/>
      <c r="N383" s="167"/>
      <c r="O383" s="179"/>
      <c r="P383" s="179"/>
      <c r="Q383" s="179"/>
      <c r="R383" s="179"/>
      <c r="S383" s="13" t="s">
        <v>27</v>
      </c>
      <c r="T383"/>
    </row>
    <row r="384" spans="1:20">
      <c r="A384" s="167" t="s">
        <v>791</v>
      </c>
      <c r="B384" s="184" t="s">
        <v>798</v>
      </c>
      <c r="C384" s="167" t="s">
        <v>793</v>
      </c>
      <c r="D384" s="178" t="s">
        <v>799</v>
      </c>
      <c r="E384" s="167"/>
      <c r="F384" s="183" t="s">
        <v>795</v>
      </c>
      <c r="G384" s="171">
        <v>1</v>
      </c>
      <c r="H384" s="8" t="s">
        <v>26</v>
      </c>
      <c r="I384" s="172"/>
      <c r="J384" s="173"/>
      <c r="K384" s="174"/>
      <c r="L384" s="174" t="str">
        <f>VLOOKUP(B384,电搭接情况统计!$B$2:$H$423,7,0)</f>
        <v>NA</v>
      </c>
      <c r="M384" s="175"/>
      <c r="N384" s="167"/>
      <c r="O384" s="179"/>
      <c r="P384" s="179"/>
      <c r="Q384" s="179"/>
      <c r="R384" s="179"/>
      <c r="S384" s="13" t="s">
        <v>27</v>
      </c>
      <c r="T384"/>
    </row>
    <row r="385" spans="1:20">
      <c r="A385" s="167" t="s">
        <v>791</v>
      </c>
      <c r="B385" s="184" t="s">
        <v>800</v>
      </c>
      <c r="C385" s="167" t="s">
        <v>801</v>
      </c>
      <c r="D385" s="178" t="s">
        <v>802</v>
      </c>
      <c r="E385" s="167"/>
      <c r="F385" s="183" t="s">
        <v>795</v>
      </c>
      <c r="G385" s="171">
        <v>1</v>
      </c>
      <c r="H385" s="8" t="s">
        <v>26</v>
      </c>
      <c r="I385" s="172"/>
      <c r="J385" s="173"/>
      <c r="K385" s="174"/>
      <c r="L385" s="174" t="str">
        <f>VLOOKUP(B385,电搭接情况统计!$B$2:$H$423,7,0)</f>
        <v>S类</v>
      </c>
      <c r="M385" s="175"/>
      <c r="N385" s="167"/>
      <c r="O385" s="179"/>
      <c r="P385" s="179"/>
      <c r="Q385" s="179"/>
      <c r="R385" s="179"/>
      <c r="S385" s="13" t="s">
        <v>27</v>
      </c>
      <c r="T385"/>
    </row>
    <row r="386" spans="1:20">
      <c r="A386" s="167" t="s">
        <v>791</v>
      </c>
      <c r="B386" s="184" t="s">
        <v>803</v>
      </c>
      <c r="C386" s="167" t="s">
        <v>801</v>
      </c>
      <c r="D386" s="178" t="s">
        <v>804</v>
      </c>
      <c r="E386" s="167"/>
      <c r="F386" s="183" t="s">
        <v>795</v>
      </c>
      <c r="G386" s="171">
        <v>1</v>
      </c>
      <c r="H386" s="8" t="s">
        <v>26</v>
      </c>
      <c r="I386" s="172"/>
      <c r="J386" s="173"/>
      <c r="K386" s="174"/>
      <c r="L386" s="174" t="str">
        <f>VLOOKUP(B386,电搭接情况统计!$B$2:$H$423,7,0)</f>
        <v>S类</v>
      </c>
      <c r="M386" s="175"/>
      <c r="N386" s="167"/>
      <c r="O386" s="179"/>
      <c r="P386" s="179"/>
      <c r="Q386" s="179"/>
      <c r="R386" s="179"/>
      <c r="S386" s="13" t="s">
        <v>27</v>
      </c>
      <c r="T386"/>
    </row>
    <row r="387" spans="1:20">
      <c r="A387" s="167" t="s">
        <v>791</v>
      </c>
      <c r="B387" s="184" t="s">
        <v>805</v>
      </c>
      <c r="C387" s="167" t="s">
        <v>806</v>
      </c>
      <c r="D387" s="178" t="s">
        <v>807</v>
      </c>
      <c r="E387" s="167"/>
      <c r="F387" s="183" t="s">
        <v>795</v>
      </c>
      <c r="G387" s="171">
        <v>1</v>
      </c>
      <c r="H387" s="8" t="s">
        <v>26</v>
      </c>
      <c r="I387" s="172"/>
      <c r="J387" s="173"/>
      <c r="K387" s="174"/>
      <c r="L387" s="174" t="str">
        <f>VLOOKUP(B387,电搭接情况统计!$B$2:$H$423,7,0)</f>
        <v>NA</v>
      </c>
      <c r="M387" s="175"/>
      <c r="N387" s="167"/>
      <c r="O387" s="179"/>
      <c r="P387" s="179"/>
      <c r="Q387" s="179"/>
      <c r="R387" s="179"/>
      <c r="S387" s="13" t="s">
        <v>27</v>
      </c>
      <c r="T387"/>
    </row>
    <row r="388" spans="1:20">
      <c r="A388" s="167" t="s">
        <v>791</v>
      </c>
      <c r="B388" s="184" t="s">
        <v>808</v>
      </c>
      <c r="C388" s="167" t="s">
        <v>806</v>
      </c>
      <c r="D388" s="178" t="s">
        <v>809</v>
      </c>
      <c r="E388" s="167"/>
      <c r="F388" s="183" t="s">
        <v>795</v>
      </c>
      <c r="G388" s="171">
        <v>1</v>
      </c>
      <c r="H388" s="8" t="s">
        <v>26</v>
      </c>
      <c r="I388" s="172"/>
      <c r="J388" s="173"/>
      <c r="K388" s="174"/>
      <c r="L388" s="174" t="str">
        <f>VLOOKUP(B388,电搭接情况统计!$B$2:$H$423,7,0)</f>
        <v>NA</v>
      </c>
      <c r="M388" s="175"/>
      <c r="N388" s="167"/>
      <c r="O388" s="179"/>
      <c r="P388" s="179"/>
      <c r="Q388" s="179"/>
      <c r="R388" s="179"/>
      <c r="S388" s="13" t="s">
        <v>27</v>
      </c>
      <c r="T388"/>
    </row>
    <row r="389" spans="1:20">
      <c r="A389" s="167" t="s">
        <v>791</v>
      </c>
      <c r="B389" s="184" t="s">
        <v>810</v>
      </c>
      <c r="C389" s="167" t="s">
        <v>806</v>
      </c>
      <c r="D389" s="178" t="s">
        <v>811</v>
      </c>
      <c r="E389" s="167"/>
      <c r="F389" s="183" t="s">
        <v>795</v>
      </c>
      <c r="G389" s="171">
        <v>1</v>
      </c>
      <c r="H389" s="8" t="s">
        <v>26</v>
      </c>
      <c r="I389" s="172"/>
      <c r="J389" s="173"/>
      <c r="K389" s="174"/>
      <c r="L389" s="174" t="str">
        <f>VLOOKUP(B389,电搭接情况统计!$B$2:$H$423,7,0)</f>
        <v>NA</v>
      </c>
      <c r="M389" s="175"/>
      <c r="N389" s="167"/>
      <c r="O389" s="179"/>
      <c r="P389" s="179"/>
      <c r="Q389" s="179"/>
      <c r="R389" s="179"/>
      <c r="S389" s="13" t="s">
        <v>27</v>
      </c>
      <c r="T389"/>
    </row>
    <row r="390" spans="1:20">
      <c r="A390" s="167" t="s">
        <v>791</v>
      </c>
      <c r="B390" s="184" t="s">
        <v>812</v>
      </c>
      <c r="C390" s="167" t="s">
        <v>813</v>
      </c>
      <c r="D390" s="178" t="s">
        <v>814</v>
      </c>
      <c r="E390" s="167"/>
      <c r="F390" s="183" t="s">
        <v>379</v>
      </c>
      <c r="G390" s="171">
        <v>1</v>
      </c>
      <c r="H390" s="8" t="s">
        <v>26</v>
      </c>
      <c r="I390" s="172"/>
      <c r="J390" s="173"/>
      <c r="K390" s="174"/>
      <c r="L390" s="174" t="str">
        <f>VLOOKUP(B390,电搭接情况统计!$B$2:$H$423,7,0)</f>
        <v>NA</v>
      </c>
      <c r="M390" s="175"/>
      <c r="N390" s="167"/>
      <c r="O390" s="179"/>
      <c r="P390" s="179"/>
      <c r="Q390" s="179"/>
      <c r="R390" s="179"/>
      <c r="S390" s="13" t="s">
        <v>27</v>
      </c>
      <c r="T390"/>
    </row>
    <row r="391" spans="1:20">
      <c r="A391" s="167" t="s">
        <v>791</v>
      </c>
      <c r="B391" s="184" t="s">
        <v>815</v>
      </c>
      <c r="C391" s="167" t="s">
        <v>816</v>
      </c>
      <c r="D391" s="178" t="s">
        <v>817</v>
      </c>
      <c r="E391" s="167"/>
      <c r="F391" s="183" t="s">
        <v>379</v>
      </c>
      <c r="G391" s="171">
        <v>1</v>
      </c>
      <c r="H391" s="8" t="s">
        <v>26</v>
      </c>
      <c r="I391" s="172"/>
      <c r="J391" s="173"/>
      <c r="K391" s="174"/>
      <c r="L391" s="174" t="str">
        <f>VLOOKUP(B391,电搭接情况统计!$B$2:$H$423,7,0)</f>
        <v>NA</v>
      </c>
      <c r="M391" s="175"/>
      <c r="N391" s="167"/>
      <c r="O391" s="179"/>
      <c r="P391" s="179"/>
      <c r="Q391" s="179"/>
      <c r="R391" s="179"/>
      <c r="S391" s="13" t="s">
        <v>27</v>
      </c>
      <c r="T391"/>
    </row>
    <row r="392" spans="1:20">
      <c r="A392" s="167" t="s">
        <v>791</v>
      </c>
      <c r="B392" s="184" t="s">
        <v>818</v>
      </c>
      <c r="C392" s="167" t="s">
        <v>819</v>
      </c>
      <c r="D392" s="178" t="s">
        <v>820</v>
      </c>
      <c r="E392" s="167"/>
      <c r="F392" s="183" t="s">
        <v>379</v>
      </c>
      <c r="G392" s="171">
        <v>1</v>
      </c>
      <c r="H392" s="8" t="s">
        <v>26</v>
      </c>
      <c r="I392" s="172"/>
      <c r="J392" s="173"/>
      <c r="K392" s="174"/>
      <c r="L392" s="174" t="str">
        <f>VLOOKUP(B392,电搭接情况统计!$B$2:$H$423,7,0)</f>
        <v>NA</v>
      </c>
      <c r="M392" s="175"/>
      <c r="N392" s="167"/>
      <c r="O392" s="179"/>
      <c r="P392" s="179"/>
      <c r="Q392" s="179"/>
      <c r="R392" s="179"/>
      <c r="S392" s="13" t="s">
        <v>27</v>
      </c>
      <c r="T392"/>
    </row>
    <row r="393" spans="1:20">
      <c r="A393" s="167" t="s">
        <v>791</v>
      </c>
      <c r="B393" s="184" t="s">
        <v>821</v>
      </c>
      <c r="C393" s="167" t="s">
        <v>822</v>
      </c>
      <c r="D393" s="178" t="s">
        <v>823</v>
      </c>
      <c r="E393" s="167"/>
      <c r="F393" s="183" t="s">
        <v>379</v>
      </c>
      <c r="G393" s="171">
        <v>1</v>
      </c>
      <c r="H393" s="8" t="s">
        <v>26</v>
      </c>
      <c r="I393" s="172"/>
      <c r="J393" s="173"/>
      <c r="K393" s="174"/>
      <c r="L393" s="174" t="str">
        <f>VLOOKUP(B393,电搭接情况统计!$B$2:$H$423,7,0)</f>
        <v>NA</v>
      </c>
      <c r="M393" s="175"/>
      <c r="N393" s="167"/>
      <c r="O393" s="179"/>
      <c r="P393" s="179"/>
      <c r="Q393" s="179"/>
      <c r="R393" s="179"/>
      <c r="S393" s="13" t="s">
        <v>27</v>
      </c>
      <c r="T393"/>
    </row>
    <row r="394" spans="1:20">
      <c r="A394" s="167" t="s">
        <v>791</v>
      </c>
      <c r="B394" s="184" t="s">
        <v>824</v>
      </c>
      <c r="C394" s="167" t="s">
        <v>825</v>
      </c>
      <c r="D394" s="178" t="s">
        <v>826</v>
      </c>
      <c r="E394" s="167"/>
      <c r="F394" s="183" t="s">
        <v>379</v>
      </c>
      <c r="G394" s="171">
        <v>1</v>
      </c>
      <c r="H394" s="8" t="s">
        <v>26</v>
      </c>
      <c r="I394" s="172"/>
      <c r="J394" s="173"/>
      <c r="K394" s="174"/>
      <c r="L394" s="174" t="str">
        <f>VLOOKUP(B394,电搭接情况统计!$B$2:$H$423,7,0)</f>
        <v>NA</v>
      </c>
      <c r="M394" s="175"/>
      <c r="N394" s="167"/>
      <c r="O394" s="179"/>
      <c r="P394" s="179"/>
      <c r="Q394" s="179"/>
      <c r="R394" s="179"/>
      <c r="S394" s="13" t="s">
        <v>27</v>
      </c>
      <c r="T394"/>
    </row>
    <row r="395" spans="1:20">
      <c r="A395" s="167" t="s">
        <v>791</v>
      </c>
      <c r="B395" s="184" t="s">
        <v>827</v>
      </c>
      <c r="C395" s="167" t="s">
        <v>828</v>
      </c>
      <c r="D395" s="178" t="s">
        <v>829</v>
      </c>
      <c r="E395" s="167"/>
      <c r="F395" s="183" t="s">
        <v>379</v>
      </c>
      <c r="G395" s="171">
        <v>1</v>
      </c>
      <c r="H395" s="8" t="s">
        <v>26</v>
      </c>
      <c r="I395" s="172"/>
      <c r="J395" s="173"/>
      <c r="K395" s="174"/>
      <c r="L395" s="174" t="str">
        <f>VLOOKUP(B395,电搭接情况统计!$B$2:$H$423,7,0)</f>
        <v>NA</v>
      </c>
      <c r="M395" s="175"/>
      <c r="N395" s="167"/>
      <c r="O395" s="179"/>
      <c r="P395" s="179"/>
      <c r="Q395" s="179"/>
      <c r="R395" s="179"/>
      <c r="S395" s="13" t="s">
        <v>27</v>
      </c>
      <c r="T395"/>
    </row>
    <row r="396" spans="1:20">
      <c r="A396" s="167" t="s">
        <v>791</v>
      </c>
      <c r="B396" s="184" t="s">
        <v>830</v>
      </c>
      <c r="C396" s="167" t="s">
        <v>831</v>
      </c>
      <c r="D396" s="178" t="s">
        <v>832</v>
      </c>
      <c r="E396" s="167"/>
      <c r="F396" s="183" t="s">
        <v>379</v>
      </c>
      <c r="G396" s="171">
        <v>1</v>
      </c>
      <c r="H396" s="8" t="s">
        <v>26</v>
      </c>
      <c r="I396" s="172"/>
      <c r="J396" s="173"/>
      <c r="K396" s="174"/>
      <c r="L396" s="174" t="str">
        <f>VLOOKUP(B396,电搭接情况统计!$B$2:$H$423,7,0)</f>
        <v>NA</v>
      </c>
      <c r="M396" s="175"/>
      <c r="N396" s="167"/>
      <c r="O396" s="179"/>
      <c r="P396" s="179"/>
      <c r="Q396" s="179"/>
      <c r="R396" s="179"/>
      <c r="S396" s="13" t="s">
        <v>27</v>
      </c>
      <c r="T396"/>
    </row>
    <row r="397" spans="1:20">
      <c r="A397" s="167" t="s">
        <v>791</v>
      </c>
      <c r="B397" s="184" t="s">
        <v>833</v>
      </c>
      <c r="C397" s="167" t="s">
        <v>834</v>
      </c>
      <c r="D397" s="178" t="s">
        <v>835</v>
      </c>
      <c r="E397" s="167"/>
      <c r="F397" s="183" t="s">
        <v>388</v>
      </c>
      <c r="G397" s="171">
        <v>1</v>
      </c>
      <c r="H397" s="8" t="s">
        <v>26</v>
      </c>
      <c r="I397" s="172"/>
      <c r="J397" s="173"/>
      <c r="K397" s="174"/>
      <c r="L397" s="174" t="str">
        <f>VLOOKUP(B397,电搭接情况统计!$B$2:$H$423,7,0)</f>
        <v>C类</v>
      </c>
      <c r="M397" s="175"/>
      <c r="N397" s="167"/>
      <c r="O397" s="179"/>
      <c r="P397" s="179"/>
      <c r="Q397" s="179"/>
      <c r="R397" s="179"/>
      <c r="S397" s="13" t="s">
        <v>27</v>
      </c>
      <c r="T397"/>
    </row>
    <row r="398" spans="1:20">
      <c r="A398" s="167" t="s">
        <v>791</v>
      </c>
      <c r="B398" s="184" t="s">
        <v>836</v>
      </c>
      <c r="C398" s="167" t="s">
        <v>834</v>
      </c>
      <c r="D398" s="178" t="s">
        <v>837</v>
      </c>
      <c r="E398" s="167"/>
      <c r="F398" s="183" t="s">
        <v>388</v>
      </c>
      <c r="G398" s="171">
        <v>1</v>
      </c>
      <c r="H398" s="8" t="s">
        <v>26</v>
      </c>
      <c r="I398" s="172"/>
      <c r="J398" s="173"/>
      <c r="K398" s="174"/>
      <c r="L398" s="174" t="str">
        <f>VLOOKUP(B398,电搭接情况统计!$B$2:$H$423,7,0)</f>
        <v>C类</v>
      </c>
      <c r="M398" s="175"/>
      <c r="N398" s="167"/>
      <c r="O398" s="179"/>
      <c r="P398" s="179"/>
      <c r="Q398" s="179"/>
      <c r="R398" s="179"/>
      <c r="S398" s="13" t="s">
        <v>27</v>
      </c>
      <c r="T398"/>
    </row>
    <row r="399" spans="1:20">
      <c r="A399" s="167" t="s">
        <v>791</v>
      </c>
      <c r="B399" s="184" t="s">
        <v>838</v>
      </c>
      <c r="C399" s="167" t="s">
        <v>834</v>
      </c>
      <c r="D399" s="178" t="s">
        <v>839</v>
      </c>
      <c r="E399" s="167"/>
      <c r="F399" s="183" t="s">
        <v>388</v>
      </c>
      <c r="G399" s="171">
        <v>1</v>
      </c>
      <c r="H399" s="8" t="s">
        <v>26</v>
      </c>
      <c r="I399" s="172"/>
      <c r="J399" s="173"/>
      <c r="K399" s="174"/>
      <c r="L399" s="174" t="str">
        <f>VLOOKUP(B399,电搭接情况统计!$B$2:$H$423,7,0)</f>
        <v>C类</v>
      </c>
      <c r="M399" s="175"/>
      <c r="N399" s="167"/>
      <c r="O399" s="179"/>
      <c r="P399" s="179"/>
      <c r="Q399" s="179"/>
      <c r="R399" s="179"/>
      <c r="S399" s="13" t="s">
        <v>27</v>
      </c>
      <c r="T399"/>
    </row>
    <row r="400" spans="1:20">
      <c r="A400" s="167" t="s">
        <v>791</v>
      </c>
      <c r="B400" s="184" t="s">
        <v>840</v>
      </c>
      <c r="C400" s="167" t="s">
        <v>834</v>
      </c>
      <c r="D400" s="178" t="s">
        <v>841</v>
      </c>
      <c r="E400" s="167"/>
      <c r="F400" s="183" t="s">
        <v>388</v>
      </c>
      <c r="G400" s="171">
        <v>1</v>
      </c>
      <c r="H400" s="8" t="s">
        <v>26</v>
      </c>
      <c r="I400" s="172"/>
      <c r="J400" s="173"/>
      <c r="K400" s="174"/>
      <c r="L400" s="174" t="str">
        <f>VLOOKUP(B400,电搭接情况统计!$B$2:$H$423,7,0)</f>
        <v>C类</v>
      </c>
      <c r="M400" s="175"/>
      <c r="N400" s="167"/>
      <c r="O400" s="179"/>
      <c r="P400" s="179"/>
      <c r="Q400" s="179"/>
      <c r="R400" s="179"/>
      <c r="S400" s="13" t="s">
        <v>27</v>
      </c>
      <c r="T400"/>
    </row>
    <row r="401" spans="1:20">
      <c r="A401" s="167" t="s">
        <v>791</v>
      </c>
      <c r="B401" s="184" t="s">
        <v>842</v>
      </c>
      <c r="C401" s="167" t="s">
        <v>834</v>
      </c>
      <c r="D401" s="178" t="s">
        <v>843</v>
      </c>
      <c r="E401" s="167"/>
      <c r="F401" s="183" t="s">
        <v>388</v>
      </c>
      <c r="G401" s="171">
        <v>1</v>
      </c>
      <c r="H401" s="8" t="s">
        <v>26</v>
      </c>
      <c r="I401" s="172"/>
      <c r="J401" s="173"/>
      <c r="K401" s="174"/>
      <c r="L401" s="174" t="str">
        <f>VLOOKUP(B401,电搭接情况统计!$B$2:$H$423,7,0)</f>
        <v>C类</v>
      </c>
      <c r="M401" s="175"/>
      <c r="N401" s="167"/>
      <c r="O401" s="179"/>
      <c r="P401" s="179"/>
      <c r="Q401" s="179"/>
      <c r="R401" s="179"/>
      <c r="S401" s="13" t="s">
        <v>844</v>
      </c>
      <c r="T401"/>
    </row>
    <row r="402" spans="1:20">
      <c r="A402" s="167" t="s">
        <v>791</v>
      </c>
      <c r="B402" s="184" t="s">
        <v>845</v>
      </c>
      <c r="C402" s="167" t="s">
        <v>834</v>
      </c>
      <c r="D402" s="178" t="s">
        <v>846</v>
      </c>
      <c r="E402" s="167"/>
      <c r="F402" s="183" t="s">
        <v>388</v>
      </c>
      <c r="G402" s="171">
        <v>1</v>
      </c>
      <c r="H402" s="8" t="s">
        <v>26</v>
      </c>
      <c r="I402" s="172"/>
      <c r="J402" s="173"/>
      <c r="K402" s="174"/>
      <c r="L402" s="174" t="str">
        <f>VLOOKUP(B402,电搭接情况统计!$B$2:$H$423,7,0)</f>
        <v>C类</v>
      </c>
      <c r="M402" s="175"/>
      <c r="N402" s="167"/>
      <c r="O402" s="179"/>
      <c r="P402" s="179"/>
      <c r="Q402" s="179"/>
      <c r="R402" s="179"/>
      <c r="S402" s="13" t="s">
        <v>844</v>
      </c>
      <c r="T402"/>
    </row>
    <row r="403" spans="1:20">
      <c r="A403" s="167" t="s">
        <v>791</v>
      </c>
      <c r="B403" s="184" t="s">
        <v>847</v>
      </c>
      <c r="C403" s="167" t="s">
        <v>834</v>
      </c>
      <c r="D403" s="178" t="s">
        <v>848</v>
      </c>
      <c r="E403" s="167"/>
      <c r="F403" s="183" t="s">
        <v>186</v>
      </c>
      <c r="G403" s="171">
        <v>1</v>
      </c>
      <c r="H403" s="8" t="s">
        <v>26</v>
      </c>
      <c r="I403" s="172"/>
      <c r="J403" s="173"/>
      <c r="K403" s="174"/>
      <c r="L403" s="174" t="str">
        <f>VLOOKUP(B403,电搭接情况统计!$B$2:$H$423,7,0)</f>
        <v>C类</v>
      </c>
      <c r="M403" s="175"/>
      <c r="N403" s="167"/>
      <c r="O403" s="179"/>
      <c r="P403" s="179"/>
      <c r="Q403" s="179"/>
      <c r="R403" s="179"/>
      <c r="S403" s="13" t="s">
        <v>27</v>
      </c>
      <c r="T403"/>
    </row>
    <row r="404" spans="1:20">
      <c r="A404" s="167" t="s">
        <v>791</v>
      </c>
      <c r="B404" s="184" t="s">
        <v>849</v>
      </c>
      <c r="C404" s="167" t="s">
        <v>834</v>
      </c>
      <c r="D404" s="178" t="s">
        <v>850</v>
      </c>
      <c r="E404" s="167"/>
      <c r="F404" s="183" t="s">
        <v>186</v>
      </c>
      <c r="G404" s="171">
        <v>1</v>
      </c>
      <c r="H404" s="8" t="s">
        <v>26</v>
      </c>
      <c r="I404" s="172"/>
      <c r="J404" s="173"/>
      <c r="K404" s="174"/>
      <c r="L404" s="174" t="str">
        <f>VLOOKUP(B404,电搭接情况统计!$B$2:$H$423,7,0)</f>
        <v>C类</v>
      </c>
      <c r="M404" s="175"/>
      <c r="N404" s="167"/>
      <c r="O404" s="179"/>
      <c r="P404" s="179"/>
      <c r="Q404" s="179"/>
      <c r="R404" s="179"/>
      <c r="S404" s="13" t="s">
        <v>27</v>
      </c>
      <c r="T404"/>
    </row>
    <row r="405" spans="1:20">
      <c r="A405" s="167" t="s">
        <v>791</v>
      </c>
      <c r="B405" s="184" t="s">
        <v>851</v>
      </c>
      <c r="C405" s="167" t="s">
        <v>834</v>
      </c>
      <c r="D405" s="178" t="s">
        <v>852</v>
      </c>
      <c r="E405" s="167"/>
      <c r="F405" s="183" t="s">
        <v>186</v>
      </c>
      <c r="G405" s="171">
        <v>1</v>
      </c>
      <c r="H405" s="8" t="s">
        <v>26</v>
      </c>
      <c r="I405" s="172"/>
      <c r="J405" s="173"/>
      <c r="K405" s="174"/>
      <c r="L405" s="174" t="str">
        <f>VLOOKUP(B405,电搭接情况统计!$B$2:$H$423,7,0)</f>
        <v>C类</v>
      </c>
      <c r="M405" s="175"/>
      <c r="N405" s="167"/>
      <c r="O405" s="179"/>
      <c r="P405" s="179"/>
      <c r="Q405" s="179"/>
      <c r="R405" s="179"/>
      <c r="S405" s="13" t="s">
        <v>27</v>
      </c>
      <c r="T405"/>
    </row>
    <row r="406" spans="1:20">
      <c r="A406" s="167" t="s">
        <v>791</v>
      </c>
      <c r="B406" s="184" t="s">
        <v>853</v>
      </c>
      <c r="C406" s="167" t="s">
        <v>854</v>
      </c>
      <c r="D406" s="178" t="s">
        <v>855</v>
      </c>
      <c r="E406" s="189" t="s">
        <v>1484</v>
      </c>
      <c r="F406" s="183" t="s">
        <v>36</v>
      </c>
      <c r="G406" s="171">
        <v>1</v>
      </c>
      <c r="H406" s="8" t="s">
        <v>26</v>
      </c>
      <c r="I406" s="172"/>
      <c r="J406" s="182" t="str">
        <f>VLOOKUP($B406,设备架接口信息!$A$1:$G$69,4,0)</f>
        <v>四角螺栓安装</v>
      </c>
      <c r="K406" s="175" t="str">
        <f>VLOOKUP($B406,设备架接口信息!$A$1:$G$69,5,0)</f>
        <v>面搭接</v>
      </c>
      <c r="L406" s="174" t="str">
        <f>VLOOKUP(B406,电搭接情况统计!$B$2:$H$423,7,0)</f>
        <v>C类</v>
      </c>
      <c r="M406" s="175">
        <f>VLOOKUP($B406,设备架接口信息!$A$1:$G$69,6,0)</f>
        <v>0.790714</v>
      </c>
      <c r="N406" s="167"/>
      <c r="O406" s="179"/>
      <c r="P406" s="179"/>
      <c r="Q406" s="179"/>
      <c r="R406" s="179"/>
      <c r="S406" s="13" t="s">
        <v>844</v>
      </c>
      <c r="T406"/>
    </row>
    <row r="407" spans="1:20">
      <c r="A407" s="167" t="s">
        <v>791</v>
      </c>
      <c r="B407" s="184" t="s">
        <v>856</v>
      </c>
      <c r="C407" s="167" t="s">
        <v>854</v>
      </c>
      <c r="D407" s="178" t="s">
        <v>857</v>
      </c>
      <c r="E407" s="189" t="s">
        <v>1484</v>
      </c>
      <c r="F407" s="183" t="s">
        <v>36</v>
      </c>
      <c r="G407" s="171">
        <v>1</v>
      </c>
      <c r="H407" s="8" t="s">
        <v>26</v>
      </c>
      <c r="I407" s="172"/>
      <c r="J407" s="182" t="str">
        <f>VLOOKUP($B407,设备架接口信息!$A$1:$G$69,4,0)</f>
        <v>四角螺栓安装</v>
      </c>
      <c r="K407" s="175" t="str">
        <f>VLOOKUP($B407,设备架接口信息!$A$1:$G$69,5,0)</f>
        <v>面搭接</v>
      </c>
      <c r="L407" s="174" t="str">
        <f>VLOOKUP(B407,电搭接情况统计!$B$2:$H$423,7,0)</f>
        <v>C类</v>
      </c>
      <c r="M407" s="175">
        <f>VLOOKUP($B407,设备架接口信息!$A$1:$G$69,6,0)</f>
        <v>0.788214</v>
      </c>
      <c r="N407" s="167"/>
      <c r="O407" s="179"/>
      <c r="P407" s="179"/>
      <c r="Q407" s="179"/>
      <c r="R407" s="179"/>
      <c r="S407" s="13" t="s">
        <v>844</v>
      </c>
      <c r="T407"/>
    </row>
    <row r="408" spans="1:20">
      <c r="A408" s="167" t="s">
        <v>791</v>
      </c>
      <c r="B408" s="184" t="s">
        <v>858</v>
      </c>
      <c r="C408" s="167" t="s">
        <v>854</v>
      </c>
      <c r="D408" s="178" t="s">
        <v>859</v>
      </c>
      <c r="E408" s="189" t="s">
        <v>1484</v>
      </c>
      <c r="F408" s="183" t="s">
        <v>40</v>
      </c>
      <c r="G408" s="171">
        <v>1</v>
      </c>
      <c r="H408" s="8" t="s">
        <v>26</v>
      </c>
      <c r="I408" s="172"/>
      <c r="J408" s="182" t="str">
        <f>VLOOKUP($B408,设备架接口信息!$A$1:$G$69,4,0)</f>
        <v>四角螺栓安装</v>
      </c>
      <c r="K408" s="175" t="str">
        <f>VLOOKUP($B408,设备架接口信息!$A$1:$G$69,5,0)</f>
        <v>面搭接</v>
      </c>
      <c r="L408" s="174" t="str">
        <f>VLOOKUP(B408,电搭接情况统计!$B$2:$H$423,7,0)</f>
        <v>C类</v>
      </c>
      <c r="M408" s="175">
        <f>VLOOKUP($B408,设备架接口信息!$A$1:$G$69,6,0)</f>
        <v>0.787614</v>
      </c>
      <c r="N408" s="167"/>
      <c r="O408" s="179"/>
      <c r="P408" s="179"/>
      <c r="Q408" s="179"/>
      <c r="R408" s="179"/>
      <c r="S408" s="13" t="s">
        <v>844</v>
      </c>
      <c r="T408"/>
    </row>
    <row r="409" spans="1:20">
      <c r="A409" s="167" t="s">
        <v>791</v>
      </c>
      <c r="B409" s="146" t="s">
        <v>860</v>
      </c>
      <c r="C409" s="167" t="s">
        <v>861</v>
      </c>
      <c r="D409" s="174" t="s">
        <v>862</v>
      </c>
      <c r="E409" s="167"/>
      <c r="F409" s="183" t="s">
        <v>44</v>
      </c>
      <c r="G409" s="171">
        <v>2</v>
      </c>
      <c r="H409" s="8" t="s">
        <v>26</v>
      </c>
      <c r="I409" s="172"/>
      <c r="J409" s="173"/>
      <c r="K409" s="174"/>
      <c r="L409" s="174" t="str">
        <f>VLOOKUP(B409,电搭接情况统计!$B$2:$H$423,7,0)</f>
        <v>NA</v>
      </c>
      <c r="M409" s="175"/>
      <c r="N409" s="167"/>
      <c r="O409" s="179"/>
      <c r="P409" s="179"/>
      <c r="Q409" s="179"/>
      <c r="R409" s="179"/>
      <c r="T409"/>
    </row>
    <row r="410" spans="1:20">
      <c r="A410" s="167" t="s">
        <v>791</v>
      </c>
      <c r="B410" s="146" t="s">
        <v>863</v>
      </c>
      <c r="C410" s="167" t="s">
        <v>864</v>
      </c>
      <c r="D410" s="174" t="s">
        <v>865</v>
      </c>
      <c r="E410" s="167"/>
      <c r="F410" s="183" t="s">
        <v>50</v>
      </c>
      <c r="G410" s="171">
        <v>2</v>
      </c>
      <c r="H410" s="8" t="s">
        <v>26</v>
      </c>
      <c r="I410" s="172"/>
      <c r="J410" s="173"/>
      <c r="K410" s="174"/>
      <c r="L410" s="174" t="str">
        <f>VLOOKUP(B410,电搭接情况统计!$B$2:$H$423,7,0)</f>
        <v>NA</v>
      </c>
      <c r="M410" s="175"/>
      <c r="N410" s="167"/>
      <c r="O410" s="179"/>
      <c r="P410" s="179"/>
      <c r="Q410" s="179"/>
      <c r="R410" s="179"/>
      <c r="T410"/>
    </row>
    <row r="411" spans="1:20">
      <c r="A411" s="167" t="s">
        <v>791</v>
      </c>
      <c r="B411" s="184" t="s">
        <v>866</v>
      </c>
      <c r="C411" s="167" t="s">
        <v>867</v>
      </c>
      <c r="D411" s="178" t="s">
        <v>868</v>
      </c>
      <c r="E411" s="167"/>
      <c r="F411" s="183" t="s">
        <v>94</v>
      </c>
      <c r="G411" s="171">
        <v>2</v>
      </c>
      <c r="H411" s="8" t="s">
        <v>26</v>
      </c>
      <c r="I411" s="172"/>
      <c r="J411" s="173"/>
      <c r="K411" s="174"/>
      <c r="L411" s="174" t="str">
        <f>VLOOKUP(B411,电搭接情况统计!$B$2:$H$423,7,0)</f>
        <v>A类</v>
      </c>
      <c r="M411" s="175"/>
      <c r="N411" s="167"/>
      <c r="O411" s="179"/>
      <c r="P411" s="179"/>
      <c r="Q411" s="179"/>
      <c r="R411" s="179"/>
      <c r="S411" s="13" t="s">
        <v>27</v>
      </c>
      <c r="T411"/>
    </row>
    <row r="412" spans="1:20">
      <c r="A412" s="167" t="s">
        <v>791</v>
      </c>
      <c r="B412" s="184" t="s">
        <v>870</v>
      </c>
      <c r="C412" s="167" t="s">
        <v>867</v>
      </c>
      <c r="D412" s="178" t="s">
        <v>871</v>
      </c>
      <c r="E412" s="167"/>
      <c r="F412" s="183" t="s">
        <v>94</v>
      </c>
      <c r="G412" s="171">
        <v>2</v>
      </c>
      <c r="H412" s="8" t="s">
        <v>26</v>
      </c>
      <c r="I412" s="172"/>
      <c r="J412" s="173"/>
      <c r="K412" s="174"/>
      <c r="L412" s="174" t="str">
        <f>VLOOKUP(B412,电搭接情况统计!$B$2:$H$423,7,0)</f>
        <v>A类</v>
      </c>
      <c r="M412" s="175"/>
      <c r="N412" s="167"/>
      <c r="O412" s="179"/>
      <c r="P412" s="179"/>
      <c r="Q412" s="179"/>
      <c r="R412" s="179"/>
      <c r="S412" s="13" t="s">
        <v>27</v>
      </c>
      <c r="T412"/>
    </row>
    <row r="413" spans="1:20">
      <c r="A413" s="167" t="s">
        <v>791</v>
      </c>
      <c r="B413" s="184" t="s">
        <v>872</v>
      </c>
      <c r="C413" s="167" t="s">
        <v>873</v>
      </c>
      <c r="D413" s="178" t="s">
        <v>874</v>
      </c>
      <c r="E413" s="167"/>
      <c r="F413" s="183" t="s">
        <v>94</v>
      </c>
      <c r="G413" s="171">
        <v>2</v>
      </c>
      <c r="H413" s="8" t="s">
        <v>26</v>
      </c>
      <c r="I413" s="172"/>
      <c r="J413" s="173"/>
      <c r="K413" s="174"/>
      <c r="L413" s="174" t="str">
        <f>VLOOKUP(B413,电搭接情况统计!$B$2:$H$423,7,0)</f>
        <v>C类</v>
      </c>
      <c r="M413" s="175"/>
      <c r="N413" s="167"/>
      <c r="O413" s="179"/>
      <c r="P413" s="179"/>
      <c r="Q413" s="179"/>
      <c r="R413" s="179"/>
      <c r="S413" s="13" t="s">
        <v>27</v>
      </c>
      <c r="T413"/>
    </row>
    <row r="414" spans="1:20">
      <c r="A414" s="167" t="s">
        <v>791</v>
      </c>
      <c r="B414" s="146" t="s">
        <v>875</v>
      </c>
      <c r="C414" s="167" t="s">
        <v>876</v>
      </c>
      <c r="D414" s="178" t="s">
        <v>877</v>
      </c>
      <c r="E414" s="167"/>
      <c r="F414" s="183" t="s">
        <v>300</v>
      </c>
      <c r="G414" s="171">
        <v>2</v>
      </c>
      <c r="H414" s="8" t="s">
        <v>26</v>
      </c>
      <c r="I414" s="172"/>
      <c r="J414" s="182" t="str">
        <f>VLOOKUP($B414,设备架接口信息!$A$1:$G$69,4,0)</f>
        <v>两角螺栓安装</v>
      </c>
      <c r="K414" s="175" t="str">
        <f>VLOOKUP($B414,设备架接口信息!$A$1:$G$69,5,0)</f>
        <v>面搭接</v>
      </c>
      <c r="L414" s="174" t="str">
        <f>VLOOKUP(B414,电搭接情况统计!$B$2:$H$423,7,0)</f>
        <v>C类</v>
      </c>
      <c r="M414" s="175">
        <f>VLOOKUP($B414,设备架接口信息!$A$1:$G$69,6,0)</f>
        <v>0.079161</v>
      </c>
      <c r="N414" s="167"/>
      <c r="O414" s="179"/>
      <c r="P414" s="179"/>
      <c r="Q414" s="179"/>
      <c r="R414" s="179"/>
      <c r="S414" s="13" t="s">
        <v>27</v>
      </c>
      <c r="T414"/>
    </row>
    <row r="415" spans="1:20">
      <c r="A415" s="167" t="s">
        <v>791</v>
      </c>
      <c r="B415" s="146" t="s">
        <v>878</v>
      </c>
      <c r="C415" s="167" t="s">
        <v>876</v>
      </c>
      <c r="D415" s="178" t="s">
        <v>879</v>
      </c>
      <c r="E415" s="167"/>
      <c r="F415" s="183" t="s">
        <v>303</v>
      </c>
      <c r="G415" s="171">
        <v>2</v>
      </c>
      <c r="H415" s="8" t="s">
        <v>26</v>
      </c>
      <c r="I415" s="172"/>
      <c r="J415" s="182" t="str">
        <f>VLOOKUP($B415,设备架接口信息!$A$1:$G$69,4,0)</f>
        <v>两角螺栓安装</v>
      </c>
      <c r="K415" s="175" t="str">
        <f>VLOOKUP($B415,设备架接口信息!$A$1:$G$69,5,0)</f>
        <v>面搭接</v>
      </c>
      <c r="L415" s="174" t="str">
        <f>VLOOKUP(B415,电搭接情况统计!$B$2:$H$423,7,0)</f>
        <v>C类</v>
      </c>
      <c r="M415" s="175">
        <f>VLOOKUP($B415,设备架接口信息!$A$1:$G$69,6,0)</f>
        <v>0.079261</v>
      </c>
      <c r="N415" s="167"/>
      <c r="O415" s="179"/>
      <c r="P415" s="179"/>
      <c r="Q415" s="179"/>
      <c r="R415" s="179"/>
      <c r="S415" s="13" t="s">
        <v>27</v>
      </c>
      <c r="T415"/>
    </row>
    <row r="416" spans="1:20">
      <c r="A416" s="167" t="s">
        <v>791</v>
      </c>
      <c r="B416" s="184" t="s">
        <v>880</v>
      </c>
      <c r="C416" s="167" t="s">
        <v>881</v>
      </c>
      <c r="D416" s="178" t="s">
        <v>882</v>
      </c>
      <c r="E416" s="189" t="s">
        <v>1485</v>
      </c>
      <c r="F416" s="183" t="s">
        <v>110</v>
      </c>
      <c r="G416" s="171">
        <v>1</v>
      </c>
      <c r="H416" s="8" t="s">
        <v>26</v>
      </c>
      <c r="I416" s="172"/>
      <c r="J416" s="173"/>
      <c r="K416" s="174"/>
      <c r="L416" s="174" t="str">
        <f>VLOOKUP(B416,电搭接情况统计!$B$2:$H$423,7,0)</f>
        <v>A类</v>
      </c>
      <c r="M416" s="175"/>
      <c r="N416" s="167"/>
      <c r="O416" s="179"/>
      <c r="P416" s="179"/>
      <c r="Q416" s="179"/>
      <c r="R416" s="179"/>
      <c r="S416" s="13" t="s">
        <v>27</v>
      </c>
      <c r="T416"/>
    </row>
    <row r="417" spans="1:20">
      <c r="A417" s="167" t="s">
        <v>791</v>
      </c>
      <c r="B417" s="184" t="s">
        <v>883</v>
      </c>
      <c r="C417" s="167" t="s">
        <v>881</v>
      </c>
      <c r="D417" s="178" t="s">
        <v>884</v>
      </c>
      <c r="E417" s="189" t="s">
        <v>1485</v>
      </c>
      <c r="F417" s="183" t="s">
        <v>110</v>
      </c>
      <c r="G417" s="171">
        <v>1</v>
      </c>
      <c r="H417" s="8" t="s">
        <v>26</v>
      </c>
      <c r="I417" s="172"/>
      <c r="J417" s="173"/>
      <c r="K417" s="174"/>
      <c r="L417" s="174" t="str">
        <f>VLOOKUP(B417,电搭接情况统计!$B$2:$H$423,7,0)</f>
        <v>A类</v>
      </c>
      <c r="M417" s="175"/>
      <c r="N417" s="167"/>
      <c r="O417" s="179"/>
      <c r="P417" s="179"/>
      <c r="Q417" s="179"/>
      <c r="R417" s="179"/>
      <c r="S417" s="13" t="s">
        <v>27</v>
      </c>
      <c r="T417"/>
    </row>
    <row r="418" spans="1:20">
      <c r="A418" s="167" t="s">
        <v>791</v>
      </c>
      <c r="B418" s="184" t="s">
        <v>885</v>
      </c>
      <c r="C418" s="167" t="s">
        <v>881</v>
      </c>
      <c r="D418" s="178" t="s">
        <v>886</v>
      </c>
      <c r="E418" s="189" t="s">
        <v>1485</v>
      </c>
      <c r="F418" s="183" t="s">
        <v>110</v>
      </c>
      <c r="G418" s="171">
        <v>1</v>
      </c>
      <c r="H418" s="8" t="s">
        <v>26</v>
      </c>
      <c r="I418" s="172"/>
      <c r="J418" s="173"/>
      <c r="K418" s="174"/>
      <c r="L418" s="174" t="str">
        <f>VLOOKUP(B418,电搭接情况统计!$B$2:$H$423,7,0)</f>
        <v>A类</v>
      </c>
      <c r="M418" s="175"/>
      <c r="N418" s="167"/>
      <c r="O418" s="179"/>
      <c r="P418" s="179"/>
      <c r="Q418" s="179"/>
      <c r="R418" s="179"/>
      <c r="S418" s="13" t="s">
        <v>27</v>
      </c>
      <c r="T418"/>
    </row>
    <row r="419" spans="1:20">
      <c r="A419" s="167" t="s">
        <v>791</v>
      </c>
      <c r="B419" s="184" t="s">
        <v>887</v>
      </c>
      <c r="C419" s="167" t="s">
        <v>881</v>
      </c>
      <c r="D419" s="178" t="s">
        <v>888</v>
      </c>
      <c r="E419" s="189" t="s">
        <v>1485</v>
      </c>
      <c r="F419" s="183" t="s">
        <v>110</v>
      </c>
      <c r="G419" s="171">
        <v>1</v>
      </c>
      <c r="H419" s="8" t="s">
        <v>26</v>
      </c>
      <c r="I419" s="172"/>
      <c r="J419" s="173"/>
      <c r="K419" s="174"/>
      <c r="L419" s="174" t="str">
        <f>VLOOKUP(B419,电搭接情况统计!$B$2:$H$423,7,0)</f>
        <v>A类</v>
      </c>
      <c r="M419" s="175"/>
      <c r="N419" s="167"/>
      <c r="O419" s="179"/>
      <c r="P419" s="179"/>
      <c r="Q419" s="179"/>
      <c r="R419" s="179"/>
      <c r="S419" s="13" t="s">
        <v>27</v>
      </c>
      <c r="T419"/>
    </row>
    <row r="420" spans="1:20">
      <c r="A420" s="167" t="s">
        <v>791</v>
      </c>
      <c r="B420" s="184" t="s">
        <v>889</v>
      </c>
      <c r="C420" s="167" t="s">
        <v>890</v>
      </c>
      <c r="D420" s="178" t="s">
        <v>891</v>
      </c>
      <c r="E420" s="189" t="s">
        <v>1486</v>
      </c>
      <c r="F420" s="183" t="s">
        <v>119</v>
      </c>
      <c r="G420" s="171">
        <v>1</v>
      </c>
      <c r="H420" s="8" t="s">
        <v>26</v>
      </c>
      <c r="I420" s="172"/>
      <c r="J420" s="173"/>
      <c r="K420" s="174"/>
      <c r="L420" s="174" t="str">
        <f>VLOOKUP(B420,电搭接情况统计!$B$2:$H$423,7,0)</f>
        <v>C类</v>
      </c>
      <c r="M420" s="175"/>
      <c r="N420" s="167"/>
      <c r="O420" s="179"/>
      <c r="P420" s="179"/>
      <c r="Q420" s="179"/>
      <c r="R420" s="179"/>
      <c r="S420" s="13" t="s">
        <v>27</v>
      </c>
      <c r="T420"/>
    </row>
    <row r="421" spans="1:20">
      <c r="A421" s="167" t="s">
        <v>791</v>
      </c>
      <c r="B421" s="184" t="s">
        <v>892</v>
      </c>
      <c r="C421" s="167" t="s">
        <v>890</v>
      </c>
      <c r="D421" s="178" t="s">
        <v>893</v>
      </c>
      <c r="E421" s="189" t="s">
        <v>1486</v>
      </c>
      <c r="F421" s="183" t="s">
        <v>119</v>
      </c>
      <c r="G421" s="171">
        <v>1</v>
      </c>
      <c r="H421" s="8" t="s">
        <v>26</v>
      </c>
      <c r="I421" s="172"/>
      <c r="J421" s="173"/>
      <c r="K421" s="174"/>
      <c r="L421" s="174" t="str">
        <f>VLOOKUP(B421,电搭接情况统计!$B$2:$H$423,7,0)</f>
        <v>C类</v>
      </c>
      <c r="M421" s="175"/>
      <c r="N421" s="167"/>
      <c r="O421" s="179"/>
      <c r="P421" s="179"/>
      <c r="Q421" s="179"/>
      <c r="R421" s="179"/>
      <c r="S421" s="13" t="s">
        <v>27</v>
      </c>
      <c r="T421"/>
    </row>
    <row r="422" spans="1:20">
      <c r="A422" s="167" t="s">
        <v>791</v>
      </c>
      <c r="B422" s="184" t="s">
        <v>894</v>
      </c>
      <c r="C422" s="167" t="s">
        <v>895</v>
      </c>
      <c r="D422" s="178" t="s">
        <v>896</v>
      </c>
      <c r="E422" s="189" t="s">
        <v>1487</v>
      </c>
      <c r="F422" s="183" t="s">
        <v>36</v>
      </c>
      <c r="G422" s="171">
        <v>1</v>
      </c>
      <c r="H422" s="8" t="s">
        <v>26</v>
      </c>
      <c r="I422" s="172" t="s">
        <v>897</v>
      </c>
      <c r="J422" s="182" t="s">
        <v>898</v>
      </c>
      <c r="K422" s="175" t="str">
        <f>VLOOKUP($B422,设备架接口信息!$A$1:$G$69,5,0)</f>
        <v>线搭接</v>
      </c>
      <c r="L422" s="174" t="str">
        <f>VLOOKUP(B422,电搭接情况统计!$B$2:$H$423,7,0)</f>
        <v>C类</v>
      </c>
      <c r="M422" s="175">
        <f>VLOOKUP($B422,设备架接口信息!$A$1:$G$69,6,0)</f>
        <v>5.335745</v>
      </c>
      <c r="N422" s="167"/>
      <c r="O422" s="179"/>
      <c r="P422" s="179"/>
      <c r="Q422" s="179"/>
      <c r="R422" s="179"/>
      <c r="S422" s="67" t="s">
        <v>37</v>
      </c>
      <c r="T422"/>
    </row>
    <row r="423" spans="1:20">
      <c r="A423" s="167" t="s">
        <v>791</v>
      </c>
      <c r="B423" s="184" t="s">
        <v>899</v>
      </c>
      <c r="C423" s="167" t="s">
        <v>900</v>
      </c>
      <c r="D423" s="178" t="s">
        <v>901</v>
      </c>
      <c r="E423" s="189" t="s">
        <v>1488</v>
      </c>
      <c r="F423" s="183" t="s">
        <v>36</v>
      </c>
      <c r="G423" s="171">
        <v>1</v>
      </c>
      <c r="H423" s="8" t="s">
        <v>26</v>
      </c>
      <c r="I423" s="172" t="s">
        <v>897</v>
      </c>
      <c r="J423" s="182" t="s">
        <v>898</v>
      </c>
      <c r="K423" s="175" t="str">
        <f>VLOOKUP($B423,设备架接口信息!$A$1:$G$69,5,0)</f>
        <v>线搭接</v>
      </c>
      <c r="L423" s="174" t="str">
        <f>VLOOKUP(B423,电搭接情况统计!$B$2:$H$423,7,0)</f>
        <v>C类</v>
      </c>
      <c r="M423" s="175">
        <f>VLOOKUP($B423,设备架接口信息!$A$1:$G$69,6,0)</f>
        <v>5.4398</v>
      </c>
      <c r="N423" s="167"/>
      <c r="O423" s="179"/>
      <c r="P423" s="179"/>
      <c r="Q423" s="179"/>
      <c r="R423" s="179"/>
      <c r="S423" s="67" t="s">
        <v>37</v>
      </c>
      <c r="T423"/>
    </row>
    <row r="424" spans="1:20">
      <c r="A424" s="167" t="s">
        <v>791</v>
      </c>
      <c r="B424" s="184" t="s">
        <v>902</v>
      </c>
      <c r="C424" s="167" t="s">
        <v>903</v>
      </c>
      <c r="D424" s="178" t="s">
        <v>904</v>
      </c>
      <c r="E424" s="189" t="s">
        <v>1489</v>
      </c>
      <c r="F424" s="183" t="s">
        <v>364</v>
      </c>
      <c r="G424" s="171">
        <v>1</v>
      </c>
      <c r="H424" s="8" t="s">
        <v>26</v>
      </c>
      <c r="I424" s="172" t="s">
        <v>897</v>
      </c>
      <c r="J424" s="173"/>
      <c r="K424" s="174"/>
      <c r="L424" s="174" t="str">
        <f>VLOOKUP(B424,电搭接情况统计!$B$2:$H$423,7,0)</f>
        <v>C类</v>
      </c>
      <c r="M424" s="175"/>
      <c r="N424" s="167"/>
      <c r="O424" s="179"/>
      <c r="P424" s="179"/>
      <c r="Q424" s="179"/>
      <c r="R424" s="179"/>
      <c r="S424" s="13" t="s">
        <v>27</v>
      </c>
      <c r="T424"/>
    </row>
    <row r="425" spans="1:20">
      <c r="A425" s="167" t="s">
        <v>791</v>
      </c>
      <c r="B425" s="146" t="s">
        <v>905</v>
      </c>
      <c r="C425" s="167" t="s">
        <v>906</v>
      </c>
      <c r="D425" s="178" t="s">
        <v>907</v>
      </c>
      <c r="E425" s="167"/>
      <c r="F425" s="183" t="s">
        <v>300</v>
      </c>
      <c r="G425" s="171">
        <v>2</v>
      </c>
      <c r="H425" s="8" t="s">
        <v>26</v>
      </c>
      <c r="I425" s="172" t="s">
        <v>908</v>
      </c>
      <c r="J425" s="182" t="s">
        <v>898</v>
      </c>
      <c r="K425" s="175" t="str">
        <f>VLOOKUP($B425,设备架接口信息!$A$1:$G$69,5,0)</f>
        <v>线搭接</v>
      </c>
      <c r="L425" s="174" t="str">
        <f>VLOOKUP(B425,电搭接情况统计!$B$2:$H$423,7,0)</f>
        <v>C类</v>
      </c>
      <c r="M425" s="175">
        <f>VLOOKUP($B425,设备架接口信息!$A$1:$G$69,6,0)</f>
        <v>7.21038</v>
      </c>
      <c r="N425" s="167"/>
      <c r="O425" s="179"/>
      <c r="P425" s="179"/>
      <c r="Q425" s="179"/>
      <c r="R425" s="179"/>
      <c r="S425" s="13" t="s">
        <v>27</v>
      </c>
      <c r="T425"/>
    </row>
    <row r="426" spans="1:20">
      <c r="A426" s="167" t="s">
        <v>791</v>
      </c>
      <c r="B426" s="146" t="s">
        <v>909</v>
      </c>
      <c r="C426" s="167" t="s">
        <v>910</v>
      </c>
      <c r="D426" s="178" t="s">
        <v>911</v>
      </c>
      <c r="E426" s="167"/>
      <c r="F426" s="183" t="s">
        <v>303</v>
      </c>
      <c r="G426" s="171">
        <v>2</v>
      </c>
      <c r="H426" s="8" t="s">
        <v>26</v>
      </c>
      <c r="I426" s="172" t="s">
        <v>908</v>
      </c>
      <c r="J426" s="182" t="s">
        <v>898</v>
      </c>
      <c r="K426" s="175" t="str">
        <f>VLOOKUP($B426,设备架接口信息!$A$1:$G$69,5,0)</f>
        <v>线搭接</v>
      </c>
      <c r="L426" s="174" t="str">
        <f>VLOOKUP(B426,电搭接情况统计!$B$2:$H$423,7,0)</f>
        <v>C类</v>
      </c>
      <c r="M426" s="175">
        <f>VLOOKUP($B426,设备架接口信息!$A$1:$G$69,6,0)</f>
        <v>6.045385</v>
      </c>
      <c r="N426" s="167"/>
      <c r="O426" s="179"/>
      <c r="P426" s="179"/>
      <c r="Q426" s="179"/>
      <c r="R426" s="179"/>
      <c r="S426" s="67" t="s">
        <v>37</v>
      </c>
      <c r="T426"/>
    </row>
    <row r="427" spans="1:20">
      <c r="A427" s="167" t="s">
        <v>791</v>
      </c>
      <c r="B427" s="184" t="s">
        <v>912</v>
      </c>
      <c r="C427" s="167" t="s">
        <v>913</v>
      </c>
      <c r="D427" s="178" t="s">
        <v>914</v>
      </c>
      <c r="E427" s="167"/>
      <c r="F427" s="183" t="s">
        <v>31</v>
      </c>
      <c r="G427" s="171">
        <v>2</v>
      </c>
      <c r="H427" s="8" t="s">
        <v>26</v>
      </c>
      <c r="I427" s="172" t="s">
        <v>915</v>
      </c>
      <c r="J427" s="173"/>
      <c r="K427" s="174"/>
      <c r="L427" s="174" t="str">
        <f>VLOOKUP(B427,电搭接情况统计!$B$2:$H$423,7,0)</f>
        <v>A类</v>
      </c>
      <c r="M427" s="175"/>
      <c r="N427" s="167"/>
      <c r="O427" s="179"/>
      <c r="P427" s="179"/>
      <c r="Q427" s="179"/>
      <c r="R427" s="179"/>
      <c r="S427" s="13" t="s">
        <v>27</v>
      </c>
      <c r="T427"/>
    </row>
    <row r="428" spans="1:20">
      <c r="A428" s="167" t="s">
        <v>791</v>
      </c>
      <c r="B428" s="146" t="s">
        <v>916</v>
      </c>
      <c r="C428" s="167" t="s">
        <v>913</v>
      </c>
      <c r="D428" s="178" t="s">
        <v>917</v>
      </c>
      <c r="E428" s="167"/>
      <c r="F428" s="183" t="s">
        <v>110</v>
      </c>
      <c r="G428" s="171">
        <v>2</v>
      </c>
      <c r="H428" s="8" t="s">
        <v>26</v>
      </c>
      <c r="I428" s="172" t="s">
        <v>915</v>
      </c>
      <c r="J428" s="173"/>
      <c r="K428" s="174"/>
      <c r="L428" s="174" t="str">
        <f>VLOOKUP(B428,电搭接情况统计!$B$2:$H$423,7,0)</f>
        <v>A类</v>
      </c>
      <c r="M428" s="175"/>
      <c r="N428" s="167"/>
      <c r="O428" s="179"/>
      <c r="P428" s="179"/>
      <c r="Q428" s="179"/>
      <c r="R428" s="179"/>
      <c r="S428" s="13" t="s">
        <v>27</v>
      </c>
      <c r="T428"/>
    </row>
    <row r="429" spans="1:20">
      <c r="A429" s="167" t="s">
        <v>791</v>
      </c>
      <c r="B429" s="184" t="s">
        <v>918</v>
      </c>
      <c r="C429" s="167" t="s">
        <v>913</v>
      </c>
      <c r="D429" s="178" t="s">
        <v>919</v>
      </c>
      <c r="E429" s="167"/>
      <c r="F429" s="183" t="s">
        <v>31</v>
      </c>
      <c r="G429" s="171">
        <v>2</v>
      </c>
      <c r="H429" s="8" t="s">
        <v>26</v>
      </c>
      <c r="I429" s="172" t="s">
        <v>915</v>
      </c>
      <c r="J429" s="173"/>
      <c r="K429" s="174"/>
      <c r="L429" s="174" t="str">
        <f>VLOOKUP(B429,电搭接情况统计!$B$2:$H$423,7,0)</f>
        <v>A类</v>
      </c>
      <c r="M429" s="175"/>
      <c r="N429" s="167"/>
      <c r="O429" s="179"/>
      <c r="P429" s="179"/>
      <c r="Q429" s="179"/>
      <c r="R429" s="179"/>
      <c r="S429" s="13" t="s">
        <v>27</v>
      </c>
      <c r="T429"/>
    </row>
    <row r="430" spans="1:20">
      <c r="A430" s="167" t="s">
        <v>791</v>
      </c>
      <c r="B430" s="146" t="s">
        <v>1490</v>
      </c>
      <c r="C430" s="167"/>
      <c r="D430" s="178" t="s">
        <v>922</v>
      </c>
      <c r="E430" s="189" t="s">
        <v>957</v>
      </c>
      <c r="F430" s="183" t="s">
        <v>1491</v>
      </c>
      <c r="G430" s="171">
        <v>1</v>
      </c>
      <c r="H430" s="8" t="s">
        <v>32</v>
      </c>
      <c r="I430" s="172"/>
      <c r="J430" s="182" t="s">
        <v>371</v>
      </c>
      <c r="K430" s="175"/>
      <c r="L430" s="174"/>
      <c r="M430" s="175">
        <v>8</v>
      </c>
      <c r="N430" s="189"/>
      <c r="O430" s="202"/>
      <c r="P430" s="179"/>
      <c r="Q430" s="179"/>
      <c r="R430" s="179"/>
      <c r="S430" s="174" t="s">
        <v>1492</v>
      </c>
      <c r="T430"/>
    </row>
    <row r="431" spans="1:20">
      <c r="A431" s="167" t="s">
        <v>791</v>
      </c>
      <c r="B431" s="146" t="s">
        <v>1493</v>
      </c>
      <c r="C431" s="167"/>
      <c r="D431" s="178" t="s">
        <v>926</v>
      </c>
      <c r="E431" s="189"/>
      <c r="F431" s="183" t="s">
        <v>1494</v>
      </c>
      <c r="G431" s="171">
        <v>1</v>
      </c>
      <c r="H431" s="8" t="s">
        <v>32</v>
      </c>
      <c r="I431" s="172"/>
      <c r="J431" s="173" t="s">
        <v>389</v>
      </c>
      <c r="K431" s="174"/>
      <c r="L431" s="174"/>
      <c r="M431" s="175">
        <v>1</v>
      </c>
      <c r="N431" s="189"/>
      <c r="O431" s="179"/>
      <c r="P431" s="179"/>
      <c r="Q431" s="179"/>
      <c r="R431" s="179"/>
      <c r="S431" s="174" t="s">
        <v>1495</v>
      </c>
      <c r="T431"/>
    </row>
    <row r="432" spans="1:20">
      <c r="A432" s="167" t="s">
        <v>791</v>
      </c>
      <c r="B432" s="146" t="s">
        <v>1496</v>
      </c>
      <c r="C432" s="167"/>
      <c r="D432" s="178" t="s">
        <v>928</v>
      </c>
      <c r="E432" s="189"/>
      <c r="F432" s="183" t="s">
        <v>1497</v>
      </c>
      <c r="G432" s="171">
        <v>1</v>
      </c>
      <c r="H432" s="8" t="s">
        <v>32</v>
      </c>
      <c r="I432" s="172"/>
      <c r="J432" s="173" t="s">
        <v>389</v>
      </c>
      <c r="K432" s="174"/>
      <c r="L432" s="174"/>
      <c r="M432" s="175">
        <v>0.2</v>
      </c>
      <c r="N432" s="189"/>
      <c r="O432" s="179"/>
      <c r="P432" s="179"/>
      <c r="Q432" s="179"/>
      <c r="R432" s="179"/>
      <c r="S432" s="174" t="s">
        <v>1495</v>
      </c>
      <c r="T432"/>
    </row>
    <row r="433" spans="1:20">
      <c r="A433" s="167" t="s">
        <v>791</v>
      </c>
      <c r="B433" s="146" t="s">
        <v>929</v>
      </c>
      <c r="C433" s="167" t="s">
        <v>930</v>
      </c>
      <c r="D433" s="178" t="s">
        <v>931</v>
      </c>
      <c r="E433" s="167"/>
      <c r="F433" s="183" t="s">
        <v>932</v>
      </c>
      <c r="G433" s="171">
        <v>2</v>
      </c>
      <c r="H433" s="8" t="s">
        <v>26</v>
      </c>
      <c r="I433" s="172"/>
      <c r="J433" s="173" t="s">
        <v>380</v>
      </c>
      <c r="K433" s="174"/>
      <c r="L433" s="174" t="str">
        <f>VLOOKUP(B433,电搭接情况统计!$B$2:$H$423,7,0)</f>
        <v>C类</v>
      </c>
      <c r="M433" s="175">
        <v>6</v>
      </c>
      <c r="N433" s="189"/>
      <c r="O433" s="179"/>
      <c r="P433" s="179"/>
      <c r="Q433" s="179"/>
      <c r="R433" s="179"/>
      <c r="S433" s="13" t="s">
        <v>27</v>
      </c>
      <c r="T433"/>
    </row>
    <row r="434" spans="1:20">
      <c r="A434" s="167" t="s">
        <v>791</v>
      </c>
      <c r="B434" s="184" t="s">
        <v>934</v>
      </c>
      <c r="C434" s="167" t="s">
        <v>935</v>
      </c>
      <c r="D434" s="178" t="s">
        <v>936</v>
      </c>
      <c r="E434" s="189" t="s">
        <v>1498</v>
      </c>
      <c r="F434" s="183" t="s">
        <v>31</v>
      </c>
      <c r="G434" s="171">
        <v>1</v>
      </c>
      <c r="H434" s="8" t="s">
        <v>26</v>
      </c>
      <c r="I434" s="172"/>
      <c r="J434" s="173"/>
      <c r="K434" s="174"/>
      <c r="L434" s="174" t="str">
        <f>VLOOKUP(B434,电搭接情况统计!$B$2:$H$423,7,0)</f>
        <v>A类</v>
      </c>
      <c r="M434" s="175"/>
      <c r="N434" s="167"/>
      <c r="O434" s="179"/>
      <c r="P434" s="179"/>
      <c r="Q434" s="179"/>
      <c r="R434" s="179"/>
      <c r="S434" s="13" t="s">
        <v>27</v>
      </c>
      <c r="T434"/>
    </row>
    <row r="435" spans="1:20">
      <c r="A435" s="167" t="s">
        <v>791</v>
      </c>
      <c r="B435" s="184" t="s">
        <v>937</v>
      </c>
      <c r="C435" s="167" t="s">
        <v>935</v>
      </c>
      <c r="D435" s="178" t="s">
        <v>938</v>
      </c>
      <c r="E435" s="189" t="s">
        <v>1498</v>
      </c>
      <c r="F435" s="183" t="s">
        <v>31</v>
      </c>
      <c r="G435" s="171">
        <v>1</v>
      </c>
      <c r="H435" s="8" t="s">
        <v>26</v>
      </c>
      <c r="I435" s="172"/>
      <c r="J435" s="173"/>
      <c r="K435" s="174"/>
      <c r="L435" s="174" t="str">
        <f>VLOOKUP(B435,电搭接情况统计!$B$2:$H$423,7,0)</f>
        <v>A类</v>
      </c>
      <c r="M435" s="175"/>
      <c r="N435" s="167"/>
      <c r="O435" s="179"/>
      <c r="P435" s="179"/>
      <c r="Q435" s="179"/>
      <c r="R435" s="179"/>
      <c r="S435" s="13" t="s">
        <v>27</v>
      </c>
      <c r="T435"/>
    </row>
    <row r="436" ht="45" spans="1:20">
      <c r="A436" s="167" t="s">
        <v>791</v>
      </c>
      <c r="B436" s="203" t="s">
        <v>1499</v>
      </c>
      <c r="C436" s="167" t="s">
        <v>940</v>
      </c>
      <c r="D436" s="178" t="s">
        <v>943</v>
      </c>
      <c r="E436" s="189" t="s">
        <v>1500</v>
      </c>
      <c r="F436" s="183" t="s">
        <v>303</v>
      </c>
      <c r="G436" s="171">
        <v>1</v>
      </c>
      <c r="H436" s="8" t="s">
        <v>26</v>
      </c>
      <c r="I436" s="172"/>
      <c r="J436" s="182" t="e">
        <f>VLOOKUP($B436,设备架接口信息!$A$1:$G$69,4,0)</f>
        <v>#N/A</v>
      </c>
      <c r="K436" s="175" t="e">
        <f>VLOOKUP($B436,设备架接口信息!$A$1:$G$69,5,0)</f>
        <v>#N/A</v>
      </c>
      <c r="L436" s="174" t="e">
        <f>VLOOKUP(B436,电搭接情况统计!$B$2:$H$423,7,0)</f>
        <v>#N/A</v>
      </c>
      <c r="M436" s="175" t="e">
        <f>VLOOKUP($B436,设备架接口信息!$A$1:$G$69,6,0)</f>
        <v>#N/A</v>
      </c>
      <c r="N436" s="167"/>
      <c r="O436" s="179"/>
      <c r="P436" s="179"/>
      <c r="Q436" s="179"/>
      <c r="R436" s="179"/>
      <c r="S436" s="188" t="s">
        <v>1501</v>
      </c>
      <c r="T436"/>
    </row>
    <row r="437" spans="1:20">
      <c r="A437" s="167" t="s">
        <v>791</v>
      </c>
      <c r="B437" s="146" t="s">
        <v>1502</v>
      </c>
      <c r="C437" s="167" t="s">
        <v>1503</v>
      </c>
      <c r="D437" s="204" t="s">
        <v>1504</v>
      </c>
      <c r="E437" s="167"/>
      <c r="F437" s="192" t="s">
        <v>160</v>
      </c>
      <c r="G437" s="171">
        <v>2</v>
      </c>
      <c r="H437" s="8" t="s">
        <v>26</v>
      </c>
      <c r="I437" s="172"/>
      <c r="J437" s="182" t="str">
        <f>VLOOKUP($B437,设备架接口信息!$A$1:$G$69,4,0)</f>
        <v>2MCU托架安装，A类锁紧器</v>
      </c>
      <c r="K437" s="175" t="str">
        <f>VLOOKUP($B437,设备架接口信息!$A$1:$G$69,5,0)</f>
        <v>面搭接</v>
      </c>
      <c r="L437" s="174" t="str">
        <f>VLOOKUP(B437,电搭接情况统计!$B$2:$H$423,7,0)</f>
        <v>C类</v>
      </c>
      <c r="M437" s="175">
        <f>VLOOKUP($B437,设备架接口信息!$A$1:$G$69,6,0)</f>
        <v>2.589624</v>
      </c>
      <c r="N437" s="167"/>
      <c r="O437" s="179"/>
      <c r="P437" s="179"/>
      <c r="Q437" s="179"/>
      <c r="R437" s="179"/>
      <c r="S437" s="67" t="s">
        <v>37</v>
      </c>
      <c r="T437"/>
    </row>
    <row r="438" spans="1:20">
      <c r="A438" s="167" t="s">
        <v>950</v>
      </c>
      <c r="B438" s="146" t="s">
        <v>951</v>
      </c>
      <c r="C438" s="167"/>
      <c r="D438" s="178"/>
      <c r="E438" s="167"/>
      <c r="F438" s="170" t="s">
        <v>683</v>
      </c>
      <c r="G438" s="171">
        <v>3</v>
      </c>
      <c r="H438" s="8" t="s">
        <v>26</v>
      </c>
      <c r="I438" s="172"/>
      <c r="J438" s="173"/>
      <c r="K438" s="174"/>
      <c r="L438" s="174"/>
      <c r="M438" s="175"/>
      <c r="N438" s="167" t="s">
        <v>51</v>
      </c>
      <c r="O438" s="179"/>
      <c r="P438" s="179"/>
      <c r="Q438" s="179"/>
      <c r="R438" s="179"/>
      <c r="S438" s="13" t="s">
        <v>27</v>
      </c>
      <c r="T438"/>
    </row>
    <row r="439" spans="1:20">
      <c r="A439" s="167" t="s">
        <v>950</v>
      </c>
      <c r="B439" s="146" t="s">
        <v>952</v>
      </c>
      <c r="C439" s="167"/>
      <c r="D439" s="178"/>
      <c r="E439" s="167"/>
      <c r="F439" s="170" t="s">
        <v>683</v>
      </c>
      <c r="G439" s="171">
        <v>3</v>
      </c>
      <c r="H439" s="8" t="s">
        <v>26</v>
      </c>
      <c r="I439" s="172"/>
      <c r="J439" s="173"/>
      <c r="K439" s="174"/>
      <c r="L439" s="174"/>
      <c r="M439" s="175"/>
      <c r="N439" s="167" t="s">
        <v>51</v>
      </c>
      <c r="O439" s="179"/>
      <c r="P439" s="179"/>
      <c r="Q439" s="179"/>
      <c r="R439" s="179"/>
      <c r="S439" s="13" t="s">
        <v>27</v>
      </c>
      <c r="T439" s="8" t="s">
        <v>1505</v>
      </c>
    </row>
    <row r="440" spans="1:20">
      <c r="A440" s="167" t="s">
        <v>1506</v>
      </c>
      <c r="B440" s="146" t="s">
        <v>683</v>
      </c>
      <c r="C440" s="167"/>
      <c r="D440" s="178"/>
      <c r="E440" s="167"/>
      <c r="F440" s="170" t="s">
        <v>683</v>
      </c>
      <c r="G440" s="171">
        <v>3</v>
      </c>
      <c r="H440" s="8" t="s">
        <v>26</v>
      </c>
      <c r="I440" s="172"/>
      <c r="J440" s="173"/>
      <c r="K440" s="174"/>
      <c r="L440" s="174"/>
      <c r="M440" s="175"/>
      <c r="N440" s="167"/>
      <c r="O440" s="179"/>
      <c r="P440" s="179"/>
      <c r="Q440" s="179"/>
      <c r="R440" s="179"/>
      <c r="S440" s="13" t="s">
        <v>27</v>
      </c>
      <c r="T440" s="8" t="s">
        <v>1507</v>
      </c>
    </row>
    <row r="441" spans="1:20">
      <c r="A441" s="167" t="s">
        <v>953</v>
      </c>
      <c r="B441" s="184" t="s">
        <v>954</v>
      </c>
      <c r="C441" s="167" t="s">
        <v>955</v>
      </c>
      <c r="D441" s="174" t="s">
        <v>956</v>
      </c>
      <c r="E441" s="167" t="s">
        <v>957</v>
      </c>
      <c r="F441" s="192" t="s">
        <v>152</v>
      </c>
      <c r="G441" s="171">
        <v>1</v>
      </c>
      <c r="H441" s="8" t="s">
        <v>26</v>
      </c>
      <c r="I441" s="172" t="s">
        <v>106</v>
      </c>
      <c r="J441" s="182" t="str">
        <f>VLOOKUP($B441,设备架接口信息!$A$1:$G$69,4,0)</f>
        <v>4MCU托架安装，A类锁紧器</v>
      </c>
      <c r="K441" s="175" t="str">
        <f>VLOOKUP($B441,设备架接口信息!$A$1:$G$69,5,0)</f>
        <v>面搭接</v>
      </c>
      <c r="L441" s="174" t="str">
        <f>VLOOKUP(B441,电搭接情况统计!$B$2:$H$423,7,0)</f>
        <v>C类</v>
      </c>
      <c r="M441" s="175">
        <f>VLOOKUP($B441,设备架接口信息!$A$1:$G$69,6,0)</f>
        <v>3.8</v>
      </c>
      <c r="N441" s="167"/>
      <c r="O441" s="179"/>
      <c r="P441" s="179"/>
      <c r="Q441" s="179"/>
      <c r="R441" s="179"/>
      <c r="S441" s="67" t="s">
        <v>958</v>
      </c>
      <c r="T441"/>
    </row>
    <row r="442" spans="1:20">
      <c r="A442" s="167" t="s">
        <v>953</v>
      </c>
      <c r="B442" s="184" t="s">
        <v>959</v>
      </c>
      <c r="C442" s="167" t="s">
        <v>955</v>
      </c>
      <c r="D442" s="174" t="s">
        <v>960</v>
      </c>
      <c r="E442" s="167" t="s">
        <v>957</v>
      </c>
      <c r="F442" s="192" t="s">
        <v>961</v>
      </c>
      <c r="G442" s="171">
        <v>1</v>
      </c>
      <c r="H442" s="8" t="s">
        <v>26</v>
      </c>
      <c r="I442" s="172" t="s">
        <v>106</v>
      </c>
      <c r="J442" s="182" t="str">
        <f>VLOOKUP($B442,设备架接口信息!$A$1:$G$69,4,0)</f>
        <v>4MCU托架安装，A类锁紧器</v>
      </c>
      <c r="K442" s="175" t="str">
        <f>VLOOKUP($B442,设备架接口信息!$A$1:$G$69,5,0)</f>
        <v>面搭接</v>
      </c>
      <c r="L442" s="174" t="str">
        <f>VLOOKUP(B442,电搭接情况统计!$B$2:$H$423,7,0)</f>
        <v>C类</v>
      </c>
      <c r="M442" s="175">
        <f>VLOOKUP($B442,设备架接口信息!$A$1:$G$69,6,0)</f>
        <v>3.8</v>
      </c>
      <c r="N442" s="167"/>
      <c r="O442" s="179"/>
      <c r="P442" s="179"/>
      <c r="Q442" s="179"/>
      <c r="R442" s="179"/>
      <c r="S442" s="67" t="s">
        <v>958</v>
      </c>
      <c r="T442"/>
    </row>
    <row r="443" spans="1:20">
      <c r="A443" s="167" t="s">
        <v>953</v>
      </c>
      <c r="B443" s="184" t="s">
        <v>967</v>
      </c>
      <c r="C443" s="167" t="s">
        <v>968</v>
      </c>
      <c r="D443" s="178" t="s">
        <v>969</v>
      </c>
      <c r="E443" s="167" t="s">
        <v>970</v>
      </c>
      <c r="F443" s="183" t="s">
        <v>40</v>
      </c>
      <c r="G443" s="171">
        <v>1</v>
      </c>
      <c r="H443" s="8" t="s">
        <v>26</v>
      </c>
      <c r="I443" s="172" t="s">
        <v>106</v>
      </c>
      <c r="J443" s="182" t="str">
        <f>VLOOKUP($B443,设备架接口信息!$A$1:$G$69,4,0)</f>
        <v>3MCU托架安装，A类锁紧器</v>
      </c>
      <c r="K443" s="175" t="str">
        <f>VLOOKUP($B443,设备架接口信息!$A$1:$G$69,5,0)</f>
        <v>面搭接</v>
      </c>
      <c r="L443" s="174" t="str">
        <f>VLOOKUP(B443,电搭接情况统计!$B$2:$H$423,7,0)</f>
        <v>C类</v>
      </c>
      <c r="M443" s="175">
        <f>VLOOKUP($B443,设备架接口信息!$A$1:$G$69,6,0)</f>
        <v>3</v>
      </c>
      <c r="N443" s="167"/>
      <c r="O443" s="179"/>
      <c r="P443" s="179"/>
      <c r="Q443" s="179"/>
      <c r="R443" s="179"/>
      <c r="S443" s="67" t="s">
        <v>958</v>
      </c>
      <c r="T443"/>
    </row>
    <row r="444" spans="1:20">
      <c r="A444" s="167" t="s">
        <v>953</v>
      </c>
      <c r="B444" s="184" t="s">
        <v>971</v>
      </c>
      <c r="C444" s="167" t="s">
        <v>968</v>
      </c>
      <c r="D444" s="178" t="s">
        <v>972</v>
      </c>
      <c r="E444" s="167" t="s">
        <v>970</v>
      </c>
      <c r="F444" s="183" t="s">
        <v>40</v>
      </c>
      <c r="G444" s="171">
        <v>1</v>
      </c>
      <c r="H444" s="8" t="s">
        <v>26</v>
      </c>
      <c r="I444" s="172" t="s">
        <v>106</v>
      </c>
      <c r="J444" s="182" t="str">
        <f>VLOOKUP($B444,设备架接口信息!$A$1:$G$69,4,0)</f>
        <v>3MCU托架安装，A类锁紧器</v>
      </c>
      <c r="K444" s="175" t="str">
        <f>VLOOKUP($B444,设备架接口信息!$A$1:$G$69,5,0)</f>
        <v>面搭接</v>
      </c>
      <c r="L444" s="174" t="str">
        <f>VLOOKUP(B444,电搭接情况统计!$B$2:$H$423,7,0)</f>
        <v>C类</v>
      </c>
      <c r="M444" s="175">
        <f>VLOOKUP($B444,设备架接口信息!$A$1:$G$69,6,0)</f>
        <v>3</v>
      </c>
      <c r="N444" s="167"/>
      <c r="O444" s="179"/>
      <c r="P444" s="179"/>
      <c r="Q444" s="179"/>
      <c r="R444" s="179"/>
      <c r="S444" s="67" t="s">
        <v>958</v>
      </c>
      <c r="T444"/>
    </row>
    <row r="445" spans="1:20">
      <c r="A445" s="167" t="s">
        <v>953</v>
      </c>
      <c r="B445" s="184" t="s">
        <v>973</v>
      </c>
      <c r="C445" s="167" t="s">
        <v>968</v>
      </c>
      <c r="D445" s="178" t="s">
        <v>974</v>
      </c>
      <c r="E445" s="167" t="s">
        <v>970</v>
      </c>
      <c r="F445" s="183" t="s">
        <v>36</v>
      </c>
      <c r="G445" s="171">
        <v>1</v>
      </c>
      <c r="H445" s="8" t="s">
        <v>26</v>
      </c>
      <c r="I445" s="172" t="s">
        <v>106</v>
      </c>
      <c r="J445" s="182" t="str">
        <f>VLOOKUP($B445,设备架接口信息!$A$1:$G$69,4,0)</f>
        <v>3MCU托架安装，A类锁紧器</v>
      </c>
      <c r="K445" s="175" t="str">
        <f>VLOOKUP($B445,设备架接口信息!$A$1:$G$69,5,0)</f>
        <v>面搭接</v>
      </c>
      <c r="L445" s="174" t="str">
        <f>VLOOKUP(B445,电搭接情况统计!$B$2:$H$423,7,0)</f>
        <v>C类</v>
      </c>
      <c r="M445" s="175">
        <f>VLOOKUP($B445,设备架接口信息!$A$1:$G$69,6,0)</f>
        <v>3</v>
      </c>
      <c r="N445" s="167"/>
      <c r="O445" s="179"/>
      <c r="P445" s="179"/>
      <c r="Q445" s="179"/>
      <c r="R445" s="179"/>
      <c r="S445" s="67" t="s">
        <v>958</v>
      </c>
      <c r="T445"/>
    </row>
    <row r="446" spans="1:20">
      <c r="A446" s="167" t="s">
        <v>953</v>
      </c>
      <c r="B446" s="184" t="s">
        <v>975</v>
      </c>
      <c r="C446" s="167" t="s">
        <v>968</v>
      </c>
      <c r="D446" s="178" t="s">
        <v>976</v>
      </c>
      <c r="E446" s="167" t="s">
        <v>970</v>
      </c>
      <c r="F446" s="183" t="s">
        <v>303</v>
      </c>
      <c r="G446" s="171">
        <v>1</v>
      </c>
      <c r="H446" s="8" t="s">
        <v>26</v>
      </c>
      <c r="I446" s="172" t="s">
        <v>106</v>
      </c>
      <c r="J446" s="182" t="str">
        <f>VLOOKUP($B446,设备架接口信息!$A$1:$G$69,4,0)</f>
        <v>3MCU托架安装，A类锁紧器</v>
      </c>
      <c r="K446" s="175" t="str">
        <f>VLOOKUP($B446,设备架接口信息!$A$1:$G$69,5,0)</f>
        <v>面搭接</v>
      </c>
      <c r="L446" s="174" t="str">
        <f>VLOOKUP(B446,电搭接情况统计!$B$2:$H$423,7,0)</f>
        <v>C类</v>
      </c>
      <c r="M446" s="175">
        <f>VLOOKUP($B446,设备架接口信息!$A$1:$G$69,6,0)</f>
        <v>3</v>
      </c>
      <c r="N446" s="167"/>
      <c r="O446" s="179"/>
      <c r="P446" s="179"/>
      <c r="Q446" s="179"/>
      <c r="R446" s="179"/>
      <c r="S446" s="67" t="s">
        <v>958</v>
      </c>
      <c r="T446"/>
    </row>
    <row r="447" spans="1:20">
      <c r="A447" s="167" t="s">
        <v>953</v>
      </c>
      <c r="B447" s="184" t="s">
        <v>977</v>
      </c>
      <c r="C447" s="167" t="s">
        <v>968</v>
      </c>
      <c r="D447" s="178" t="s">
        <v>978</v>
      </c>
      <c r="E447" s="167" t="s">
        <v>970</v>
      </c>
      <c r="F447" s="183" t="s">
        <v>303</v>
      </c>
      <c r="G447" s="171">
        <v>1</v>
      </c>
      <c r="H447" s="8" t="s">
        <v>26</v>
      </c>
      <c r="I447" s="172" t="s">
        <v>106</v>
      </c>
      <c r="J447" s="182" t="str">
        <f>VLOOKUP($B447,设备架接口信息!$A$1:$G$69,4,0)</f>
        <v>3MCU托架安装，A类锁紧器</v>
      </c>
      <c r="K447" s="175" t="str">
        <f>VLOOKUP($B447,设备架接口信息!$A$1:$G$69,5,0)</f>
        <v>面搭接</v>
      </c>
      <c r="L447" s="174" t="str">
        <f>VLOOKUP(B447,电搭接情况统计!$B$2:$H$423,7,0)</f>
        <v>C类</v>
      </c>
      <c r="M447" s="175">
        <f>VLOOKUP($B447,设备架接口信息!$A$1:$G$69,6,0)</f>
        <v>3</v>
      </c>
      <c r="N447" s="167"/>
      <c r="O447" s="179"/>
      <c r="P447" s="179"/>
      <c r="Q447" s="179"/>
      <c r="R447" s="179"/>
      <c r="S447" s="67" t="s">
        <v>958</v>
      </c>
      <c r="T447"/>
    </row>
    <row r="448" spans="1:20">
      <c r="A448" s="167" t="s">
        <v>953</v>
      </c>
      <c r="B448" s="184" t="s">
        <v>979</v>
      </c>
      <c r="C448" s="167" t="s">
        <v>968</v>
      </c>
      <c r="D448" s="178" t="s">
        <v>980</v>
      </c>
      <c r="E448" s="167" t="s">
        <v>970</v>
      </c>
      <c r="F448" s="183" t="s">
        <v>300</v>
      </c>
      <c r="G448" s="171">
        <v>1</v>
      </c>
      <c r="H448" s="8" t="s">
        <v>26</v>
      </c>
      <c r="I448" s="172" t="s">
        <v>106</v>
      </c>
      <c r="J448" s="182" t="str">
        <f>VLOOKUP($B448,设备架接口信息!$A$1:$G$69,4,0)</f>
        <v>3MCU托架安装，A类锁紧器</v>
      </c>
      <c r="K448" s="175" t="str">
        <f>VLOOKUP($B448,设备架接口信息!$A$1:$G$69,5,0)</f>
        <v>面搭接</v>
      </c>
      <c r="L448" s="174" t="str">
        <f>VLOOKUP(B448,电搭接情况统计!$B$2:$H$423,7,0)</f>
        <v>C类</v>
      </c>
      <c r="M448" s="175">
        <f>VLOOKUP($B448,设备架接口信息!$A$1:$G$69,6,0)</f>
        <v>3</v>
      </c>
      <c r="N448" s="167"/>
      <c r="O448" s="179"/>
      <c r="P448" s="179"/>
      <c r="Q448" s="179"/>
      <c r="R448" s="179"/>
      <c r="S448" s="67" t="s">
        <v>958</v>
      </c>
      <c r="T448"/>
    </row>
    <row r="449" spans="1:20">
      <c r="A449" s="167" t="s">
        <v>1508</v>
      </c>
      <c r="B449" s="146" t="s">
        <v>1509</v>
      </c>
      <c r="C449" s="167"/>
      <c r="D449" s="186" t="s">
        <v>1510</v>
      </c>
      <c r="E449" s="167" t="s">
        <v>1511</v>
      </c>
      <c r="F449" s="192" t="s">
        <v>160</v>
      </c>
      <c r="G449" s="171">
        <v>3</v>
      </c>
      <c r="H449" s="8" t="s">
        <v>26</v>
      </c>
      <c r="I449" s="172"/>
      <c r="J449" s="173"/>
      <c r="K449" s="174"/>
      <c r="L449" s="174"/>
      <c r="M449" s="175"/>
      <c r="N449" s="167"/>
      <c r="O449" s="179"/>
      <c r="P449" s="179"/>
      <c r="Q449" s="179"/>
      <c r="R449" s="179"/>
      <c r="S449" s="13" t="s">
        <v>27</v>
      </c>
      <c r="T449"/>
    </row>
    <row r="450" spans="1:20">
      <c r="A450" s="167" t="s">
        <v>1508</v>
      </c>
      <c r="B450" s="146" t="s">
        <v>1512</v>
      </c>
      <c r="C450" s="167"/>
      <c r="D450" s="178"/>
      <c r="E450" s="167"/>
      <c r="F450" s="195" t="s">
        <v>1359</v>
      </c>
      <c r="G450" s="171">
        <v>3</v>
      </c>
      <c r="H450" s="8" t="s">
        <v>26</v>
      </c>
      <c r="I450" s="172"/>
      <c r="J450" s="173"/>
      <c r="K450" s="174"/>
      <c r="L450" s="174"/>
      <c r="M450" s="175"/>
      <c r="N450" s="167"/>
      <c r="O450" s="179"/>
      <c r="P450" s="179"/>
      <c r="Q450" s="179"/>
      <c r="R450" s="179"/>
      <c r="S450" s="13" t="s">
        <v>27</v>
      </c>
      <c r="T450"/>
    </row>
    <row r="451" spans="1:20">
      <c r="A451" s="167" t="s">
        <v>1508</v>
      </c>
      <c r="B451" s="146" t="s">
        <v>1513</v>
      </c>
      <c r="C451" s="167"/>
      <c r="D451" s="178"/>
      <c r="E451" s="167"/>
      <c r="F451" s="195" t="s">
        <v>1359</v>
      </c>
      <c r="G451" s="171">
        <v>3</v>
      </c>
      <c r="H451" s="8" t="s">
        <v>26</v>
      </c>
      <c r="I451" s="172"/>
      <c r="J451" s="173"/>
      <c r="K451" s="174"/>
      <c r="L451" s="174"/>
      <c r="M451" s="175"/>
      <c r="N451" s="167"/>
      <c r="O451" s="179"/>
      <c r="P451" s="179"/>
      <c r="Q451" s="179"/>
      <c r="R451" s="179"/>
      <c r="S451" s="13" t="s">
        <v>27</v>
      </c>
      <c r="T451"/>
    </row>
    <row r="452" spans="1:20">
      <c r="A452" s="167" t="s">
        <v>1508</v>
      </c>
      <c r="B452" s="146" t="s">
        <v>1514</v>
      </c>
      <c r="C452" s="167"/>
      <c r="D452" s="186" t="s">
        <v>1515</v>
      </c>
      <c r="E452" s="167" t="s">
        <v>1516</v>
      </c>
      <c r="F452" s="192" t="s">
        <v>160</v>
      </c>
      <c r="G452" s="171">
        <v>3</v>
      </c>
      <c r="H452" s="8" t="s">
        <v>26</v>
      </c>
      <c r="I452" s="172"/>
      <c r="J452" s="173"/>
      <c r="K452" s="174"/>
      <c r="L452" s="174"/>
      <c r="M452" s="175"/>
      <c r="N452" s="167"/>
      <c r="O452" s="179"/>
      <c r="P452" s="179"/>
      <c r="Q452" s="179"/>
      <c r="R452" s="179"/>
      <c r="S452" s="13" t="s">
        <v>27</v>
      </c>
      <c r="T452"/>
    </row>
    <row r="453" spans="1:20">
      <c r="A453" s="167" t="s">
        <v>1508</v>
      </c>
      <c r="B453" s="146" t="s">
        <v>1517</v>
      </c>
      <c r="C453" s="167"/>
      <c r="D453" s="178"/>
      <c r="E453" s="167"/>
      <c r="F453" s="195" t="s">
        <v>1363</v>
      </c>
      <c r="G453" s="171">
        <v>3</v>
      </c>
      <c r="H453" s="8" t="s">
        <v>26</v>
      </c>
      <c r="I453" s="172"/>
      <c r="J453" s="173"/>
      <c r="K453" s="174"/>
      <c r="L453" s="174"/>
      <c r="M453" s="175"/>
      <c r="N453" s="167"/>
      <c r="O453" s="179"/>
      <c r="P453" s="179"/>
      <c r="Q453" s="179"/>
      <c r="R453" s="179"/>
      <c r="S453" s="13" t="s">
        <v>27</v>
      </c>
      <c r="T453"/>
    </row>
    <row r="454" spans="1:20">
      <c r="A454" s="167" t="s">
        <v>1508</v>
      </c>
      <c r="B454" s="146" t="s">
        <v>1518</v>
      </c>
      <c r="C454" s="167"/>
      <c r="D454" s="186" t="s">
        <v>1519</v>
      </c>
      <c r="E454" s="167" t="s">
        <v>1511</v>
      </c>
      <c r="F454" s="192" t="s">
        <v>160</v>
      </c>
      <c r="G454" s="171">
        <v>4</v>
      </c>
      <c r="H454" s="8" t="s">
        <v>26</v>
      </c>
      <c r="I454" s="172"/>
      <c r="J454" s="173"/>
      <c r="K454" s="174"/>
      <c r="L454" s="174"/>
      <c r="M454" s="175"/>
      <c r="N454" s="167"/>
      <c r="O454" s="179"/>
      <c r="P454" s="179"/>
      <c r="Q454" s="179"/>
      <c r="R454" s="179"/>
      <c r="S454" s="13" t="s">
        <v>27</v>
      </c>
      <c r="T454"/>
    </row>
    <row r="455" spans="1:20">
      <c r="A455" s="167" t="s">
        <v>1508</v>
      </c>
      <c r="B455" s="146" t="s">
        <v>1520</v>
      </c>
      <c r="C455" s="167"/>
      <c r="D455" s="178"/>
      <c r="E455" s="167"/>
      <c r="F455" s="195" t="s">
        <v>1359</v>
      </c>
      <c r="G455" s="171">
        <v>4</v>
      </c>
      <c r="H455" s="8" t="s">
        <v>26</v>
      </c>
      <c r="I455" s="172"/>
      <c r="J455" s="173"/>
      <c r="K455" s="174"/>
      <c r="L455" s="174"/>
      <c r="M455" s="175"/>
      <c r="N455" s="167"/>
      <c r="O455" s="179"/>
      <c r="P455" s="179"/>
      <c r="Q455" s="179"/>
      <c r="R455" s="179"/>
      <c r="S455" s="13" t="s">
        <v>27</v>
      </c>
      <c r="T455"/>
    </row>
    <row r="456" spans="1:20">
      <c r="A456" s="167" t="s">
        <v>1508</v>
      </c>
      <c r="B456" s="146" t="s">
        <v>1521</v>
      </c>
      <c r="C456" s="167"/>
      <c r="D456" s="178"/>
      <c r="E456" s="167"/>
      <c r="F456" s="195" t="s">
        <v>1363</v>
      </c>
      <c r="G456" s="171">
        <v>4</v>
      </c>
      <c r="H456" s="8" t="s">
        <v>26</v>
      </c>
      <c r="I456" s="172"/>
      <c r="J456" s="173"/>
      <c r="K456" s="174"/>
      <c r="L456" s="174"/>
      <c r="M456" s="175"/>
      <c r="N456" s="167"/>
      <c r="O456" s="179"/>
      <c r="P456" s="179"/>
      <c r="Q456" s="179"/>
      <c r="R456" s="179"/>
      <c r="S456" s="13" t="s">
        <v>27</v>
      </c>
      <c r="T456"/>
    </row>
    <row r="457" spans="1:20">
      <c r="A457" s="167" t="s">
        <v>1508</v>
      </c>
      <c r="B457" s="146" t="s">
        <v>1522</v>
      </c>
      <c r="C457" s="167"/>
      <c r="D457" s="178"/>
      <c r="E457" s="167"/>
      <c r="F457" s="195" t="s">
        <v>1363</v>
      </c>
      <c r="G457" s="171">
        <v>4</v>
      </c>
      <c r="H457" s="8" t="s">
        <v>26</v>
      </c>
      <c r="I457" s="172"/>
      <c r="J457" s="173"/>
      <c r="K457" s="174"/>
      <c r="L457" s="174"/>
      <c r="M457" s="175"/>
      <c r="N457" s="167"/>
      <c r="O457" s="179"/>
      <c r="P457" s="179"/>
      <c r="Q457" s="179"/>
      <c r="R457" s="179"/>
      <c r="S457" s="13" t="s">
        <v>27</v>
      </c>
      <c r="T457"/>
    </row>
    <row r="458" spans="1:20">
      <c r="A458" s="167" t="s">
        <v>1508</v>
      </c>
      <c r="B458" s="146" t="s">
        <v>1523</v>
      </c>
      <c r="C458" s="167"/>
      <c r="D458" s="178"/>
      <c r="E458" s="167"/>
      <c r="F458" s="195" t="s">
        <v>1363</v>
      </c>
      <c r="G458" s="171">
        <v>4</v>
      </c>
      <c r="H458" s="8" t="s">
        <v>26</v>
      </c>
      <c r="I458" s="172"/>
      <c r="J458" s="173"/>
      <c r="K458" s="174"/>
      <c r="L458" s="174"/>
      <c r="M458" s="175"/>
      <c r="N458" s="167"/>
      <c r="O458" s="179"/>
      <c r="P458" s="179"/>
      <c r="Q458" s="179"/>
      <c r="R458" s="179"/>
      <c r="S458" s="13" t="s">
        <v>27</v>
      </c>
      <c r="T458"/>
    </row>
    <row r="459" spans="1:20">
      <c r="A459" s="167" t="s">
        <v>1508</v>
      </c>
      <c r="B459" s="146" t="s">
        <v>1524</v>
      </c>
      <c r="C459" s="167"/>
      <c r="D459" s="178"/>
      <c r="E459" s="167"/>
      <c r="F459" s="195" t="s">
        <v>1363</v>
      </c>
      <c r="G459" s="171">
        <v>4</v>
      </c>
      <c r="H459" s="8" t="s">
        <v>26</v>
      </c>
      <c r="I459" s="172"/>
      <c r="J459" s="173"/>
      <c r="K459" s="174"/>
      <c r="L459" s="174"/>
      <c r="M459" s="175"/>
      <c r="N459" s="167"/>
      <c r="O459" s="179"/>
      <c r="P459" s="179"/>
      <c r="Q459" s="179"/>
      <c r="R459" s="179"/>
      <c r="S459" s="13" t="s">
        <v>27</v>
      </c>
      <c r="T459"/>
    </row>
    <row r="460" spans="1:20">
      <c r="A460" s="167" t="s">
        <v>1508</v>
      </c>
      <c r="B460" s="146" t="s">
        <v>1525</v>
      </c>
      <c r="C460" s="167"/>
      <c r="D460" s="178"/>
      <c r="E460" s="167"/>
      <c r="F460" s="199" t="s">
        <v>683</v>
      </c>
      <c r="G460" s="171">
        <v>3</v>
      </c>
      <c r="H460" s="8" t="s">
        <v>26</v>
      </c>
      <c r="I460" s="172"/>
      <c r="J460" s="173"/>
      <c r="K460" s="174"/>
      <c r="L460" s="174"/>
      <c r="M460" s="175"/>
      <c r="N460" s="167"/>
      <c r="O460" s="179"/>
      <c r="P460" s="179"/>
      <c r="Q460" s="179"/>
      <c r="R460" s="179"/>
      <c r="S460" s="13" t="s">
        <v>27</v>
      </c>
      <c r="T460"/>
    </row>
    <row r="461" spans="1:20">
      <c r="A461" s="167" t="s">
        <v>1508</v>
      </c>
      <c r="B461" s="146" t="s">
        <v>1526</v>
      </c>
      <c r="C461" s="167"/>
      <c r="D461" s="178"/>
      <c r="E461" s="167"/>
      <c r="F461" s="199" t="s">
        <v>683</v>
      </c>
      <c r="G461" s="171">
        <v>3</v>
      </c>
      <c r="H461" s="8" t="s">
        <v>26</v>
      </c>
      <c r="I461" s="172"/>
      <c r="J461" s="173"/>
      <c r="K461" s="174"/>
      <c r="L461" s="174"/>
      <c r="M461" s="175"/>
      <c r="N461" s="167"/>
      <c r="O461" s="179"/>
      <c r="P461" s="179"/>
      <c r="Q461" s="179"/>
      <c r="R461" s="179"/>
      <c r="S461" s="13" t="s">
        <v>27</v>
      </c>
      <c r="T461"/>
    </row>
    <row r="462" spans="1:20">
      <c r="A462" s="167" t="s">
        <v>1508</v>
      </c>
      <c r="B462" s="146" t="s">
        <v>1527</v>
      </c>
      <c r="C462" s="167"/>
      <c r="D462" s="178"/>
      <c r="E462" s="167"/>
      <c r="F462" s="195" t="s">
        <v>1359</v>
      </c>
      <c r="G462" s="171">
        <v>3</v>
      </c>
      <c r="H462" s="8" t="s">
        <v>26</v>
      </c>
      <c r="I462" s="172"/>
      <c r="J462" s="173"/>
      <c r="K462" s="174"/>
      <c r="L462" s="174"/>
      <c r="M462" s="175"/>
      <c r="N462" s="167"/>
      <c r="O462" s="179"/>
      <c r="P462" s="179"/>
      <c r="Q462" s="179"/>
      <c r="R462" s="179"/>
      <c r="S462" s="13" t="s">
        <v>27</v>
      </c>
      <c r="T462"/>
    </row>
    <row r="463" spans="1:20">
      <c r="A463" s="167" t="s">
        <v>1508</v>
      </c>
      <c r="B463" s="146" t="s">
        <v>1528</v>
      </c>
      <c r="C463" s="167"/>
      <c r="D463" s="178"/>
      <c r="E463" s="167"/>
      <c r="F463" s="195" t="s">
        <v>1363</v>
      </c>
      <c r="G463" s="171">
        <v>3</v>
      </c>
      <c r="H463" s="8" t="s">
        <v>26</v>
      </c>
      <c r="I463" s="172"/>
      <c r="J463" s="173"/>
      <c r="K463" s="174"/>
      <c r="L463" s="174"/>
      <c r="M463" s="175"/>
      <c r="N463" s="167"/>
      <c r="O463" s="179"/>
      <c r="P463" s="179"/>
      <c r="Q463" s="179"/>
      <c r="R463" s="179"/>
      <c r="S463" s="13" t="s">
        <v>27</v>
      </c>
      <c r="T463"/>
    </row>
    <row r="464" spans="1:20">
      <c r="A464" s="167" t="s">
        <v>1508</v>
      </c>
      <c r="B464" s="146" t="s">
        <v>1529</v>
      </c>
      <c r="C464" s="167"/>
      <c r="D464" s="178"/>
      <c r="E464" s="167"/>
      <c r="F464" s="195" t="s">
        <v>1363</v>
      </c>
      <c r="G464" s="171">
        <v>4</v>
      </c>
      <c r="H464" s="8" t="s">
        <v>26</v>
      </c>
      <c r="I464" s="172"/>
      <c r="J464" s="173"/>
      <c r="K464" s="174"/>
      <c r="L464" s="174"/>
      <c r="M464" s="175"/>
      <c r="N464" s="167"/>
      <c r="O464" s="179"/>
      <c r="P464" s="179"/>
      <c r="Q464" s="179"/>
      <c r="R464" s="179"/>
      <c r="S464" s="13" t="s">
        <v>27</v>
      </c>
      <c r="T464"/>
    </row>
    <row r="465" spans="1:20">
      <c r="A465" s="167" t="s">
        <v>1508</v>
      </c>
      <c r="B465" s="146" t="s">
        <v>1530</v>
      </c>
      <c r="C465" s="167"/>
      <c r="D465" s="178"/>
      <c r="E465" s="167"/>
      <c r="F465" s="195" t="s">
        <v>1359</v>
      </c>
      <c r="G465" s="171">
        <v>4</v>
      </c>
      <c r="H465" s="8" t="s">
        <v>26</v>
      </c>
      <c r="I465" s="172"/>
      <c r="J465" s="173"/>
      <c r="K465" s="174"/>
      <c r="L465" s="174"/>
      <c r="M465" s="175"/>
      <c r="N465" s="167"/>
      <c r="O465" s="179"/>
      <c r="P465" s="179"/>
      <c r="Q465" s="179"/>
      <c r="R465" s="179"/>
      <c r="S465" s="13" t="s">
        <v>27</v>
      </c>
      <c r="T465"/>
    </row>
    <row r="466" spans="1:20">
      <c r="A466" s="167" t="s">
        <v>981</v>
      </c>
      <c r="B466" s="184" t="s">
        <v>982</v>
      </c>
      <c r="C466" s="167" t="s">
        <v>983</v>
      </c>
      <c r="D466" s="178" t="s">
        <v>984</v>
      </c>
      <c r="E466" s="189" t="s">
        <v>1531</v>
      </c>
      <c r="F466" s="183" t="s">
        <v>303</v>
      </c>
      <c r="G466" s="205">
        <v>1</v>
      </c>
      <c r="H466" s="8" t="s">
        <v>32</v>
      </c>
      <c r="I466" s="172"/>
      <c r="J466" s="182" t="s">
        <v>380</v>
      </c>
      <c r="K466" s="175" t="str">
        <f>VLOOKUP($B466,设备架接口信息!$A$1:$G$69,5,0)</f>
        <v>面搭接</v>
      </c>
      <c r="L466" s="174" t="str">
        <f>VLOOKUP(B466,电搭接情况统计!$B$2:$H$423,7,0)</f>
        <v>S类</v>
      </c>
      <c r="M466" s="175">
        <f>VLOOKUP($B466,设备架接口信息!$A$1:$G$69,6,0)</f>
        <v>1.153028</v>
      </c>
      <c r="N466" s="167"/>
      <c r="O466" s="179"/>
      <c r="P466" s="179"/>
      <c r="Q466" s="179"/>
      <c r="R466" s="179"/>
      <c r="S466" s="13" t="s">
        <v>27</v>
      </c>
      <c r="T466" s="8" t="s">
        <v>1532</v>
      </c>
    </row>
    <row r="467" spans="1:20">
      <c r="A467" s="167" t="s">
        <v>981</v>
      </c>
      <c r="B467" s="184" t="s">
        <v>987</v>
      </c>
      <c r="C467" s="167" t="s">
        <v>988</v>
      </c>
      <c r="D467" s="178" t="s">
        <v>989</v>
      </c>
      <c r="E467" s="189" t="s">
        <v>1533</v>
      </c>
      <c r="F467" s="183" t="s">
        <v>110</v>
      </c>
      <c r="G467" s="171">
        <v>1</v>
      </c>
      <c r="H467" s="8" t="s">
        <v>26</v>
      </c>
      <c r="I467" s="172"/>
      <c r="J467" s="173"/>
      <c r="K467" s="174"/>
      <c r="L467" s="174" t="str">
        <f>VLOOKUP(B467,电搭接情况统计!$B$2:$H$423,7,0)</f>
        <v>NA</v>
      </c>
      <c r="M467" s="175"/>
      <c r="N467" s="167"/>
      <c r="O467" s="179"/>
      <c r="P467" s="179"/>
      <c r="Q467" s="179"/>
      <c r="R467" s="179"/>
      <c r="S467" s="13" t="s">
        <v>27</v>
      </c>
      <c r="T467"/>
    </row>
    <row r="468" spans="1:20">
      <c r="A468" s="167" t="s">
        <v>981</v>
      </c>
      <c r="B468" s="184" t="s">
        <v>991</v>
      </c>
      <c r="C468" s="167" t="s">
        <v>992</v>
      </c>
      <c r="D468" s="178" t="s">
        <v>993</v>
      </c>
      <c r="E468" s="167" t="s">
        <v>970</v>
      </c>
      <c r="F468" s="183" t="s">
        <v>303</v>
      </c>
      <c r="G468" s="171">
        <v>1</v>
      </c>
      <c r="H468" s="8" t="s">
        <v>26</v>
      </c>
      <c r="I468" s="172" t="s">
        <v>106</v>
      </c>
      <c r="J468" s="182" t="str">
        <f>VLOOKUP($B468,设备架接口信息!$A$1:$G$69,4,0)</f>
        <v>4MCU托架安装，A类锁紧器</v>
      </c>
      <c r="K468" s="175" t="str">
        <f>VLOOKUP($B468,设备架接口信息!$A$1:$G$69,5,0)</f>
        <v>面搭接</v>
      </c>
      <c r="L468" s="174" t="str">
        <f>VLOOKUP(B468,电搭接情况统计!$B$2:$H$423,7,0)</f>
        <v>C类</v>
      </c>
      <c r="M468" s="175">
        <f>VLOOKUP($B468,设备架接口信息!$A$1:$G$69,6,0)</f>
        <v>6.220516</v>
      </c>
      <c r="N468" s="167"/>
      <c r="O468" s="179"/>
      <c r="P468" s="179"/>
      <c r="Q468" s="179"/>
      <c r="R468" s="179"/>
      <c r="S468" s="67" t="s">
        <v>994</v>
      </c>
      <c r="T468"/>
    </row>
    <row r="469" spans="1:20">
      <c r="A469" s="167" t="s">
        <v>981</v>
      </c>
      <c r="B469" s="146" t="s">
        <v>1534</v>
      </c>
      <c r="C469" s="167" t="s">
        <v>1535</v>
      </c>
      <c r="D469" s="204" t="s">
        <v>1536</v>
      </c>
      <c r="E469" s="167"/>
      <c r="F469" s="192" t="s">
        <v>961</v>
      </c>
      <c r="G469" s="171">
        <v>2</v>
      </c>
      <c r="H469" s="8" t="s">
        <v>32</v>
      </c>
      <c r="I469" s="172"/>
      <c r="J469" s="182" t="s">
        <v>380</v>
      </c>
      <c r="K469" s="175" t="str">
        <f>VLOOKUP($B469,设备架接口信息!$A$1:$G$69,5,0)</f>
        <v>面搭接</v>
      </c>
      <c r="L469" s="174" t="str">
        <f>VLOOKUP(B469,电搭接情况统计!$B$2:$H$423,7,0)</f>
        <v>C类</v>
      </c>
      <c r="M469" s="175">
        <f>VLOOKUP($B469,设备架接口信息!$A$1:$G$69,6,0)</f>
        <v>1.2849</v>
      </c>
      <c r="N469" s="167"/>
      <c r="O469" s="179"/>
      <c r="P469" s="179"/>
      <c r="Q469" s="179"/>
      <c r="R469" s="179"/>
      <c r="S469" s="13" t="s">
        <v>322</v>
      </c>
      <c r="T469"/>
    </row>
    <row r="470" spans="1:20">
      <c r="A470" s="167" t="s">
        <v>981</v>
      </c>
      <c r="B470" s="146" t="s">
        <v>995</v>
      </c>
      <c r="C470" s="167" t="s">
        <v>996</v>
      </c>
      <c r="D470" s="178" t="s">
        <v>997</v>
      </c>
      <c r="E470" s="167"/>
      <c r="F470" s="183" t="s">
        <v>186</v>
      </c>
      <c r="G470" s="171">
        <v>2</v>
      </c>
      <c r="H470" s="8" t="s">
        <v>26</v>
      </c>
      <c r="I470" s="172"/>
      <c r="J470" s="173"/>
      <c r="K470" s="174"/>
      <c r="L470" s="174"/>
      <c r="M470" s="175"/>
      <c r="N470" s="167" t="s">
        <v>51</v>
      </c>
      <c r="O470" s="179"/>
      <c r="P470" s="179"/>
      <c r="Q470" s="179"/>
      <c r="R470" s="179"/>
      <c r="S470" s="13" t="s">
        <v>27</v>
      </c>
      <c r="T470"/>
    </row>
    <row r="471" spans="1:20">
      <c r="A471" s="167" t="s">
        <v>981</v>
      </c>
      <c r="B471" s="146" t="s">
        <v>998</v>
      </c>
      <c r="C471" s="167" t="s">
        <v>996</v>
      </c>
      <c r="D471" s="178" t="s">
        <v>999</v>
      </c>
      <c r="E471" s="167"/>
      <c r="F471" s="183" t="s">
        <v>186</v>
      </c>
      <c r="G471" s="171">
        <v>2</v>
      </c>
      <c r="H471" s="8" t="s">
        <v>26</v>
      </c>
      <c r="I471" s="172"/>
      <c r="J471" s="173"/>
      <c r="K471" s="174"/>
      <c r="L471" s="174"/>
      <c r="M471" s="175"/>
      <c r="N471" s="167" t="s">
        <v>51</v>
      </c>
      <c r="O471" s="179"/>
      <c r="P471" s="179"/>
      <c r="Q471" s="179"/>
      <c r="R471" s="179"/>
      <c r="S471" s="13" t="s">
        <v>27</v>
      </c>
      <c r="T471"/>
    </row>
    <row r="472" spans="1:20">
      <c r="A472" s="167" t="s">
        <v>981</v>
      </c>
      <c r="B472" s="184" t="s">
        <v>1000</v>
      </c>
      <c r="C472" s="167" t="s">
        <v>1001</v>
      </c>
      <c r="D472" s="178" t="s">
        <v>1002</v>
      </c>
      <c r="E472" s="189" t="s">
        <v>1533</v>
      </c>
      <c r="F472" s="183" t="s">
        <v>94</v>
      </c>
      <c r="G472" s="171">
        <v>1</v>
      </c>
      <c r="H472" s="8" t="s">
        <v>26</v>
      </c>
      <c r="I472" s="172"/>
      <c r="J472" s="173"/>
      <c r="K472" s="174"/>
      <c r="L472" s="174" t="str">
        <f>VLOOKUP(B472,电搭接情况统计!$B$2:$H$423,7,0)</f>
        <v>NA</v>
      </c>
      <c r="M472" s="175"/>
      <c r="N472" s="167"/>
      <c r="O472" s="179"/>
      <c r="P472" s="179"/>
      <c r="Q472" s="179"/>
      <c r="R472" s="179"/>
      <c r="S472" s="13" t="s">
        <v>322</v>
      </c>
      <c r="T472"/>
    </row>
    <row r="473" spans="1:20">
      <c r="A473" s="167" t="s">
        <v>981</v>
      </c>
      <c r="B473" s="184" t="s">
        <v>1003</v>
      </c>
      <c r="C473" s="167" t="s">
        <v>1004</v>
      </c>
      <c r="D473" s="178" t="s">
        <v>1005</v>
      </c>
      <c r="E473" s="189" t="s">
        <v>1533</v>
      </c>
      <c r="F473" s="183" t="s">
        <v>110</v>
      </c>
      <c r="G473" s="171">
        <v>1</v>
      </c>
      <c r="H473" s="8" t="s">
        <v>26</v>
      </c>
      <c r="I473" s="172"/>
      <c r="J473" s="173"/>
      <c r="K473" s="174"/>
      <c r="L473" s="174" t="str">
        <f>VLOOKUP(B473,电搭接情况统计!$B$2:$H$423,7,0)</f>
        <v>NA</v>
      </c>
      <c r="M473" s="175"/>
      <c r="N473" s="167"/>
      <c r="O473" s="179"/>
      <c r="P473" s="179"/>
      <c r="Q473" s="179"/>
      <c r="R473" s="179"/>
      <c r="S473" s="13" t="s">
        <v>322</v>
      </c>
      <c r="T473"/>
    </row>
    <row r="474" spans="1:20">
      <c r="A474" s="167" t="s">
        <v>981</v>
      </c>
      <c r="B474" s="184" t="s">
        <v>1006</v>
      </c>
      <c r="C474" s="167" t="s">
        <v>1007</v>
      </c>
      <c r="D474" s="178" t="s">
        <v>1008</v>
      </c>
      <c r="E474" s="189" t="s">
        <v>1533</v>
      </c>
      <c r="F474" s="183" t="s">
        <v>742</v>
      </c>
      <c r="G474" s="171">
        <v>1</v>
      </c>
      <c r="H474" s="8" t="s">
        <v>26</v>
      </c>
      <c r="I474" s="172"/>
      <c r="J474" s="173"/>
      <c r="K474" s="174"/>
      <c r="L474" s="174" t="str">
        <f>VLOOKUP(B474,电搭接情况统计!$B$2:$H$423,7,0)</f>
        <v>NA</v>
      </c>
      <c r="M474" s="175"/>
      <c r="N474" s="167"/>
      <c r="O474" s="179"/>
      <c r="P474" s="179"/>
      <c r="Q474" s="179"/>
      <c r="R474" s="179"/>
      <c r="S474" s="13" t="s">
        <v>322</v>
      </c>
      <c r="T474"/>
    </row>
    <row r="475" spans="1:20">
      <c r="A475" s="167" t="s">
        <v>981</v>
      </c>
      <c r="B475" s="184" t="s">
        <v>1009</v>
      </c>
      <c r="C475" s="167" t="s">
        <v>1010</v>
      </c>
      <c r="D475" s="178" t="s">
        <v>1011</v>
      </c>
      <c r="E475" s="189" t="s">
        <v>1533</v>
      </c>
      <c r="F475" s="183" t="s">
        <v>31</v>
      </c>
      <c r="G475" s="171">
        <v>1</v>
      </c>
      <c r="H475" s="8" t="s">
        <v>26</v>
      </c>
      <c r="I475" s="172"/>
      <c r="J475" s="173"/>
      <c r="K475" s="174"/>
      <c r="L475" s="174" t="str">
        <f>VLOOKUP(B475,电搭接情况统计!$B$2:$H$423,7,0)</f>
        <v>NA</v>
      </c>
      <c r="M475" s="175"/>
      <c r="N475" s="167"/>
      <c r="O475" s="179"/>
      <c r="P475" s="179"/>
      <c r="Q475" s="179"/>
      <c r="R475" s="179"/>
      <c r="S475" s="13" t="s">
        <v>322</v>
      </c>
      <c r="T475"/>
    </row>
    <row r="476" spans="1:20">
      <c r="A476" s="167" t="s">
        <v>981</v>
      </c>
      <c r="B476" s="184" t="s">
        <v>1012</v>
      </c>
      <c r="C476" s="167" t="s">
        <v>1013</v>
      </c>
      <c r="D476" s="178" t="s">
        <v>1014</v>
      </c>
      <c r="E476" s="189" t="s">
        <v>1533</v>
      </c>
      <c r="F476" s="183" t="s">
        <v>31</v>
      </c>
      <c r="G476" s="171">
        <v>1</v>
      </c>
      <c r="H476" s="8" t="s">
        <v>26</v>
      </c>
      <c r="I476" s="172"/>
      <c r="J476" s="173"/>
      <c r="K476" s="174"/>
      <c r="L476" s="174" t="str">
        <f>VLOOKUP(B476,电搭接情况统计!$B$2:$H$423,7,0)</f>
        <v>NA</v>
      </c>
      <c r="M476" s="175"/>
      <c r="N476" s="167"/>
      <c r="O476" s="179"/>
      <c r="P476" s="179"/>
      <c r="Q476" s="179"/>
      <c r="R476" s="179"/>
      <c r="S476" s="13" t="s">
        <v>322</v>
      </c>
      <c r="T476"/>
    </row>
    <row r="477" spans="1:20">
      <c r="A477" s="167" t="s">
        <v>981</v>
      </c>
      <c r="B477" s="184" t="s">
        <v>1015</v>
      </c>
      <c r="C477" s="167" t="s">
        <v>1016</v>
      </c>
      <c r="D477" s="178" t="s">
        <v>1017</v>
      </c>
      <c r="E477" s="189" t="s">
        <v>1533</v>
      </c>
      <c r="F477" s="183" t="s">
        <v>1018</v>
      </c>
      <c r="G477" s="171">
        <v>1</v>
      </c>
      <c r="H477" s="8" t="s">
        <v>26</v>
      </c>
      <c r="I477" s="172"/>
      <c r="J477" s="173"/>
      <c r="K477" s="174"/>
      <c r="L477" s="174"/>
      <c r="M477" s="175"/>
      <c r="N477" s="167"/>
      <c r="O477" s="179"/>
      <c r="P477" s="179"/>
      <c r="Q477" s="179"/>
      <c r="R477" s="179"/>
      <c r="S477" s="13" t="s">
        <v>322</v>
      </c>
      <c r="T477"/>
    </row>
    <row r="478" spans="1:20">
      <c r="A478" s="167" t="s">
        <v>981</v>
      </c>
      <c r="B478" s="184" t="s">
        <v>1019</v>
      </c>
      <c r="C478" s="167" t="s">
        <v>1016</v>
      </c>
      <c r="D478" s="178" t="s">
        <v>1020</v>
      </c>
      <c r="E478" s="189" t="s">
        <v>1533</v>
      </c>
      <c r="F478" s="183" t="s">
        <v>1021</v>
      </c>
      <c r="G478" s="171">
        <v>1</v>
      </c>
      <c r="H478" s="8" t="s">
        <v>26</v>
      </c>
      <c r="I478" s="172"/>
      <c r="J478" s="173"/>
      <c r="K478" s="174"/>
      <c r="L478" s="174"/>
      <c r="M478" s="175"/>
      <c r="N478" s="167"/>
      <c r="O478" s="179"/>
      <c r="P478" s="179"/>
      <c r="Q478" s="179"/>
      <c r="R478" s="179"/>
      <c r="S478" s="13" t="s">
        <v>322</v>
      </c>
      <c r="T478"/>
    </row>
    <row r="479" spans="1:20">
      <c r="A479" s="167" t="s">
        <v>981</v>
      </c>
      <c r="B479" s="184" t="s">
        <v>1022</v>
      </c>
      <c r="C479" s="167" t="s">
        <v>1016</v>
      </c>
      <c r="D479" s="178" t="s">
        <v>1023</v>
      </c>
      <c r="E479" s="189" t="s">
        <v>1533</v>
      </c>
      <c r="F479" s="183" t="s">
        <v>1024</v>
      </c>
      <c r="G479" s="171">
        <v>1</v>
      </c>
      <c r="H479" s="8" t="s">
        <v>26</v>
      </c>
      <c r="I479" s="172"/>
      <c r="J479" s="173"/>
      <c r="K479" s="174"/>
      <c r="L479" s="174"/>
      <c r="M479" s="175"/>
      <c r="N479" s="167"/>
      <c r="O479" s="179"/>
      <c r="P479" s="179"/>
      <c r="Q479" s="179"/>
      <c r="R479" s="179"/>
      <c r="S479" s="13" t="s">
        <v>322</v>
      </c>
      <c r="T479"/>
    </row>
    <row r="480" spans="1:20">
      <c r="A480" s="167" t="s">
        <v>981</v>
      </c>
      <c r="B480" s="184" t="s">
        <v>1025</v>
      </c>
      <c r="C480" s="167" t="s">
        <v>1016</v>
      </c>
      <c r="D480" s="178" t="s">
        <v>1026</v>
      </c>
      <c r="E480" s="189" t="s">
        <v>1533</v>
      </c>
      <c r="F480" s="183" t="s">
        <v>1027</v>
      </c>
      <c r="G480" s="171">
        <v>1</v>
      </c>
      <c r="H480" s="8" t="s">
        <v>26</v>
      </c>
      <c r="I480" s="172"/>
      <c r="J480" s="173"/>
      <c r="K480" s="174"/>
      <c r="L480" s="174"/>
      <c r="M480" s="175"/>
      <c r="N480" s="167"/>
      <c r="O480" s="179"/>
      <c r="P480" s="179"/>
      <c r="Q480" s="179"/>
      <c r="R480" s="179"/>
      <c r="S480" s="13" t="s">
        <v>322</v>
      </c>
      <c r="T480"/>
    </row>
    <row r="481" spans="1:20">
      <c r="A481" s="167" t="s">
        <v>981</v>
      </c>
      <c r="B481" s="184" t="s">
        <v>1028</v>
      </c>
      <c r="C481" s="167" t="s">
        <v>1016</v>
      </c>
      <c r="D481" s="178" t="s">
        <v>1029</v>
      </c>
      <c r="E481" s="189" t="s">
        <v>1533</v>
      </c>
      <c r="F481" s="183" t="s">
        <v>1030</v>
      </c>
      <c r="G481" s="171">
        <v>1</v>
      </c>
      <c r="H481" s="8" t="s">
        <v>26</v>
      </c>
      <c r="I481" s="172"/>
      <c r="J481" s="173"/>
      <c r="K481" s="174"/>
      <c r="L481" s="174"/>
      <c r="M481" s="175"/>
      <c r="N481" s="167"/>
      <c r="O481" s="179"/>
      <c r="P481" s="179"/>
      <c r="Q481" s="179"/>
      <c r="R481" s="179"/>
      <c r="S481" s="13" t="s">
        <v>322</v>
      </c>
      <c r="T481"/>
    </row>
    <row r="482" spans="1:20">
      <c r="A482" s="167" t="s">
        <v>981</v>
      </c>
      <c r="B482" s="184" t="s">
        <v>1031</v>
      </c>
      <c r="C482" s="167" t="s">
        <v>1032</v>
      </c>
      <c r="D482" s="178" t="s">
        <v>1033</v>
      </c>
      <c r="E482" s="189"/>
      <c r="F482" s="183" t="s">
        <v>795</v>
      </c>
      <c r="G482" s="171">
        <v>1</v>
      </c>
      <c r="H482" s="8" t="s">
        <v>26</v>
      </c>
      <c r="I482" s="172"/>
      <c r="J482" s="173"/>
      <c r="K482" s="174"/>
      <c r="L482" s="174" t="str">
        <f>VLOOKUP(B482,电搭接情况统计!$B$2:$H$423,7,0)</f>
        <v>NA</v>
      </c>
      <c r="M482" s="175"/>
      <c r="N482" s="167"/>
      <c r="O482" s="179"/>
      <c r="P482" s="179"/>
      <c r="Q482" s="179"/>
      <c r="R482" s="179"/>
      <c r="S482" s="13" t="s">
        <v>322</v>
      </c>
      <c r="T482"/>
    </row>
    <row r="483" spans="1:20">
      <c r="A483" s="167" t="s">
        <v>981</v>
      </c>
      <c r="B483" s="184" t="s">
        <v>1034</v>
      </c>
      <c r="C483" s="167" t="s">
        <v>1035</v>
      </c>
      <c r="D483" s="178" t="s">
        <v>1036</v>
      </c>
      <c r="E483" s="189"/>
      <c r="F483" s="183" t="s">
        <v>31</v>
      </c>
      <c r="G483" s="171">
        <v>1</v>
      </c>
      <c r="H483" s="8" t="s">
        <v>26</v>
      </c>
      <c r="I483" s="172"/>
      <c r="J483" s="173"/>
      <c r="K483" s="174"/>
      <c r="L483" s="174" t="str">
        <f>VLOOKUP(B483,电搭接情况统计!$B$2:$H$423,7,0)</f>
        <v>NA</v>
      </c>
      <c r="M483" s="175"/>
      <c r="N483" s="167"/>
      <c r="O483" s="179"/>
      <c r="P483" s="179"/>
      <c r="Q483" s="179"/>
      <c r="R483" s="179"/>
      <c r="S483" s="13" t="s">
        <v>322</v>
      </c>
      <c r="T483"/>
    </row>
    <row r="484" spans="1:20">
      <c r="A484" s="167" t="s">
        <v>981</v>
      </c>
      <c r="B484" s="184" t="s">
        <v>1037</v>
      </c>
      <c r="C484" s="167" t="s">
        <v>1038</v>
      </c>
      <c r="D484" s="178" t="s">
        <v>1039</v>
      </c>
      <c r="E484" s="189"/>
      <c r="F484" s="183" t="s">
        <v>110</v>
      </c>
      <c r="G484" s="171">
        <v>1</v>
      </c>
      <c r="H484" s="8" t="s">
        <v>26</v>
      </c>
      <c r="I484" s="172"/>
      <c r="J484" s="173"/>
      <c r="K484" s="174"/>
      <c r="L484" s="174" t="str">
        <f>VLOOKUP(B484,电搭接情况统计!$B$2:$H$423,7,0)</f>
        <v>NA</v>
      </c>
      <c r="M484" s="175"/>
      <c r="N484" s="167"/>
      <c r="O484" s="179"/>
      <c r="P484" s="179"/>
      <c r="Q484" s="179"/>
      <c r="R484" s="179"/>
      <c r="S484" s="13" t="s">
        <v>322</v>
      </c>
      <c r="T484"/>
    </row>
    <row r="485" spans="1:20">
      <c r="A485" s="167" t="s">
        <v>981</v>
      </c>
      <c r="B485" s="184" t="s">
        <v>1040</v>
      </c>
      <c r="C485" s="167" t="s">
        <v>1041</v>
      </c>
      <c r="D485" s="178" t="s">
        <v>1042</v>
      </c>
      <c r="E485" s="189"/>
      <c r="F485" s="183" t="s">
        <v>110</v>
      </c>
      <c r="G485" s="171">
        <v>1</v>
      </c>
      <c r="H485" s="8" t="s">
        <v>26</v>
      </c>
      <c r="I485" s="172"/>
      <c r="J485" s="173"/>
      <c r="K485" s="174"/>
      <c r="L485" s="174" t="str">
        <f>VLOOKUP(B485,电搭接情况统计!$B$2:$H$423,7,0)</f>
        <v>NA</v>
      </c>
      <c r="M485" s="175"/>
      <c r="N485" s="167"/>
      <c r="O485" s="179"/>
      <c r="P485" s="179"/>
      <c r="Q485" s="179"/>
      <c r="R485" s="179"/>
      <c r="S485" s="13" t="s">
        <v>322</v>
      </c>
      <c r="T485"/>
    </row>
    <row r="486" spans="1:20">
      <c r="A486" s="167" t="s">
        <v>1537</v>
      </c>
      <c r="B486" s="146" t="s">
        <v>1538</v>
      </c>
      <c r="C486" s="167" t="s">
        <v>1539</v>
      </c>
      <c r="D486" s="178" t="s">
        <v>1540</v>
      </c>
      <c r="E486" s="167"/>
      <c r="F486" s="183" t="s">
        <v>36</v>
      </c>
      <c r="G486" s="171">
        <v>2</v>
      </c>
      <c r="H486" s="8" t="s">
        <v>26</v>
      </c>
      <c r="I486" s="172" t="s">
        <v>1541</v>
      </c>
      <c r="J486" s="182" t="str">
        <f>VLOOKUP($B486,设备架接口信息!$A$1:$G$69,4,0)</f>
        <v>四角螺栓安装</v>
      </c>
      <c r="K486" s="175" t="str">
        <f>VLOOKUP($B486,设备架接口信息!$A$1:$G$69,5,0)</f>
        <v>线搭接</v>
      </c>
      <c r="L486" s="174" t="str">
        <f>VLOOKUP(B486,电搭接情况统计!$B$2:$H$423,7,0)</f>
        <v>C类，28V负极通过ERN回流；
R类，壳体线搭接</v>
      </c>
      <c r="M486" s="175">
        <f>VLOOKUP($B486,设备架接口信息!$A$1:$G$69,6,0)</f>
        <v>2</v>
      </c>
      <c r="N486" s="167"/>
      <c r="O486" s="179"/>
      <c r="P486" s="179"/>
      <c r="Q486" s="179"/>
      <c r="R486" s="179"/>
      <c r="S486" s="13" t="s">
        <v>27</v>
      </c>
      <c r="T486"/>
    </row>
    <row r="487" spans="1:20">
      <c r="A487" s="167" t="s">
        <v>1537</v>
      </c>
      <c r="B487" s="146" t="s">
        <v>1542</v>
      </c>
      <c r="C487" s="167" t="s">
        <v>1543</v>
      </c>
      <c r="D487" s="178" t="s">
        <v>1544</v>
      </c>
      <c r="E487" s="167"/>
      <c r="F487" s="183" t="s">
        <v>1545</v>
      </c>
      <c r="G487" s="171">
        <v>2</v>
      </c>
      <c r="H487" s="8" t="s">
        <v>26</v>
      </c>
      <c r="I487" s="172"/>
      <c r="J487" s="173"/>
      <c r="K487" s="174"/>
      <c r="L487" s="174" t="str">
        <f>VLOOKUP(B487,电搭接情况统计!$B$2:$H$423,7,0)</f>
        <v>R类，壳体线搭接</v>
      </c>
      <c r="M487" s="175"/>
      <c r="N487" s="167"/>
      <c r="O487" s="179"/>
      <c r="P487" s="179"/>
      <c r="Q487" s="179"/>
      <c r="R487" s="179"/>
      <c r="S487" s="13" t="s">
        <v>27</v>
      </c>
      <c r="T487"/>
    </row>
    <row r="488" spans="1:20">
      <c r="A488" s="167" t="s">
        <v>1537</v>
      </c>
      <c r="B488" s="146" t="s">
        <v>1546</v>
      </c>
      <c r="C488" s="167" t="s">
        <v>1547</v>
      </c>
      <c r="D488" s="178" t="s">
        <v>1548</v>
      </c>
      <c r="E488" s="167"/>
      <c r="F488" s="183" t="s">
        <v>1545</v>
      </c>
      <c r="G488" s="171">
        <v>2</v>
      </c>
      <c r="H488" s="8" t="s">
        <v>26</v>
      </c>
      <c r="I488" s="172"/>
      <c r="J488" s="173"/>
      <c r="K488" s="174"/>
      <c r="L488" s="174" t="str">
        <f>VLOOKUP(B488,电搭接情况统计!$B$2:$H$423,7,0)</f>
        <v>R类，壳体线搭接</v>
      </c>
      <c r="M488" s="175"/>
      <c r="N488" s="167"/>
      <c r="O488" s="179"/>
      <c r="P488" s="179"/>
      <c r="Q488" s="179"/>
      <c r="R488" s="179"/>
      <c r="S488" s="13" t="s">
        <v>27</v>
      </c>
      <c r="T488"/>
    </row>
    <row r="489" spans="1:20">
      <c r="A489" s="167" t="s">
        <v>1537</v>
      </c>
      <c r="B489" s="146" t="s">
        <v>1549</v>
      </c>
      <c r="C489" s="167" t="s">
        <v>1550</v>
      </c>
      <c r="D489" s="178" t="s">
        <v>1551</v>
      </c>
      <c r="E489" s="167"/>
      <c r="F489" s="183" t="s">
        <v>1545</v>
      </c>
      <c r="G489" s="171">
        <v>2</v>
      </c>
      <c r="H489" s="8" t="s">
        <v>26</v>
      </c>
      <c r="I489" s="172"/>
      <c r="J489" s="173"/>
      <c r="K489" s="174"/>
      <c r="L489" s="174" t="str">
        <f>VLOOKUP(B489,电搭接情况统计!$B$2:$H$423,7,0)</f>
        <v>R类，壳体线搭接</v>
      </c>
      <c r="M489" s="175"/>
      <c r="N489" s="167"/>
      <c r="O489" s="179"/>
      <c r="P489" s="179"/>
      <c r="Q489" s="179"/>
      <c r="R489" s="179"/>
      <c r="S489" s="13" t="s">
        <v>27</v>
      </c>
      <c r="T489"/>
    </row>
    <row r="490" spans="1:20">
      <c r="A490" s="167" t="s">
        <v>1537</v>
      </c>
      <c r="B490" s="146" t="s">
        <v>1552</v>
      </c>
      <c r="C490" s="167" t="s">
        <v>1553</v>
      </c>
      <c r="D490" s="178" t="s">
        <v>1554</v>
      </c>
      <c r="E490" s="167"/>
      <c r="F490" s="183" t="s">
        <v>1545</v>
      </c>
      <c r="G490" s="171">
        <v>2</v>
      </c>
      <c r="H490" s="8" t="s">
        <v>26</v>
      </c>
      <c r="I490" s="172"/>
      <c r="J490" s="173"/>
      <c r="K490" s="174"/>
      <c r="L490" s="174" t="str">
        <f>VLOOKUP(B490,电搭接情况统计!$B$2:$H$423,7,0)</f>
        <v>R类，壳体线搭接</v>
      </c>
      <c r="M490" s="175"/>
      <c r="N490" s="167"/>
      <c r="O490" s="179"/>
      <c r="P490" s="179"/>
      <c r="Q490" s="179"/>
      <c r="R490" s="179"/>
      <c r="S490" s="13" t="s">
        <v>27</v>
      </c>
      <c r="T490"/>
    </row>
    <row r="491" spans="1:20">
      <c r="A491" s="167" t="s">
        <v>1537</v>
      </c>
      <c r="B491" s="146" t="s">
        <v>1555</v>
      </c>
      <c r="C491" s="167" t="s">
        <v>1556</v>
      </c>
      <c r="D491" s="178" t="s">
        <v>1557</v>
      </c>
      <c r="E491" s="167"/>
      <c r="F491" s="183" t="s">
        <v>1545</v>
      </c>
      <c r="G491" s="171">
        <v>2</v>
      </c>
      <c r="H491" s="8" t="s">
        <v>26</v>
      </c>
      <c r="I491" s="172"/>
      <c r="J491" s="173"/>
      <c r="K491" s="174"/>
      <c r="L491" s="174" t="str">
        <f>VLOOKUP(B491,电搭接情况统计!$B$2:$H$423,7,0)</f>
        <v>R类，壳体线搭接</v>
      </c>
      <c r="M491" s="175"/>
      <c r="N491" s="167"/>
      <c r="O491" s="179"/>
      <c r="P491" s="179"/>
      <c r="Q491" s="179"/>
      <c r="R491" s="179"/>
      <c r="S491" s="13" t="s">
        <v>27</v>
      </c>
      <c r="T491"/>
    </row>
    <row r="492" spans="1:20">
      <c r="A492" s="167" t="s">
        <v>1537</v>
      </c>
      <c r="B492" s="146" t="s">
        <v>1558</v>
      </c>
      <c r="C492" s="167" t="s">
        <v>1559</v>
      </c>
      <c r="D492" s="178" t="s">
        <v>1560</v>
      </c>
      <c r="E492" s="167"/>
      <c r="F492" s="183" t="s">
        <v>1545</v>
      </c>
      <c r="G492" s="171">
        <v>2</v>
      </c>
      <c r="H492" s="8" t="s">
        <v>26</v>
      </c>
      <c r="I492" s="172"/>
      <c r="J492" s="173"/>
      <c r="K492" s="174"/>
      <c r="L492" s="174" t="str">
        <f>VLOOKUP(B492,电搭接情况统计!$B$2:$H$423,7,0)</f>
        <v>R类，壳体线搭接</v>
      </c>
      <c r="M492" s="175"/>
      <c r="N492" s="167"/>
      <c r="O492" s="179"/>
      <c r="P492" s="179"/>
      <c r="Q492" s="179"/>
      <c r="R492" s="179"/>
      <c r="S492" s="13" t="s">
        <v>27</v>
      </c>
      <c r="T492"/>
    </row>
    <row r="493" spans="1:20">
      <c r="A493" s="167" t="s">
        <v>1537</v>
      </c>
      <c r="B493" s="146" t="s">
        <v>1561</v>
      </c>
      <c r="C493" s="167" t="s">
        <v>1562</v>
      </c>
      <c r="D493" s="178" t="s">
        <v>1563</v>
      </c>
      <c r="E493" s="167"/>
      <c r="F493" s="183" t="s">
        <v>36</v>
      </c>
      <c r="G493" s="171">
        <v>2</v>
      </c>
      <c r="H493" s="8" t="s">
        <v>26</v>
      </c>
      <c r="I493" s="172"/>
      <c r="J493" s="182" t="str">
        <f>VLOOKUP($B493,设备架接口信息!$A$1:$G$69,4,0)</f>
        <v>四角螺栓安装</v>
      </c>
      <c r="K493" s="175" t="str">
        <f>VLOOKUP($B493,设备架接口信息!$A$1:$G$69,5,0)</f>
        <v>线搭接</v>
      </c>
      <c r="L493" s="174" t="str">
        <f>VLOOKUP(B493,电搭接情况统计!$B$2:$H$423,7,0)</f>
        <v>R类，壳体线搭接</v>
      </c>
      <c r="M493" s="175">
        <f>VLOOKUP($B493,设备架接口信息!$A$1:$G$69,6,0)</f>
        <v>1.3</v>
      </c>
      <c r="N493" s="167"/>
      <c r="O493" s="179"/>
      <c r="P493" s="179"/>
      <c r="Q493" s="179"/>
      <c r="R493" s="179"/>
      <c r="S493" s="13" t="s">
        <v>27</v>
      </c>
      <c r="T493"/>
    </row>
    <row r="494" spans="1:20">
      <c r="A494" s="167" t="s">
        <v>1043</v>
      </c>
      <c r="B494" s="184" t="s">
        <v>1044</v>
      </c>
      <c r="C494" s="167" t="s">
        <v>1045</v>
      </c>
      <c r="D494" s="178" t="s">
        <v>1046</v>
      </c>
      <c r="E494" s="189" t="s">
        <v>1564</v>
      </c>
      <c r="F494" s="183" t="s">
        <v>1047</v>
      </c>
      <c r="G494" s="171">
        <v>1</v>
      </c>
      <c r="H494" s="8" t="s">
        <v>26</v>
      </c>
      <c r="I494" s="172"/>
      <c r="J494" s="173"/>
      <c r="K494" s="174"/>
      <c r="L494" s="174" t="str">
        <f>VLOOKUP(B494,电搭接情况统计!$B$2:$H$423,7,0)</f>
        <v>C类，28V负极在ERN回流；
L类，壳体搭接；</v>
      </c>
      <c r="M494" s="175"/>
      <c r="N494" s="167"/>
      <c r="O494" s="179"/>
      <c r="P494" s="179"/>
      <c r="Q494" s="179"/>
      <c r="R494" s="179"/>
      <c r="S494" s="13" t="s">
        <v>27</v>
      </c>
      <c r="T494"/>
    </row>
    <row r="495" spans="1:20">
      <c r="A495" s="167" t="s">
        <v>1043</v>
      </c>
      <c r="B495" s="184" t="s">
        <v>1048</v>
      </c>
      <c r="C495" s="167" t="s">
        <v>1045</v>
      </c>
      <c r="D495" s="178" t="s">
        <v>1049</v>
      </c>
      <c r="E495" s="189" t="s">
        <v>1564</v>
      </c>
      <c r="F495" s="183" t="s">
        <v>1050</v>
      </c>
      <c r="G495" s="171">
        <v>1</v>
      </c>
      <c r="H495" s="8" t="s">
        <v>26</v>
      </c>
      <c r="I495" s="172"/>
      <c r="J495" s="173"/>
      <c r="K495" s="174"/>
      <c r="L495" s="174" t="str">
        <f>VLOOKUP(B495,电搭接情况统计!$B$2:$H$423,7,0)</f>
        <v>C类，28V负极在机身部分通过ERN回流；
R类、H类、S类，壳体搭接</v>
      </c>
      <c r="M495" s="175"/>
      <c r="N495" s="167"/>
      <c r="O495" s="179"/>
      <c r="P495" s="179"/>
      <c r="Q495" s="179"/>
      <c r="R495" s="179"/>
      <c r="S495" s="13" t="s">
        <v>27</v>
      </c>
      <c r="T495"/>
    </row>
    <row r="496" spans="1:20">
      <c r="A496" s="167" t="s">
        <v>1043</v>
      </c>
      <c r="B496" s="184" t="s">
        <v>1051</v>
      </c>
      <c r="C496" s="167" t="s">
        <v>1045</v>
      </c>
      <c r="D496" s="178" t="s">
        <v>1052</v>
      </c>
      <c r="E496" s="189" t="s">
        <v>1564</v>
      </c>
      <c r="F496" s="183" t="s">
        <v>1053</v>
      </c>
      <c r="G496" s="171">
        <v>1</v>
      </c>
      <c r="H496" s="8" t="s">
        <v>26</v>
      </c>
      <c r="I496" s="172"/>
      <c r="J496" s="173"/>
      <c r="K496" s="174"/>
      <c r="L496" s="174" t="str">
        <f>VLOOKUP(B496,电搭接情况统计!$B$2:$H$423,7,0)</f>
        <v>C类，28V负极在机身部分通过ERN回流；
R类、H类、S类，壳体搭接</v>
      </c>
      <c r="M496" s="175"/>
      <c r="N496" s="167"/>
      <c r="O496" s="179"/>
      <c r="P496" s="179"/>
      <c r="Q496" s="179"/>
      <c r="R496" s="179"/>
      <c r="S496" s="13" t="s">
        <v>27</v>
      </c>
      <c r="T496"/>
    </row>
    <row r="497" spans="1:20">
      <c r="A497" s="167" t="s">
        <v>1043</v>
      </c>
      <c r="B497" s="184" t="s">
        <v>1054</v>
      </c>
      <c r="C497" s="167" t="s">
        <v>1045</v>
      </c>
      <c r="D497" s="178" t="s">
        <v>1055</v>
      </c>
      <c r="E497" s="189" t="s">
        <v>1564</v>
      </c>
      <c r="F497" s="183" t="s">
        <v>1056</v>
      </c>
      <c r="G497" s="171">
        <v>1</v>
      </c>
      <c r="H497" s="8" t="s">
        <v>26</v>
      </c>
      <c r="I497" s="172"/>
      <c r="J497" s="173"/>
      <c r="K497" s="174"/>
      <c r="L497" s="174" t="str">
        <f>VLOOKUP(B497,电搭接情况统计!$B$2:$H$423,7,0)</f>
        <v>C类，28V负极在机身部分通过ERN回流；
R类、H类、S类，壳体搭接</v>
      </c>
      <c r="M497" s="175"/>
      <c r="N497" s="167"/>
      <c r="O497" s="179"/>
      <c r="P497" s="179"/>
      <c r="Q497" s="179"/>
      <c r="R497" s="179"/>
      <c r="S497" s="13" t="s">
        <v>27</v>
      </c>
      <c r="T497"/>
    </row>
    <row r="498" spans="1:20">
      <c r="A498" s="167" t="s">
        <v>1043</v>
      </c>
      <c r="B498" s="184" t="s">
        <v>1057</v>
      </c>
      <c r="C498" s="167" t="s">
        <v>1045</v>
      </c>
      <c r="D498" s="178" t="s">
        <v>1058</v>
      </c>
      <c r="E498" s="189" t="s">
        <v>1564</v>
      </c>
      <c r="F498" s="183" t="s">
        <v>1059</v>
      </c>
      <c r="G498" s="171">
        <v>1</v>
      </c>
      <c r="H498" s="8" t="s">
        <v>26</v>
      </c>
      <c r="I498" s="172"/>
      <c r="J498" s="173"/>
      <c r="K498" s="174"/>
      <c r="L498" s="174" t="str">
        <f>VLOOKUP(B498,电搭接情况统计!$B$2:$H$423,7,0)</f>
        <v>C类，28V负极在机身部分通过ERN回流；
R类、H类、S类，壳体搭接</v>
      </c>
      <c r="M498" s="175"/>
      <c r="N498" s="167"/>
      <c r="O498" s="179"/>
      <c r="P498" s="179"/>
      <c r="Q498" s="179"/>
      <c r="R498" s="179"/>
      <c r="S498" s="13" t="s">
        <v>27</v>
      </c>
      <c r="T498"/>
    </row>
    <row r="499" spans="1:20">
      <c r="A499" s="167" t="s">
        <v>1043</v>
      </c>
      <c r="B499" s="184" t="s">
        <v>1060</v>
      </c>
      <c r="C499" s="167" t="s">
        <v>1045</v>
      </c>
      <c r="D499" s="178" t="s">
        <v>1061</v>
      </c>
      <c r="E499" s="189" t="s">
        <v>1564</v>
      </c>
      <c r="F499" s="183" t="s">
        <v>1047</v>
      </c>
      <c r="G499" s="171">
        <v>1</v>
      </c>
      <c r="H499" s="8" t="s">
        <v>26</v>
      </c>
      <c r="I499" s="172"/>
      <c r="J499" s="173"/>
      <c r="K499" s="174"/>
      <c r="L499" s="174" t="str">
        <f>VLOOKUP(B499,电搭接情况统计!$B$2:$H$423,7,0)</f>
        <v>C类，28V负极在机身部分通过ERN回流；
R类、H类、S类，壳体搭接</v>
      </c>
      <c r="M499" s="175"/>
      <c r="N499" s="167"/>
      <c r="O499" s="179"/>
      <c r="P499" s="179"/>
      <c r="Q499" s="179"/>
      <c r="R499" s="179"/>
      <c r="S499" s="13" t="s">
        <v>27</v>
      </c>
      <c r="T499"/>
    </row>
    <row r="500" spans="1:20">
      <c r="A500" s="167" t="s">
        <v>1043</v>
      </c>
      <c r="B500" s="184" t="s">
        <v>1062</v>
      </c>
      <c r="C500" s="167" t="s">
        <v>1045</v>
      </c>
      <c r="D500" s="178" t="s">
        <v>1063</v>
      </c>
      <c r="E500" s="189" t="s">
        <v>1564</v>
      </c>
      <c r="F500" s="183" t="s">
        <v>1050</v>
      </c>
      <c r="G500" s="171">
        <v>1</v>
      </c>
      <c r="H500" s="8" t="s">
        <v>26</v>
      </c>
      <c r="I500" s="172"/>
      <c r="J500" s="173"/>
      <c r="K500" s="174"/>
      <c r="L500" s="174" t="str">
        <f>VLOOKUP(B500,电搭接情况统计!$B$2:$H$423,7,0)</f>
        <v>C类，28V负极在机身部分通过ERN回流；
R类、H类、S类，壳体搭接</v>
      </c>
      <c r="M500" s="175"/>
      <c r="N500" s="167"/>
      <c r="O500" s="179"/>
      <c r="P500" s="179"/>
      <c r="Q500" s="179"/>
      <c r="R500" s="179"/>
      <c r="S500" s="13" t="s">
        <v>27</v>
      </c>
      <c r="T500"/>
    </row>
    <row r="501" spans="1:20">
      <c r="A501" s="167" t="s">
        <v>1043</v>
      </c>
      <c r="B501" s="184" t="s">
        <v>1064</v>
      </c>
      <c r="C501" s="167" t="s">
        <v>1045</v>
      </c>
      <c r="D501" s="178" t="s">
        <v>1065</v>
      </c>
      <c r="E501" s="189" t="s">
        <v>1564</v>
      </c>
      <c r="F501" s="183" t="s">
        <v>1053</v>
      </c>
      <c r="G501" s="171">
        <v>1</v>
      </c>
      <c r="H501" s="8" t="s">
        <v>26</v>
      </c>
      <c r="I501" s="172"/>
      <c r="J501" s="173"/>
      <c r="K501" s="174"/>
      <c r="L501" s="174" t="str">
        <f>VLOOKUP(B501,电搭接情况统计!$B$2:$H$423,7,0)</f>
        <v>C类，28V负极在机身部分通过ERN回流；
R类、H类、S类，壳体搭接</v>
      </c>
      <c r="M501" s="175"/>
      <c r="N501" s="167"/>
      <c r="O501" s="179"/>
      <c r="P501" s="179"/>
      <c r="Q501" s="179"/>
      <c r="R501" s="179"/>
      <c r="S501" s="13" t="s">
        <v>27</v>
      </c>
      <c r="T501"/>
    </row>
    <row r="502" spans="1:20">
      <c r="A502" s="167" t="s">
        <v>1043</v>
      </c>
      <c r="B502" s="184" t="s">
        <v>1066</v>
      </c>
      <c r="C502" s="167" t="s">
        <v>1045</v>
      </c>
      <c r="D502" s="178" t="s">
        <v>1067</v>
      </c>
      <c r="E502" s="189" t="s">
        <v>1564</v>
      </c>
      <c r="F502" s="183" t="s">
        <v>1056</v>
      </c>
      <c r="G502" s="171">
        <v>1</v>
      </c>
      <c r="H502" s="8" t="s">
        <v>26</v>
      </c>
      <c r="I502" s="172"/>
      <c r="J502" s="173"/>
      <c r="K502" s="174"/>
      <c r="L502" s="174" t="str">
        <f>VLOOKUP(B502,电搭接情况统计!$B$2:$H$423,7,0)</f>
        <v>C类，28V负极在机身部分通过ERN回流；
R类、H类、S类，壳体搭接</v>
      </c>
      <c r="M502" s="175"/>
      <c r="N502" s="167"/>
      <c r="O502" s="179"/>
      <c r="P502" s="179"/>
      <c r="Q502" s="179"/>
      <c r="R502" s="179"/>
      <c r="S502" s="13" t="s">
        <v>27</v>
      </c>
      <c r="T502"/>
    </row>
    <row r="503" spans="1:20">
      <c r="A503" s="167" t="s">
        <v>1043</v>
      </c>
      <c r="B503" s="184" t="s">
        <v>1068</v>
      </c>
      <c r="C503" s="167" t="s">
        <v>1045</v>
      </c>
      <c r="D503" s="178" t="s">
        <v>1069</v>
      </c>
      <c r="E503" s="189" t="s">
        <v>1564</v>
      </c>
      <c r="F503" s="183" t="s">
        <v>1059</v>
      </c>
      <c r="G503" s="171">
        <v>1</v>
      </c>
      <c r="H503" s="8" t="s">
        <v>26</v>
      </c>
      <c r="I503" s="172"/>
      <c r="J503" s="173"/>
      <c r="K503" s="174"/>
      <c r="L503" s="174" t="str">
        <f>VLOOKUP(B503,电搭接情况统计!$B$2:$H$423,7,0)</f>
        <v>C类，28V负极在机身部分通过ERN回流；
R类、H类、S类，壳体搭接</v>
      </c>
      <c r="M503" s="175"/>
      <c r="N503" s="167"/>
      <c r="O503" s="179"/>
      <c r="P503" s="179"/>
      <c r="Q503" s="179"/>
      <c r="R503" s="179"/>
      <c r="S503" s="13" t="s">
        <v>27</v>
      </c>
      <c r="T503"/>
    </row>
    <row r="504" spans="1:20">
      <c r="A504" s="167" t="s">
        <v>1043</v>
      </c>
      <c r="B504" s="112" t="s">
        <v>1565</v>
      </c>
      <c r="C504" s="189" t="s">
        <v>1566</v>
      </c>
      <c r="D504" s="178" t="s">
        <v>1071</v>
      </c>
      <c r="E504" s="189" t="s">
        <v>1567</v>
      </c>
      <c r="F504" s="183" t="s">
        <v>1018</v>
      </c>
      <c r="G504" s="171">
        <v>1</v>
      </c>
      <c r="H504" s="8" t="s">
        <v>26</v>
      </c>
      <c r="I504" s="172"/>
      <c r="J504" s="173"/>
      <c r="K504" s="174"/>
      <c r="L504" s="174" t="e">
        <f>VLOOKUP(B504,电搭接情况统计!$B$2:$H$423,7,0)</f>
        <v>#N/A</v>
      </c>
      <c r="M504" s="175"/>
      <c r="N504" s="167"/>
      <c r="O504" s="179"/>
      <c r="P504" s="179"/>
      <c r="Q504" s="179"/>
      <c r="R504" s="179"/>
      <c r="S504" s="174" t="s">
        <v>1568</v>
      </c>
      <c r="T504"/>
    </row>
    <row r="505" spans="1:20">
      <c r="A505" s="167" t="s">
        <v>1043</v>
      </c>
      <c r="B505" s="112" t="s">
        <v>1569</v>
      </c>
      <c r="C505" s="189" t="s">
        <v>1566</v>
      </c>
      <c r="D505" s="178" t="s">
        <v>1073</v>
      </c>
      <c r="E505" s="189" t="s">
        <v>1567</v>
      </c>
      <c r="F505" s="183" t="s">
        <v>1021</v>
      </c>
      <c r="G505" s="171">
        <v>1</v>
      </c>
      <c r="H505" s="8" t="s">
        <v>26</v>
      </c>
      <c r="I505" s="172"/>
      <c r="J505" s="173"/>
      <c r="K505" s="174"/>
      <c r="L505" s="174" t="e">
        <f>VLOOKUP(B505,电搭接情况统计!$B$2:$H$423,7,0)</f>
        <v>#N/A</v>
      </c>
      <c r="M505" s="175"/>
      <c r="N505" s="167"/>
      <c r="O505" s="179"/>
      <c r="P505" s="179"/>
      <c r="Q505" s="179"/>
      <c r="R505" s="179"/>
      <c r="S505" s="174" t="s">
        <v>1568</v>
      </c>
      <c r="T505"/>
    </row>
    <row r="506" spans="1:20">
      <c r="A506" s="167" t="s">
        <v>1043</v>
      </c>
      <c r="B506" s="112" t="s">
        <v>1570</v>
      </c>
      <c r="C506" s="189" t="s">
        <v>1566</v>
      </c>
      <c r="D506" s="178" t="s">
        <v>1075</v>
      </c>
      <c r="E506" s="189" t="s">
        <v>1567</v>
      </c>
      <c r="F506" s="183" t="s">
        <v>1024</v>
      </c>
      <c r="G506" s="171">
        <v>1</v>
      </c>
      <c r="H506" s="8" t="s">
        <v>26</v>
      </c>
      <c r="I506" s="172"/>
      <c r="J506" s="173"/>
      <c r="K506" s="174"/>
      <c r="L506" s="174" t="e">
        <f>VLOOKUP(B506,电搭接情况统计!$B$2:$H$423,7,0)</f>
        <v>#N/A</v>
      </c>
      <c r="M506" s="175"/>
      <c r="N506" s="167"/>
      <c r="O506" s="179"/>
      <c r="P506" s="179"/>
      <c r="Q506" s="179"/>
      <c r="R506" s="179"/>
      <c r="S506" s="174" t="s">
        <v>1568</v>
      </c>
      <c r="T506"/>
    </row>
    <row r="507" spans="1:20">
      <c r="A507" s="167" t="s">
        <v>1043</v>
      </c>
      <c r="B507" s="112" t="s">
        <v>1571</v>
      </c>
      <c r="C507" s="189" t="s">
        <v>1566</v>
      </c>
      <c r="D507" s="178" t="s">
        <v>1077</v>
      </c>
      <c r="E507" s="189" t="s">
        <v>1567</v>
      </c>
      <c r="F507" s="183" t="s">
        <v>1027</v>
      </c>
      <c r="G507" s="171">
        <v>1</v>
      </c>
      <c r="H507" s="8" t="s">
        <v>26</v>
      </c>
      <c r="I507" s="172"/>
      <c r="J507" s="173"/>
      <c r="K507" s="174"/>
      <c r="L507" s="174" t="e">
        <f>VLOOKUP(B507,电搭接情况统计!$B$2:$H$423,7,0)</f>
        <v>#N/A</v>
      </c>
      <c r="M507" s="175"/>
      <c r="N507" s="167"/>
      <c r="O507" s="179"/>
      <c r="P507" s="179"/>
      <c r="Q507" s="179"/>
      <c r="R507" s="179"/>
      <c r="S507" s="174" t="s">
        <v>1568</v>
      </c>
      <c r="T507"/>
    </row>
    <row r="508" spans="1:20">
      <c r="A508" s="167" t="s">
        <v>1043</v>
      </c>
      <c r="B508" s="112" t="s">
        <v>1572</v>
      </c>
      <c r="C508" s="189" t="s">
        <v>1566</v>
      </c>
      <c r="D508" s="178" t="s">
        <v>1079</v>
      </c>
      <c r="E508" s="189" t="s">
        <v>1567</v>
      </c>
      <c r="F508" s="183" t="s">
        <v>1030</v>
      </c>
      <c r="G508" s="171">
        <v>1</v>
      </c>
      <c r="H508" s="8" t="s">
        <v>26</v>
      </c>
      <c r="I508" s="172"/>
      <c r="J508" s="173"/>
      <c r="K508" s="174"/>
      <c r="L508" s="174" t="e">
        <f>VLOOKUP(B508,电搭接情况统计!$B$2:$H$423,7,0)</f>
        <v>#N/A</v>
      </c>
      <c r="M508" s="175"/>
      <c r="N508" s="167"/>
      <c r="O508" s="179"/>
      <c r="P508" s="179"/>
      <c r="Q508" s="179"/>
      <c r="R508" s="179"/>
      <c r="S508" s="174" t="s">
        <v>1568</v>
      </c>
      <c r="T508"/>
    </row>
    <row r="509" spans="1:20">
      <c r="A509" s="167" t="s">
        <v>1043</v>
      </c>
      <c r="B509" s="184" t="s">
        <v>1082</v>
      </c>
      <c r="C509" s="167" t="s">
        <v>1083</v>
      </c>
      <c r="D509" s="178" t="s">
        <v>1084</v>
      </c>
      <c r="E509" s="167"/>
      <c r="F509" s="183" t="s">
        <v>1018</v>
      </c>
      <c r="G509" s="171">
        <v>1</v>
      </c>
      <c r="H509" s="8" t="s">
        <v>26</v>
      </c>
      <c r="I509" s="172"/>
      <c r="J509" s="173"/>
      <c r="K509" s="174"/>
      <c r="L509" s="174"/>
      <c r="M509" s="175"/>
      <c r="N509" s="167"/>
      <c r="O509" s="179"/>
      <c r="P509" s="179"/>
      <c r="Q509" s="179"/>
      <c r="R509" s="179"/>
      <c r="S509" s="13" t="s">
        <v>1085</v>
      </c>
      <c r="T509"/>
    </row>
    <row r="510" spans="1:20">
      <c r="A510" s="167" t="s">
        <v>1043</v>
      </c>
      <c r="B510" s="184" t="s">
        <v>1086</v>
      </c>
      <c r="C510" s="167" t="s">
        <v>1087</v>
      </c>
      <c r="D510" s="178" t="s">
        <v>1088</v>
      </c>
      <c r="E510" s="167"/>
      <c r="F510" s="183" t="s">
        <v>1021</v>
      </c>
      <c r="G510" s="171">
        <v>1</v>
      </c>
      <c r="H510" s="8" t="s">
        <v>26</v>
      </c>
      <c r="I510" s="172"/>
      <c r="J510" s="173"/>
      <c r="K510" s="174"/>
      <c r="L510" s="174"/>
      <c r="M510" s="175"/>
      <c r="N510" s="167"/>
      <c r="O510" s="179"/>
      <c r="P510" s="179"/>
      <c r="Q510" s="179"/>
      <c r="R510" s="179"/>
      <c r="S510" s="13" t="s">
        <v>1085</v>
      </c>
      <c r="T510"/>
    </row>
    <row r="511" spans="1:20">
      <c r="A511" s="167" t="s">
        <v>1043</v>
      </c>
      <c r="B511" s="184" t="s">
        <v>1089</v>
      </c>
      <c r="C511" s="167" t="s">
        <v>1090</v>
      </c>
      <c r="D511" s="178" t="s">
        <v>1091</v>
      </c>
      <c r="E511" s="167"/>
      <c r="F511" s="183" t="s">
        <v>1024</v>
      </c>
      <c r="G511" s="171">
        <v>1</v>
      </c>
      <c r="H511" s="8" t="s">
        <v>26</v>
      </c>
      <c r="I511" s="172"/>
      <c r="J511" s="173"/>
      <c r="K511" s="174"/>
      <c r="L511" s="174"/>
      <c r="M511" s="175"/>
      <c r="N511" s="167"/>
      <c r="O511" s="179"/>
      <c r="P511" s="179"/>
      <c r="Q511" s="179"/>
      <c r="R511" s="179"/>
      <c r="S511" s="13" t="s">
        <v>1085</v>
      </c>
      <c r="T511"/>
    </row>
    <row r="512" spans="1:20">
      <c r="A512" s="167" t="s">
        <v>1043</v>
      </c>
      <c r="B512" s="184" t="s">
        <v>1092</v>
      </c>
      <c r="C512" s="189" t="s">
        <v>1573</v>
      </c>
      <c r="D512" s="178" t="s">
        <v>1094</v>
      </c>
      <c r="E512" s="167"/>
      <c r="F512" s="183" t="s">
        <v>124</v>
      </c>
      <c r="G512" s="171">
        <v>1</v>
      </c>
      <c r="H512" s="8" t="s">
        <v>26</v>
      </c>
      <c r="I512" s="172"/>
      <c r="J512" s="173"/>
      <c r="K512" s="174"/>
      <c r="L512" s="174"/>
      <c r="M512" s="175"/>
      <c r="N512" s="167"/>
      <c r="O512" s="179"/>
      <c r="P512" s="179"/>
      <c r="Q512" s="179"/>
      <c r="R512" s="179"/>
      <c r="S512" s="174" t="s">
        <v>1574</v>
      </c>
      <c r="T512"/>
    </row>
    <row r="513" spans="1:20">
      <c r="A513" s="167" t="s">
        <v>1043</v>
      </c>
      <c r="B513" s="184" t="s">
        <v>1096</v>
      </c>
      <c r="C513" s="167" t="s">
        <v>1097</v>
      </c>
      <c r="D513" s="178" t="s">
        <v>1098</v>
      </c>
      <c r="E513" s="167"/>
      <c r="F513" s="183" t="s">
        <v>1027</v>
      </c>
      <c r="G513" s="171">
        <v>1</v>
      </c>
      <c r="H513" s="8" t="s">
        <v>26</v>
      </c>
      <c r="I513" s="172"/>
      <c r="J513" s="173"/>
      <c r="K513" s="174"/>
      <c r="L513" s="174"/>
      <c r="M513" s="175"/>
      <c r="N513" s="167"/>
      <c r="O513" s="179"/>
      <c r="P513" s="179"/>
      <c r="Q513" s="179"/>
      <c r="R513" s="179"/>
      <c r="S513" s="13" t="s">
        <v>1085</v>
      </c>
      <c r="T513"/>
    </row>
    <row r="514" spans="1:20">
      <c r="A514" s="167" t="s">
        <v>1043</v>
      </c>
      <c r="B514" s="184" t="s">
        <v>1099</v>
      </c>
      <c r="C514" s="167" t="s">
        <v>1100</v>
      </c>
      <c r="D514" s="178" t="s">
        <v>1101</v>
      </c>
      <c r="E514" s="167"/>
      <c r="F514" s="183" t="s">
        <v>1030</v>
      </c>
      <c r="G514" s="171">
        <v>1</v>
      </c>
      <c r="H514" s="8" t="s">
        <v>26</v>
      </c>
      <c r="I514" s="172"/>
      <c r="J514" s="173"/>
      <c r="K514" s="174"/>
      <c r="L514" s="174"/>
      <c r="M514" s="175"/>
      <c r="N514" s="167"/>
      <c r="O514" s="179"/>
      <c r="P514" s="179"/>
      <c r="Q514" s="179"/>
      <c r="R514" s="179"/>
      <c r="S514" s="13" t="s">
        <v>1085</v>
      </c>
      <c r="T514"/>
    </row>
    <row r="515" spans="1:20">
      <c r="A515" s="167" t="s">
        <v>1043</v>
      </c>
      <c r="B515" s="184" t="s">
        <v>1102</v>
      </c>
      <c r="C515" s="167" t="s">
        <v>1103</v>
      </c>
      <c r="D515" s="178" t="s">
        <v>1104</v>
      </c>
      <c r="E515" s="189" t="s">
        <v>1575</v>
      </c>
      <c r="F515" s="183" t="s">
        <v>1047</v>
      </c>
      <c r="G515" s="171">
        <v>1</v>
      </c>
      <c r="H515" s="8" t="s">
        <v>26</v>
      </c>
      <c r="I515" s="172"/>
      <c r="J515" s="173"/>
      <c r="K515" s="174"/>
      <c r="L515" s="174"/>
      <c r="M515" s="175"/>
      <c r="N515" s="167"/>
      <c r="O515" s="179"/>
      <c r="P515" s="179"/>
      <c r="Q515" s="179"/>
      <c r="R515" s="179"/>
      <c r="S515" s="13" t="s">
        <v>27</v>
      </c>
      <c r="T515"/>
    </row>
    <row r="516" spans="1:20">
      <c r="A516" s="167" t="s">
        <v>1043</v>
      </c>
      <c r="B516" s="184" t="s">
        <v>1105</v>
      </c>
      <c r="C516" s="167" t="s">
        <v>1103</v>
      </c>
      <c r="D516" s="178" t="s">
        <v>1106</v>
      </c>
      <c r="E516" s="189" t="s">
        <v>1575</v>
      </c>
      <c r="F516" s="183" t="s">
        <v>1050</v>
      </c>
      <c r="G516" s="171">
        <v>1</v>
      </c>
      <c r="H516" s="8" t="s">
        <v>26</v>
      </c>
      <c r="I516" s="172"/>
      <c r="J516" s="173"/>
      <c r="K516" s="174"/>
      <c r="L516" s="174"/>
      <c r="M516" s="175"/>
      <c r="N516" s="167"/>
      <c r="O516" s="179"/>
      <c r="P516" s="179"/>
      <c r="Q516" s="179"/>
      <c r="R516" s="179"/>
      <c r="S516" s="13" t="s">
        <v>27</v>
      </c>
      <c r="T516"/>
    </row>
    <row r="517" spans="1:20">
      <c r="A517" s="167" t="s">
        <v>1043</v>
      </c>
      <c r="B517" s="184" t="s">
        <v>1107</v>
      </c>
      <c r="C517" s="167" t="s">
        <v>1103</v>
      </c>
      <c r="D517" s="178" t="s">
        <v>1108</v>
      </c>
      <c r="E517" s="189" t="s">
        <v>1575</v>
      </c>
      <c r="F517" s="183" t="s">
        <v>1053</v>
      </c>
      <c r="G517" s="171">
        <v>1</v>
      </c>
      <c r="H517" s="8" t="s">
        <v>26</v>
      </c>
      <c r="I517" s="172"/>
      <c r="J517" s="173"/>
      <c r="K517" s="174"/>
      <c r="L517" s="174"/>
      <c r="M517" s="175"/>
      <c r="N517" s="167"/>
      <c r="O517" s="179"/>
      <c r="P517" s="179"/>
      <c r="Q517" s="179"/>
      <c r="R517" s="179"/>
      <c r="S517" s="13" t="s">
        <v>27</v>
      </c>
      <c r="T517"/>
    </row>
    <row r="518" spans="1:20">
      <c r="A518" s="167" t="s">
        <v>1043</v>
      </c>
      <c r="B518" s="184" t="s">
        <v>1109</v>
      </c>
      <c r="C518" s="167" t="s">
        <v>1103</v>
      </c>
      <c r="D518" s="178" t="s">
        <v>1110</v>
      </c>
      <c r="E518" s="189" t="s">
        <v>1575</v>
      </c>
      <c r="F518" s="183" t="s">
        <v>1056</v>
      </c>
      <c r="G518" s="171">
        <v>1</v>
      </c>
      <c r="H518" s="8" t="s">
        <v>26</v>
      </c>
      <c r="I518" s="172"/>
      <c r="J518" s="173"/>
      <c r="K518" s="174"/>
      <c r="L518" s="174"/>
      <c r="M518" s="175"/>
      <c r="N518" s="167"/>
      <c r="O518" s="179"/>
      <c r="P518" s="179"/>
      <c r="Q518" s="179"/>
      <c r="R518" s="179"/>
      <c r="S518" s="13" t="s">
        <v>27</v>
      </c>
      <c r="T518"/>
    </row>
    <row r="519" spans="1:20">
      <c r="A519" s="167" t="s">
        <v>1043</v>
      </c>
      <c r="B519" s="184" t="s">
        <v>1111</v>
      </c>
      <c r="C519" s="167" t="s">
        <v>1103</v>
      </c>
      <c r="D519" s="178" t="s">
        <v>1112</v>
      </c>
      <c r="E519" s="189" t="s">
        <v>1575</v>
      </c>
      <c r="F519" s="183" t="s">
        <v>1047</v>
      </c>
      <c r="G519" s="171">
        <v>1</v>
      </c>
      <c r="H519" s="8" t="s">
        <v>26</v>
      </c>
      <c r="I519" s="172"/>
      <c r="J519" s="173"/>
      <c r="K519" s="174"/>
      <c r="L519" s="174"/>
      <c r="M519" s="175"/>
      <c r="N519" s="167"/>
      <c r="O519" s="179"/>
      <c r="P519" s="179"/>
      <c r="Q519" s="179"/>
      <c r="R519" s="179"/>
      <c r="S519" s="13" t="s">
        <v>27</v>
      </c>
      <c r="T519"/>
    </row>
    <row r="520" spans="1:20">
      <c r="A520" s="167" t="s">
        <v>1043</v>
      </c>
      <c r="B520" s="184" t="s">
        <v>1113</v>
      </c>
      <c r="C520" s="167" t="s">
        <v>1103</v>
      </c>
      <c r="D520" s="178" t="s">
        <v>1114</v>
      </c>
      <c r="E520" s="189" t="s">
        <v>1575</v>
      </c>
      <c r="F520" s="183" t="s">
        <v>1050</v>
      </c>
      <c r="G520" s="171">
        <v>1</v>
      </c>
      <c r="H520" s="8" t="s">
        <v>26</v>
      </c>
      <c r="I520" s="172"/>
      <c r="J520" s="173"/>
      <c r="K520" s="174"/>
      <c r="L520" s="174"/>
      <c r="M520" s="175"/>
      <c r="N520" s="167"/>
      <c r="O520" s="179"/>
      <c r="P520" s="179"/>
      <c r="Q520" s="179"/>
      <c r="R520" s="179"/>
      <c r="S520" s="13" t="s">
        <v>27</v>
      </c>
      <c r="T520"/>
    </row>
    <row r="521" spans="1:20">
      <c r="A521" s="167" t="s">
        <v>1043</v>
      </c>
      <c r="B521" s="184" t="s">
        <v>1115</v>
      </c>
      <c r="C521" s="167" t="s">
        <v>1103</v>
      </c>
      <c r="D521" s="178" t="s">
        <v>1116</v>
      </c>
      <c r="E521" s="189" t="s">
        <v>1575</v>
      </c>
      <c r="F521" s="183" t="s">
        <v>1053</v>
      </c>
      <c r="G521" s="171">
        <v>1</v>
      </c>
      <c r="H521" s="8" t="s">
        <v>26</v>
      </c>
      <c r="I521" s="172"/>
      <c r="J521" s="173"/>
      <c r="K521" s="174"/>
      <c r="L521" s="174"/>
      <c r="M521" s="175"/>
      <c r="N521" s="167"/>
      <c r="O521" s="179"/>
      <c r="P521" s="179"/>
      <c r="Q521" s="179"/>
      <c r="R521" s="179"/>
      <c r="S521" s="13" t="s">
        <v>27</v>
      </c>
      <c r="T521"/>
    </row>
    <row r="522" spans="1:20">
      <c r="A522" s="167" t="s">
        <v>1043</v>
      </c>
      <c r="B522" s="184" t="s">
        <v>1117</v>
      </c>
      <c r="C522" s="167" t="s">
        <v>1103</v>
      </c>
      <c r="D522" s="178" t="s">
        <v>1118</v>
      </c>
      <c r="E522" s="189" t="s">
        <v>1575</v>
      </c>
      <c r="F522" s="183" t="s">
        <v>1056</v>
      </c>
      <c r="G522" s="171">
        <v>1</v>
      </c>
      <c r="H522" s="8" t="s">
        <v>26</v>
      </c>
      <c r="I522" s="172"/>
      <c r="J522" s="173"/>
      <c r="K522" s="174"/>
      <c r="L522" s="174"/>
      <c r="M522" s="175"/>
      <c r="N522" s="167"/>
      <c r="O522" s="179"/>
      <c r="P522" s="179"/>
      <c r="Q522" s="179"/>
      <c r="R522" s="179"/>
      <c r="S522" s="13" t="s">
        <v>27</v>
      </c>
      <c r="T522"/>
    </row>
    <row r="523" spans="1:20">
      <c r="A523" s="167" t="s">
        <v>1043</v>
      </c>
      <c r="B523" s="184" t="s">
        <v>1119</v>
      </c>
      <c r="C523" s="167" t="s">
        <v>1120</v>
      </c>
      <c r="D523" s="178" t="s">
        <v>1121</v>
      </c>
      <c r="E523" s="189" t="s">
        <v>1575</v>
      </c>
      <c r="F523" s="183" t="s">
        <v>1059</v>
      </c>
      <c r="G523" s="171">
        <v>1</v>
      </c>
      <c r="H523" s="8" t="s">
        <v>26</v>
      </c>
      <c r="I523" s="172"/>
      <c r="J523" s="173"/>
      <c r="K523" s="174"/>
      <c r="L523" s="174"/>
      <c r="M523" s="175"/>
      <c r="N523" s="167"/>
      <c r="O523" s="179"/>
      <c r="P523" s="179"/>
      <c r="Q523" s="179"/>
      <c r="R523" s="179"/>
      <c r="S523" s="13" t="s">
        <v>27</v>
      </c>
      <c r="T523"/>
    </row>
    <row r="524" spans="1:20">
      <c r="A524" s="167" t="s">
        <v>1043</v>
      </c>
      <c r="B524" s="184" t="s">
        <v>1122</v>
      </c>
      <c r="C524" s="167" t="s">
        <v>1123</v>
      </c>
      <c r="D524" s="178" t="s">
        <v>1124</v>
      </c>
      <c r="E524" s="189" t="s">
        <v>1575</v>
      </c>
      <c r="F524" s="183" t="s">
        <v>1059</v>
      </c>
      <c r="G524" s="171">
        <v>1</v>
      </c>
      <c r="H524" s="8" t="s">
        <v>26</v>
      </c>
      <c r="I524" s="172"/>
      <c r="J524" s="173"/>
      <c r="K524" s="174"/>
      <c r="L524" s="174"/>
      <c r="M524" s="175"/>
      <c r="N524" s="167"/>
      <c r="O524" s="179"/>
      <c r="P524" s="179"/>
      <c r="Q524" s="179"/>
      <c r="R524" s="179"/>
      <c r="S524" s="13" t="s">
        <v>27</v>
      </c>
      <c r="T524"/>
    </row>
    <row r="525" spans="1:20">
      <c r="A525" s="167" t="s">
        <v>1043</v>
      </c>
      <c r="B525" s="184" t="s">
        <v>1125</v>
      </c>
      <c r="C525" s="167" t="s">
        <v>1126</v>
      </c>
      <c r="D525" s="178" t="s">
        <v>1127</v>
      </c>
      <c r="E525" s="189" t="s">
        <v>1576</v>
      </c>
      <c r="F525" s="183" t="s">
        <v>1050</v>
      </c>
      <c r="G525" s="171">
        <v>1</v>
      </c>
      <c r="H525" s="8" t="s">
        <v>26</v>
      </c>
      <c r="I525" s="172"/>
      <c r="J525" s="173"/>
      <c r="K525" s="174"/>
      <c r="L525" s="174"/>
      <c r="M525" s="175"/>
      <c r="N525" s="167"/>
      <c r="O525" s="179"/>
      <c r="P525" s="179"/>
      <c r="Q525" s="179"/>
      <c r="R525" s="179"/>
      <c r="S525" s="13" t="s">
        <v>27</v>
      </c>
      <c r="T525"/>
    </row>
    <row r="526" spans="1:20">
      <c r="A526" s="167" t="s">
        <v>1043</v>
      </c>
      <c r="B526" s="184" t="s">
        <v>1128</v>
      </c>
      <c r="C526" s="167" t="s">
        <v>1126</v>
      </c>
      <c r="D526" s="178" t="s">
        <v>1129</v>
      </c>
      <c r="E526" s="189" t="s">
        <v>1576</v>
      </c>
      <c r="F526" s="183" t="s">
        <v>1053</v>
      </c>
      <c r="G526" s="171">
        <v>1</v>
      </c>
      <c r="H526" s="8" t="s">
        <v>26</v>
      </c>
      <c r="I526" s="172"/>
      <c r="J526" s="173"/>
      <c r="K526" s="174"/>
      <c r="L526" s="174"/>
      <c r="M526" s="175"/>
      <c r="N526" s="167"/>
      <c r="O526" s="179"/>
      <c r="P526" s="179"/>
      <c r="Q526" s="179"/>
      <c r="R526" s="179"/>
      <c r="S526" s="13" t="s">
        <v>27</v>
      </c>
      <c r="T526"/>
    </row>
    <row r="527" spans="1:20">
      <c r="A527" s="167" t="s">
        <v>1043</v>
      </c>
      <c r="B527" s="184" t="s">
        <v>1130</v>
      </c>
      <c r="C527" s="167" t="s">
        <v>1126</v>
      </c>
      <c r="D527" s="178" t="s">
        <v>1131</v>
      </c>
      <c r="E527" s="189" t="s">
        <v>1576</v>
      </c>
      <c r="F527" s="183" t="s">
        <v>1056</v>
      </c>
      <c r="G527" s="171">
        <v>1</v>
      </c>
      <c r="H527" s="8" t="s">
        <v>26</v>
      </c>
      <c r="I527" s="172"/>
      <c r="J527" s="173"/>
      <c r="K527" s="174"/>
      <c r="L527" s="174"/>
      <c r="M527" s="175"/>
      <c r="N527" s="167"/>
      <c r="O527" s="179"/>
      <c r="P527" s="179"/>
      <c r="Q527" s="179"/>
      <c r="R527" s="179"/>
      <c r="S527" s="13" t="s">
        <v>27</v>
      </c>
      <c r="T527"/>
    </row>
    <row r="528" spans="1:20">
      <c r="A528" s="167" t="s">
        <v>1043</v>
      </c>
      <c r="B528" s="184" t="s">
        <v>1132</v>
      </c>
      <c r="C528" s="167" t="s">
        <v>1133</v>
      </c>
      <c r="D528" s="178" t="s">
        <v>1134</v>
      </c>
      <c r="E528" s="189" t="s">
        <v>1576</v>
      </c>
      <c r="F528" s="183" t="s">
        <v>1050</v>
      </c>
      <c r="G528" s="171">
        <v>1</v>
      </c>
      <c r="H528" s="8" t="s">
        <v>26</v>
      </c>
      <c r="I528" s="172"/>
      <c r="J528" s="173"/>
      <c r="K528" s="174"/>
      <c r="L528" s="174"/>
      <c r="M528" s="175"/>
      <c r="N528" s="167"/>
      <c r="O528" s="179"/>
      <c r="P528" s="179"/>
      <c r="Q528" s="179"/>
      <c r="R528" s="179"/>
      <c r="S528" s="13" t="s">
        <v>27</v>
      </c>
      <c r="T528"/>
    </row>
    <row r="529" spans="1:20">
      <c r="A529" s="167" t="s">
        <v>1043</v>
      </c>
      <c r="B529" s="184" t="s">
        <v>1135</v>
      </c>
      <c r="C529" s="167" t="s">
        <v>1133</v>
      </c>
      <c r="D529" s="178" t="s">
        <v>1136</v>
      </c>
      <c r="E529" s="189" t="s">
        <v>1576</v>
      </c>
      <c r="F529" s="183" t="s">
        <v>1053</v>
      </c>
      <c r="G529" s="171">
        <v>1</v>
      </c>
      <c r="H529" s="8" t="s">
        <v>26</v>
      </c>
      <c r="I529" s="172"/>
      <c r="J529" s="173"/>
      <c r="K529" s="174"/>
      <c r="L529" s="174"/>
      <c r="M529" s="175"/>
      <c r="N529" s="167"/>
      <c r="O529" s="179"/>
      <c r="P529" s="179"/>
      <c r="Q529" s="179"/>
      <c r="R529" s="179"/>
      <c r="S529" s="13" t="s">
        <v>27</v>
      </c>
      <c r="T529"/>
    </row>
    <row r="530" spans="1:20">
      <c r="A530" s="167" t="s">
        <v>1043</v>
      </c>
      <c r="B530" s="184" t="s">
        <v>1137</v>
      </c>
      <c r="C530" s="167" t="s">
        <v>1133</v>
      </c>
      <c r="D530" s="178" t="s">
        <v>1138</v>
      </c>
      <c r="E530" s="189" t="s">
        <v>1576</v>
      </c>
      <c r="F530" s="183" t="s">
        <v>1056</v>
      </c>
      <c r="G530" s="171">
        <v>1</v>
      </c>
      <c r="H530" s="8" t="s">
        <v>26</v>
      </c>
      <c r="I530" s="172"/>
      <c r="J530" s="173"/>
      <c r="K530" s="174"/>
      <c r="L530" s="174"/>
      <c r="M530" s="175"/>
      <c r="N530" s="167"/>
      <c r="O530" s="179"/>
      <c r="P530" s="179"/>
      <c r="Q530" s="179"/>
      <c r="R530" s="179"/>
      <c r="S530" s="13" t="s">
        <v>27</v>
      </c>
      <c r="T530"/>
    </row>
    <row r="531" spans="1:20">
      <c r="A531" s="167" t="s">
        <v>1043</v>
      </c>
      <c r="B531" s="184" t="s">
        <v>1139</v>
      </c>
      <c r="C531" s="167" t="s">
        <v>1140</v>
      </c>
      <c r="D531" s="178" t="s">
        <v>1141</v>
      </c>
      <c r="E531" s="189" t="s">
        <v>1576</v>
      </c>
      <c r="F531" s="183" t="s">
        <v>1047</v>
      </c>
      <c r="G531" s="171">
        <v>1</v>
      </c>
      <c r="H531" s="8" t="s">
        <v>26</v>
      </c>
      <c r="I531" s="172"/>
      <c r="J531" s="173"/>
      <c r="K531" s="174"/>
      <c r="L531" s="174"/>
      <c r="M531" s="175"/>
      <c r="N531" s="167"/>
      <c r="O531" s="179"/>
      <c r="P531" s="179"/>
      <c r="Q531" s="179"/>
      <c r="R531" s="179"/>
      <c r="S531" s="13" t="s">
        <v>27</v>
      </c>
      <c r="T531"/>
    </row>
    <row r="532" spans="1:20">
      <c r="A532" s="167" t="s">
        <v>1043</v>
      </c>
      <c r="B532" s="184" t="s">
        <v>1142</v>
      </c>
      <c r="C532" s="167" t="s">
        <v>1143</v>
      </c>
      <c r="D532" s="178" t="s">
        <v>1144</v>
      </c>
      <c r="E532" s="189" t="s">
        <v>1576</v>
      </c>
      <c r="F532" s="183" t="s">
        <v>1047</v>
      </c>
      <c r="G532" s="171">
        <v>1</v>
      </c>
      <c r="H532" s="8" t="s">
        <v>26</v>
      </c>
      <c r="I532" s="172"/>
      <c r="J532" s="173"/>
      <c r="K532" s="174"/>
      <c r="L532" s="174"/>
      <c r="M532" s="175"/>
      <c r="N532" s="167"/>
      <c r="O532" s="179"/>
      <c r="P532" s="179"/>
      <c r="Q532" s="179"/>
      <c r="R532" s="179"/>
      <c r="S532" s="13" t="s">
        <v>27</v>
      </c>
      <c r="T532"/>
    </row>
    <row r="533" spans="1:20">
      <c r="A533" s="167" t="s">
        <v>1043</v>
      </c>
      <c r="B533" s="184" t="s">
        <v>1145</v>
      </c>
      <c r="C533" s="167" t="s">
        <v>1146</v>
      </c>
      <c r="D533" s="178" t="s">
        <v>1147</v>
      </c>
      <c r="E533" s="189" t="s">
        <v>1576</v>
      </c>
      <c r="F533" s="183" t="s">
        <v>1059</v>
      </c>
      <c r="G533" s="171">
        <v>1</v>
      </c>
      <c r="H533" s="8" t="s">
        <v>26</v>
      </c>
      <c r="I533" s="172"/>
      <c r="J533" s="173"/>
      <c r="K533" s="174"/>
      <c r="L533" s="174"/>
      <c r="M533" s="175"/>
      <c r="N533" s="167"/>
      <c r="O533" s="179"/>
      <c r="P533" s="179"/>
      <c r="Q533" s="179"/>
      <c r="R533" s="179"/>
      <c r="S533" s="13" t="s">
        <v>27</v>
      </c>
      <c r="T533"/>
    </row>
    <row r="534" spans="1:20">
      <c r="A534" s="167" t="s">
        <v>1043</v>
      </c>
      <c r="B534" s="184" t="s">
        <v>1148</v>
      </c>
      <c r="C534" s="167" t="s">
        <v>1149</v>
      </c>
      <c r="D534" s="178" t="s">
        <v>1150</v>
      </c>
      <c r="E534" s="189" t="s">
        <v>1576</v>
      </c>
      <c r="F534" s="183" t="s">
        <v>1059</v>
      </c>
      <c r="G534" s="171">
        <v>1</v>
      </c>
      <c r="H534" s="8" t="s">
        <v>26</v>
      </c>
      <c r="I534" s="172"/>
      <c r="J534" s="173"/>
      <c r="K534" s="174"/>
      <c r="L534" s="174"/>
      <c r="M534" s="175"/>
      <c r="N534" s="167"/>
      <c r="O534" s="179"/>
      <c r="P534" s="179"/>
      <c r="Q534" s="179"/>
      <c r="R534" s="179"/>
      <c r="S534" s="13" t="s">
        <v>27</v>
      </c>
      <c r="T534"/>
    </row>
    <row r="535" spans="1:20">
      <c r="A535" s="167" t="s">
        <v>1043</v>
      </c>
      <c r="B535" s="184" t="s">
        <v>1151</v>
      </c>
      <c r="C535" s="167" t="s">
        <v>1152</v>
      </c>
      <c r="D535" s="178" t="s">
        <v>1153</v>
      </c>
      <c r="E535" s="189" t="s">
        <v>1577</v>
      </c>
      <c r="F535" s="183" t="s">
        <v>1047</v>
      </c>
      <c r="G535" s="171">
        <v>1</v>
      </c>
      <c r="H535" s="8" t="s">
        <v>26</v>
      </c>
      <c r="I535" s="172"/>
      <c r="J535" s="173"/>
      <c r="K535" s="174"/>
      <c r="L535" s="174"/>
      <c r="M535" s="175"/>
      <c r="N535" s="167"/>
      <c r="O535" s="179"/>
      <c r="P535" s="179"/>
      <c r="Q535" s="179"/>
      <c r="R535" s="179"/>
      <c r="S535" s="13" t="s">
        <v>27</v>
      </c>
      <c r="T535"/>
    </row>
    <row r="536" spans="1:20">
      <c r="A536" s="167" t="s">
        <v>1043</v>
      </c>
      <c r="B536" s="184" t="s">
        <v>1154</v>
      </c>
      <c r="C536" s="167" t="s">
        <v>1152</v>
      </c>
      <c r="D536" s="178" t="s">
        <v>1155</v>
      </c>
      <c r="E536" s="189" t="s">
        <v>1577</v>
      </c>
      <c r="F536" s="183" t="s">
        <v>1050</v>
      </c>
      <c r="G536" s="171">
        <v>1</v>
      </c>
      <c r="H536" s="8" t="s">
        <v>26</v>
      </c>
      <c r="I536" s="172"/>
      <c r="J536" s="173"/>
      <c r="K536" s="174"/>
      <c r="L536" s="174"/>
      <c r="M536" s="175"/>
      <c r="N536" s="167"/>
      <c r="O536" s="179"/>
      <c r="P536" s="179"/>
      <c r="Q536" s="179"/>
      <c r="R536" s="179"/>
      <c r="S536" s="13" t="s">
        <v>27</v>
      </c>
      <c r="T536"/>
    </row>
    <row r="537" spans="1:20">
      <c r="A537" s="167" t="s">
        <v>1043</v>
      </c>
      <c r="B537" s="184" t="s">
        <v>1156</v>
      </c>
      <c r="C537" s="167" t="s">
        <v>1152</v>
      </c>
      <c r="D537" s="178" t="s">
        <v>1157</v>
      </c>
      <c r="E537" s="189" t="s">
        <v>1577</v>
      </c>
      <c r="F537" s="183" t="s">
        <v>1053</v>
      </c>
      <c r="G537" s="171">
        <v>1</v>
      </c>
      <c r="H537" s="8" t="s">
        <v>26</v>
      </c>
      <c r="I537" s="172"/>
      <c r="J537" s="173"/>
      <c r="K537" s="174"/>
      <c r="L537" s="174"/>
      <c r="M537" s="175"/>
      <c r="N537" s="167"/>
      <c r="O537" s="179"/>
      <c r="P537" s="179"/>
      <c r="Q537" s="179"/>
      <c r="R537" s="179"/>
      <c r="S537" s="13" t="s">
        <v>27</v>
      </c>
      <c r="T537"/>
    </row>
    <row r="538" spans="1:20">
      <c r="A538" s="167" t="s">
        <v>1043</v>
      </c>
      <c r="B538" s="184" t="s">
        <v>1158</v>
      </c>
      <c r="C538" s="167" t="s">
        <v>1152</v>
      </c>
      <c r="D538" s="178" t="s">
        <v>1159</v>
      </c>
      <c r="E538" s="189" t="s">
        <v>1577</v>
      </c>
      <c r="F538" s="183" t="s">
        <v>1056</v>
      </c>
      <c r="G538" s="171">
        <v>1</v>
      </c>
      <c r="H538" s="8" t="s">
        <v>26</v>
      </c>
      <c r="I538" s="172"/>
      <c r="J538" s="173"/>
      <c r="K538" s="174"/>
      <c r="L538" s="174"/>
      <c r="M538" s="175"/>
      <c r="N538" s="167"/>
      <c r="O538" s="179"/>
      <c r="P538" s="179"/>
      <c r="Q538" s="179"/>
      <c r="R538" s="179"/>
      <c r="S538" s="13" t="s">
        <v>27</v>
      </c>
      <c r="T538"/>
    </row>
    <row r="539" spans="1:20">
      <c r="A539" s="167" t="s">
        <v>1043</v>
      </c>
      <c r="B539" s="184" t="s">
        <v>1160</v>
      </c>
      <c r="C539" s="167" t="s">
        <v>1152</v>
      </c>
      <c r="D539" s="178" t="s">
        <v>1161</v>
      </c>
      <c r="E539" s="189" t="s">
        <v>1577</v>
      </c>
      <c r="F539" s="183" t="s">
        <v>1059</v>
      </c>
      <c r="G539" s="171">
        <v>1</v>
      </c>
      <c r="H539" s="8" t="s">
        <v>26</v>
      </c>
      <c r="I539" s="172"/>
      <c r="J539" s="173"/>
      <c r="K539" s="174"/>
      <c r="L539" s="174"/>
      <c r="M539" s="175"/>
      <c r="N539" s="167"/>
      <c r="O539" s="179"/>
      <c r="P539" s="179"/>
      <c r="Q539" s="179"/>
      <c r="R539" s="179"/>
      <c r="S539" s="13" t="s">
        <v>27</v>
      </c>
      <c r="T539"/>
    </row>
    <row r="540" spans="1:20">
      <c r="A540" s="167" t="s">
        <v>1043</v>
      </c>
      <c r="B540" s="184" t="s">
        <v>1162</v>
      </c>
      <c r="C540" s="167" t="s">
        <v>1152</v>
      </c>
      <c r="D540" s="178" t="s">
        <v>1163</v>
      </c>
      <c r="E540" s="189" t="s">
        <v>1577</v>
      </c>
      <c r="F540" s="183" t="s">
        <v>1047</v>
      </c>
      <c r="G540" s="171">
        <v>1</v>
      </c>
      <c r="H540" s="8" t="s">
        <v>26</v>
      </c>
      <c r="I540" s="172"/>
      <c r="J540" s="173"/>
      <c r="K540" s="174"/>
      <c r="L540" s="174"/>
      <c r="M540" s="175"/>
      <c r="N540" s="167"/>
      <c r="O540" s="179"/>
      <c r="P540" s="179"/>
      <c r="Q540" s="179"/>
      <c r="R540" s="179"/>
      <c r="S540" s="13" t="s">
        <v>27</v>
      </c>
      <c r="T540"/>
    </row>
    <row r="541" spans="1:20">
      <c r="A541" s="167" t="s">
        <v>1043</v>
      </c>
      <c r="B541" s="184" t="s">
        <v>1164</v>
      </c>
      <c r="C541" s="167" t="s">
        <v>1152</v>
      </c>
      <c r="D541" s="178" t="s">
        <v>1165</v>
      </c>
      <c r="E541" s="189" t="s">
        <v>1577</v>
      </c>
      <c r="F541" s="183" t="s">
        <v>1050</v>
      </c>
      <c r="G541" s="171">
        <v>1</v>
      </c>
      <c r="H541" s="8" t="s">
        <v>26</v>
      </c>
      <c r="I541" s="172"/>
      <c r="J541" s="173"/>
      <c r="K541" s="174"/>
      <c r="L541" s="174"/>
      <c r="M541" s="175"/>
      <c r="N541" s="167"/>
      <c r="O541" s="179"/>
      <c r="P541" s="179"/>
      <c r="Q541" s="179"/>
      <c r="R541" s="179"/>
      <c r="S541" s="13" t="s">
        <v>27</v>
      </c>
      <c r="T541"/>
    </row>
    <row r="542" spans="1:20">
      <c r="A542" s="167" t="s">
        <v>1043</v>
      </c>
      <c r="B542" s="184" t="s">
        <v>1166</v>
      </c>
      <c r="C542" s="167" t="s">
        <v>1152</v>
      </c>
      <c r="D542" s="178" t="s">
        <v>1167</v>
      </c>
      <c r="E542" s="189" t="s">
        <v>1577</v>
      </c>
      <c r="F542" s="183" t="s">
        <v>1053</v>
      </c>
      <c r="G542" s="171">
        <v>1</v>
      </c>
      <c r="H542" s="8" t="s">
        <v>26</v>
      </c>
      <c r="I542" s="172"/>
      <c r="J542" s="173"/>
      <c r="K542" s="174"/>
      <c r="L542" s="174"/>
      <c r="M542" s="175"/>
      <c r="N542" s="167"/>
      <c r="O542" s="179"/>
      <c r="P542" s="179"/>
      <c r="Q542" s="179"/>
      <c r="R542" s="179"/>
      <c r="S542" s="13" t="s">
        <v>27</v>
      </c>
      <c r="T542"/>
    </row>
    <row r="543" spans="1:20">
      <c r="A543" s="167" t="s">
        <v>1043</v>
      </c>
      <c r="B543" s="184" t="s">
        <v>1168</v>
      </c>
      <c r="C543" s="167" t="s">
        <v>1152</v>
      </c>
      <c r="D543" s="178" t="s">
        <v>1169</v>
      </c>
      <c r="E543" s="189" t="s">
        <v>1577</v>
      </c>
      <c r="F543" s="183" t="s">
        <v>1056</v>
      </c>
      <c r="G543" s="171">
        <v>1</v>
      </c>
      <c r="H543" s="8" t="s">
        <v>26</v>
      </c>
      <c r="I543" s="172"/>
      <c r="J543" s="173"/>
      <c r="K543" s="174"/>
      <c r="L543" s="174"/>
      <c r="M543" s="175"/>
      <c r="N543" s="167"/>
      <c r="O543" s="179"/>
      <c r="P543" s="179"/>
      <c r="Q543" s="179"/>
      <c r="R543" s="179"/>
      <c r="S543" s="13" t="s">
        <v>27</v>
      </c>
      <c r="T543"/>
    </row>
    <row r="544" spans="1:20">
      <c r="A544" s="167" t="s">
        <v>1043</v>
      </c>
      <c r="B544" s="184" t="s">
        <v>1170</v>
      </c>
      <c r="C544" s="167" t="s">
        <v>1152</v>
      </c>
      <c r="D544" s="178" t="s">
        <v>1171</v>
      </c>
      <c r="E544" s="189" t="s">
        <v>1577</v>
      </c>
      <c r="F544" s="183" t="s">
        <v>1059</v>
      </c>
      <c r="G544" s="171">
        <v>1</v>
      </c>
      <c r="H544" s="8" t="s">
        <v>26</v>
      </c>
      <c r="I544" s="172"/>
      <c r="J544" s="173"/>
      <c r="K544" s="174"/>
      <c r="L544" s="174"/>
      <c r="M544" s="175"/>
      <c r="N544" s="167"/>
      <c r="O544" s="179"/>
      <c r="P544" s="179"/>
      <c r="Q544" s="179"/>
      <c r="R544" s="179"/>
      <c r="S544" s="13" t="s">
        <v>27</v>
      </c>
      <c r="T544"/>
    </row>
    <row r="545" spans="1:20">
      <c r="A545" s="167" t="s">
        <v>1043</v>
      </c>
      <c r="B545" s="184" t="s">
        <v>1172</v>
      </c>
      <c r="C545" s="167" t="s">
        <v>1173</v>
      </c>
      <c r="D545" s="178" t="s">
        <v>1174</v>
      </c>
      <c r="E545" s="189" t="s">
        <v>1578</v>
      </c>
      <c r="F545" s="183" t="s">
        <v>1047</v>
      </c>
      <c r="G545" s="171">
        <v>1</v>
      </c>
      <c r="H545" s="8" t="s">
        <v>26</v>
      </c>
      <c r="I545" s="172"/>
      <c r="J545" s="173"/>
      <c r="K545" s="174"/>
      <c r="L545" s="174"/>
      <c r="M545" s="175"/>
      <c r="N545" s="167"/>
      <c r="O545" s="179"/>
      <c r="P545" s="179"/>
      <c r="Q545" s="179"/>
      <c r="R545" s="179"/>
      <c r="S545" s="13" t="s">
        <v>27</v>
      </c>
      <c r="T545"/>
    </row>
    <row r="546" spans="1:20">
      <c r="A546" s="167" t="s">
        <v>1043</v>
      </c>
      <c r="B546" s="184" t="s">
        <v>1175</v>
      </c>
      <c r="C546" s="167" t="s">
        <v>1173</v>
      </c>
      <c r="D546" s="178" t="s">
        <v>1176</v>
      </c>
      <c r="E546" s="189" t="s">
        <v>1578</v>
      </c>
      <c r="F546" s="183" t="s">
        <v>1050</v>
      </c>
      <c r="G546" s="171">
        <v>1</v>
      </c>
      <c r="H546" s="8" t="s">
        <v>26</v>
      </c>
      <c r="I546" s="172"/>
      <c r="J546" s="173"/>
      <c r="K546" s="174"/>
      <c r="L546" s="174"/>
      <c r="M546" s="175"/>
      <c r="N546" s="167"/>
      <c r="O546" s="179"/>
      <c r="P546" s="179"/>
      <c r="Q546" s="179"/>
      <c r="R546" s="179"/>
      <c r="S546" s="13" t="s">
        <v>27</v>
      </c>
      <c r="T546"/>
    </row>
    <row r="547" spans="1:20">
      <c r="A547" s="167" t="s">
        <v>1043</v>
      </c>
      <c r="B547" s="184" t="s">
        <v>1177</v>
      </c>
      <c r="C547" s="167" t="s">
        <v>1173</v>
      </c>
      <c r="D547" s="178" t="s">
        <v>1178</v>
      </c>
      <c r="E547" s="189" t="s">
        <v>1578</v>
      </c>
      <c r="F547" s="183" t="s">
        <v>1053</v>
      </c>
      <c r="G547" s="171">
        <v>1</v>
      </c>
      <c r="H547" s="8" t="s">
        <v>26</v>
      </c>
      <c r="I547" s="172"/>
      <c r="J547" s="173"/>
      <c r="K547" s="174"/>
      <c r="L547" s="174"/>
      <c r="M547" s="175"/>
      <c r="N547" s="167"/>
      <c r="O547" s="179"/>
      <c r="P547" s="179"/>
      <c r="Q547" s="179"/>
      <c r="R547" s="179"/>
      <c r="S547" s="13" t="s">
        <v>27</v>
      </c>
      <c r="T547"/>
    </row>
    <row r="548" spans="1:20">
      <c r="A548" s="167" t="s">
        <v>1043</v>
      </c>
      <c r="B548" s="184" t="s">
        <v>1179</v>
      </c>
      <c r="C548" s="167" t="s">
        <v>1173</v>
      </c>
      <c r="D548" s="178" t="s">
        <v>1180</v>
      </c>
      <c r="E548" s="189" t="s">
        <v>1578</v>
      </c>
      <c r="F548" s="183" t="s">
        <v>1056</v>
      </c>
      <c r="G548" s="171">
        <v>1</v>
      </c>
      <c r="H548" s="8" t="s">
        <v>26</v>
      </c>
      <c r="I548" s="172"/>
      <c r="J548" s="173"/>
      <c r="K548" s="174"/>
      <c r="L548" s="174"/>
      <c r="M548" s="175"/>
      <c r="N548" s="167"/>
      <c r="O548" s="179"/>
      <c r="P548" s="179"/>
      <c r="Q548" s="179"/>
      <c r="R548" s="179"/>
      <c r="S548" s="13" t="s">
        <v>27</v>
      </c>
      <c r="T548"/>
    </row>
    <row r="549" spans="1:20">
      <c r="A549" s="167" t="s">
        <v>1043</v>
      </c>
      <c r="B549" s="184" t="s">
        <v>1181</v>
      </c>
      <c r="C549" s="167" t="s">
        <v>1173</v>
      </c>
      <c r="D549" s="178" t="s">
        <v>1182</v>
      </c>
      <c r="E549" s="189" t="s">
        <v>1578</v>
      </c>
      <c r="F549" s="183" t="s">
        <v>1059</v>
      </c>
      <c r="G549" s="171">
        <v>1</v>
      </c>
      <c r="H549" s="8" t="s">
        <v>26</v>
      </c>
      <c r="I549" s="172"/>
      <c r="J549" s="173"/>
      <c r="K549" s="174"/>
      <c r="L549" s="174"/>
      <c r="M549" s="175"/>
      <c r="N549" s="167"/>
      <c r="O549" s="179"/>
      <c r="P549" s="179"/>
      <c r="Q549" s="179"/>
      <c r="R549" s="179"/>
      <c r="S549" s="13" t="s">
        <v>27</v>
      </c>
      <c r="T549"/>
    </row>
    <row r="550" spans="1:20">
      <c r="A550" s="167" t="s">
        <v>1043</v>
      </c>
      <c r="B550" s="184" t="s">
        <v>1183</v>
      </c>
      <c r="C550" s="167" t="s">
        <v>1184</v>
      </c>
      <c r="D550" s="178" t="s">
        <v>1185</v>
      </c>
      <c r="E550" s="189" t="s">
        <v>1578</v>
      </c>
      <c r="F550" s="183" t="s">
        <v>1047</v>
      </c>
      <c r="G550" s="171">
        <v>1</v>
      </c>
      <c r="H550" s="8" t="s">
        <v>26</v>
      </c>
      <c r="I550" s="172"/>
      <c r="J550" s="173"/>
      <c r="K550" s="174"/>
      <c r="L550" s="174"/>
      <c r="M550" s="175"/>
      <c r="N550" s="167"/>
      <c r="O550" s="179"/>
      <c r="P550" s="179"/>
      <c r="Q550" s="179"/>
      <c r="R550" s="179"/>
      <c r="S550" s="13" t="s">
        <v>27</v>
      </c>
      <c r="T550"/>
    </row>
    <row r="551" spans="1:20">
      <c r="A551" s="167" t="s">
        <v>1043</v>
      </c>
      <c r="B551" s="184" t="s">
        <v>1186</v>
      </c>
      <c r="C551" s="167" t="s">
        <v>1184</v>
      </c>
      <c r="D551" s="178" t="s">
        <v>1187</v>
      </c>
      <c r="E551" s="189" t="s">
        <v>1578</v>
      </c>
      <c r="F551" s="183" t="s">
        <v>1050</v>
      </c>
      <c r="G551" s="171">
        <v>1</v>
      </c>
      <c r="H551" s="8" t="s">
        <v>26</v>
      </c>
      <c r="I551" s="172"/>
      <c r="J551" s="173"/>
      <c r="K551" s="174"/>
      <c r="L551" s="174"/>
      <c r="M551" s="175"/>
      <c r="N551" s="167"/>
      <c r="O551" s="179"/>
      <c r="P551" s="179"/>
      <c r="Q551" s="179"/>
      <c r="R551" s="179"/>
      <c r="S551" s="13" t="s">
        <v>27</v>
      </c>
      <c r="T551"/>
    </row>
    <row r="552" spans="1:20">
      <c r="A552" s="167" t="s">
        <v>1043</v>
      </c>
      <c r="B552" s="184" t="s">
        <v>1188</v>
      </c>
      <c r="C552" s="167" t="s">
        <v>1184</v>
      </c>
      <c r="D552" s="178" t="s">
        <v>1189</v>
      </c>
      <c r="E552" s="189" t="s">
        <v>1578</v>
      </c>
      <c r="F552" s="183" t="s">
        <v>1053</v>
      </c>
      <c r="G552" s="171">
        <v>1</v>
      </c>
      <c r="H552" s="8" t="s">
        <v>26</v>
      </c>
      <c r="I552" s="172"/>
      <c r="J552" s="173"/>
      <c r="K552" s="174"/>
      <c r="L552" s="174"/>
      <c r="M552" s="175"/>
      <c r="N552" s="167"/>
      <c r="O552" s="179"/>
      <c r="P552" s="179"/>
      <c r="Q552" s="179"/>
      <c r="R552" s="179"/>
      <c r="S552" s="13" t="s">
        <v>27</v>
      </c>
      <c r="T552"/>
    </row>
    <row r="553" spans="1:20">
      <c r="A553" s="167" t="s">
        <v>1043</v>
      </c>
      <c r="B553" s="184" t="s">
        <v>1190</v>
      </c>
      <c r="C553" s="167" t="s">
        <v>1184</v>
      </c>
      <c r="D553" s="178" t="s">
        <v>1191</v>
      </c>
      <c r="E553" s="189" t="s">
        <v>1578</v>
      </c>
      <c r="F553" s="183" t="s">
        <v>1056</v>
      </c>
      <c r="G553" s="171">
        <v>1</v>
      </c>
      <c r="H553" s="8" t="s">
        <v>26</v>
      </c>
      <c r="I553" s="172"/>
      <c r="J553" s="173"/>
      <c r="K553" s="174"/>
      <c r="L553" s="174"/>
      <c r="M553" s="175"/>
      <c r="N553" s="167"/>
      <c r="O553" s="179"/>
      <c r="P553" s="179"/>
      <c r="Q553" s="179"/>
      <c r="R553" s="179"/>
      <c r="S553" s="13" t="s">
        <v>27</v>
      </c>
      <c r="T553"/>
    </row>
    <row r="554" spans="1:20">
      <c r="A554" s="167" t="s">
        <v>1043</v>
      </c>
      <c r="B554" s="184" t="s">
        <v>1192</v>
      </c>
      <c r="C554" s="167" t="s">
        <v>1184</v>
      </c>
      <c r="D554" s="178" t="s">
        <v>1193</v>
      </c>
      <c r="E554" s="189" t="s">
        <v>1578</v>
      </c>
      <c r="F554" s="183" t="s">
        <v>1059</v>
      </c>
      <c r="G554" s="171">
        <v>1</v>
      </c>
      <c r="H554" s="8" t="s">
        <v>26</v>
      </c>
      <c r="I554" s="172"/>
      <c r="J554" s="173"/>
      <c r="K554" s="174"/>
      <c r="L554" s="174"/>
      <c r="M554" s="175"/>
      <c r="N554" s="167"/>
      <c r="O554" s="179"/>
      <c r="P554" s="179"/>
      <c r="Q554" s="179"/>
      <c r="R554" s="179"/>
      <c r="S554" s="13" t="s">
        <v>27</v>
      </c>
      <c r="T554"/>
    </row>
    <row r="555" spans="1:20">
      <c r="A555" s="167" t="s">
        <v>1215</v>
      </c>
      <c r="B555" s="146" t="s">
        <v>1216</v>
      </c>
      <c r="C555" s="167" t="s">
        <v>1217</v>
      </c>
      <c r="D555" s="178" t="s">
        <v>1218</v>
      </c>
      <c r="E555" s="167"/>
      <c r="F555" s="183" t="s">
        <v>50</v>
      </c>
      <c r="G555" s="171">
        <v>2</v>
      </c>
      <c r="H555" s="8" t="s">
        <v>26</v>
      </c>
      <c r="I555" s="172"/>
      <c r="J555" s="173"/>
      <c r="K555" s="174"/>
      <c r="L555" s="174" t="str">
        <f>VLOOKUP(B555,电搭接情况统计!$B$2:$H$423,7,0)</f>
        <v>S类</v>
      </c>
      <c r="M555" s="175"/>
      <c r="N555" s="167"/>
      <c r="O555" s="179"/>
      <c r="P555" s="179"/>
      <c r="Q555" s="179"/>
      <c r="R555" s="179"/>
      <c r="S555" s="13" t="s">
        <v>136</v>
      </c>
      <c r="T555"/>
    </row>
    <row r="556" spans="1:20">
      <c r="A556" s="167" t="s">
        <v>1215</v>
      </c>
      <c r="B556" s="146" t="s">
        <v>1219</v>
      </c>
      <c r="C556" s="167" t="s">
        <v>1220</v>
      </c>
      <c r="D556" s="178" t="s">
        <v>1221</v>
      </c>
      <c r="E556" s="167"/>
      <c r="F556" s="183" t="s">
        <v>50</v>
      </c>
      <c r="G556" s="171">
        <v>2</v>
      </c>
      <c r="H556" s="8" t="s">
        <v>26</v>
      </c>
      <c r="I556" s="172"/>
      <c r="J556" s="173"/>
      <c r="K556" s="174"/>
      <c r="L556" s="174" t="str">
        <f>VLOOKUP(B556,电搭接情况统计!$B$2:$H$423,7,0)</f>
        <v>S类</v>
      </c>
      <c r="M556" s="175"/>
      <c r="N556" s="167"/>
      <c r="O556" s="179"/>
      <c r="P556" s="179"/>
      <c r="Q556" s="179"/>
      <c r="R556" s="179"/>
      <c r="S556" s="13" t="s">
        <v>136</v>
      </c>
      <c r="T556"/>
    </row>
    <row r="557" spans="1:20">
      <c r="A557" s="167" t="s">
        <v>1215</v>
      </c>
      <c r="B557" s="146" t="s">
        <v>1222</v>
      </c>
      <c r="C557" s="167" t="s">
        <v>1217</v>
      </c>
      <c r="D557" s="178" t="s">
        <v>1223</v>
      </c>
      <c r="E557" s="167"/>
      <c r="F557" s="183" t="s">
        <v>50</v>
      </c>
      <c r="G557" s="171">
        <v>2</v>
      </c>
      <c r="H557" s="8" t="s">
        <v>26</v>
      </c>
      <c r="I557" s="172"/>
      <c r="J557" s="173"/>
      <c r="K557" s="174"/>
      <c r="L557" s="174" t="str">
        <f>VLOOKUP(B557,电搭接情况统计!$B$2:$H$423,7,0)</f>
        <v>S类</v>
      </c>
      <c r="M557" s="175"/>
      <c r="N557" s="167"/>
      <c r="O557" s="179"/>
      <c r="P557" s="179"/>
      <c r="Q557" s="179"/>
      <c r="R557" s="179"/>
      <c r="S557" s="13" t="s">
        <v>136</v>
      </c>
      <c r="T557"/>
    </row>
    <row r="558" spans="1:20">
      <c r="A558" s="167" t="s">
        <v>1215</v>
      </c>
      <c r="B558" s="146" t="s">
        <v>1224</v>
      </c>
      <c r="C558" s="167" t="s">
        <v>1220</v>
      </c>
      <c r="D558" s="178" t="s">
        <v>1225</v>
      </c>
      <c r="E558" s="167"/>
      <c r="F558" s="183" t="s">
        <v>50</v>
      </c>
      <c r="G558" s="171">
        <v>2</v>
      </c>
      <c r="H558" s="8" t="s">
        <v>26</v>
      </c>
      <c r="I558" s="172"/>
      <c r="J558" s="173"/>
      <c r="K558" s="174"/>
      <c r="L558" s="174" t="str">
        <f>VLOOKUP(B558,电搭接情况统计!$B$2:$H$423,7,0)</f>
        <v>S类</v>
      </c>
      <c r="M558" s="175"/>
      <c r="N558" s="167"/>
      <c r="O558" s="179"/>
      <c r="P558" s="179"/>
      <c r="Q558" s="179"/>
      <c r="R558" s="179"/>
      <c r="S558" s="13" t="s">
        <v>136</v>
      </c>
      <c r="T558"/>
    </row>
    <row r="559" spans="1:20">
      <c r="A559" s="167" t="s">
        <v>1215</v>
      </c>
      <c r="B559" s="146" t="s">
        <v>1226</v>
      </c>
      <c r="C559" s="167" t="s">
        <v>1227</v>
      </c>
      <c r="D559" s="178" t="s">
        <v>1228</v>
      </c>
      <c r="E559" s="167"/>
      <c r="F559" s="183" t="s">
        <v>40</v>
      </c>
      <c r="G559" s="171">
        <v>2</v>
      </c>
      <c r="H559" s="8" t="s">
        <v>26</v>
      </c>
      <c r="I559" s="172" t="s">
        <v>106</v>
      </c>
      <c r="J559" s="182" t="str">
        <f>VLOOKUP($B559,设备架接口信息!$A$1:$G$69,4,0)</f>
        <v>四角螺栓安装</v>
      </c>
      <c r="K559" s="175" t="str">
        <f>VLOOKUP($B559,设备架接口信息!$A$1:$G$69,5,0)</f>
        <v>面搭接</v>
      </c>
      <c r="L559" s="174" t="str">
        <f>VLOOKUP(B559,电搭接情况统计!$B$2:$H$423,7,0)</f>
        <v>C类</v>
      </c>
      <c r="M559" s="175">
        <f>VLOOKUP($B559,设备架接口信息!$A$1:$G$69,6,0)</f>
        <v>2.41</v>
      </c>
      <c r="N559" s="167"/>
      <c r="O559" s="179"/>
      <c r="P559" s="179"/>
      <c r="Q559" s="179"/>
      <c r="R559" s="179"/>
      <c r="S559" s="13" t="s">
        <v>322</v>
      </c>
      <c r="T559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B$1048576" name="Range5"/>
    <protectedRange sqref="C$1:D$1048576" name="Range7"/>
    <protectedRange sqref="F$1:F$1048576" name="Range4"/>
    <protectedRange sqref="N$1:R$1048576" name="Range10"/>
  </protectedRanges>
  <autoFilter xmlns:etc="http://www.wps.cn/officeDocument/2017/etCustomData" ref="A1:T559" etc:filterBottomFollowUsedRange="1">
    <extLst/>
  </autoFilter>
  <conditionalFormatting sqref="H$1:H$1048576">
    <cfRule type="cellIs" dxfId="0" priority="1" operator="equal">
      <formula>"否"</formula>
    </cfRule>
  </conditionalFormatting>
  <conditionalFormatting sqref="J$1:J$1048576">
    <cfRule type="containsText" dxfId="0" priority="2" operator="between" text="托架安装">
      <formula>NOT(ISERROR(SEARCH("托架安装",J1)))</formula>
    </cfRule>
  </conditionalFormatting>
  <dataValidations count="1">
    <dataValidation type="list" allowBlank="1" showErrorMessage="1" errorTitle="错误提示" error="请输入下拉列表中的值" sqref="J2:J1048576">
      <formula1>"标准托架安装,非标准托架安装,紧固件-螺栓螺母安装,紧固件-托板螺母安装,粘接安装"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topLeftCell="F1" workbookViewId="0">
      <selection activeCell="J1" sqref="J1"/>
    </sheetView>
  </sheetViews>
  <sheetFormatPr defaultColWidth="9" defaultRowHeight="13.5"/>
  <cols>
    <col min="1" max="1" width="38.1333333333333" customWidth="1"/>
    <col min="2" max="2" width="14.6333333333333" customWidth="1"/>
    <col min="3" max="3" width="15.5" customWidth="1"/>
    <col min="4" max="4" width="15.25" customWidth="1"/>
    <col min="5" max="5" width="22.3833333333333" customWidth="1"/>
    <col min="6" max="6" width="13.25" customWidth="1"/>
    <col min="7" max="7" width="12.5" customWidth="1"/>
    <col min="8" max="8" width="12.5" style="1" customWidth="1"/>
    <col min="9" max="9" width="19.1333333333333" customWidth="1"/>
    <col min="10" max="10" width="14.75" style="1" customWidth="1"/>
    <col min="11" max="11" width="21.75" customWidth="1"/>
  </cols>
  <sheetData>
    <row r="1" ht="27" spans="1:15">
      <c r="A1" s="135" t="s">
        <v>1579</v>
      </c>
      <c r="B1" s="136" t="s">
        <v>1580</v>
      </c>
      <c r="C1" s="137" t="s">
        <v>1581</v>
      </c>
      <c r="D1" s="136" t="s">
        <v>1582</v>
      </c>
      <c r="E1" s="138" t="s">
        <v>5</v>
      </c>
      <c r="F1" s="139" t="s">
        <v>1583</v>
      </c>
      <c r="G1" s="139" t="s">
        <v>1584</v>
      </c>
      <c r="H1" s="140" t="s">
        <v>1585</v>
      </c>
      <c r="I1" s="138" t="s">
        <v>1586</v>
      </c>
      <c r="J1" s="138" t="s">
        <v>1587</v>
      </c>
      <c r="K1" s="67" t="s">
        <v>1588</v>
      </c>
    </row>
    <row r="2" spans="1:15">
      <c r="A2" s="67" t="str">
        <f>K2&amp;"-"&amp;L2</f>
        <v>空调系统综合控制器1-托架</v>
      </c>
      <c r="E2" t="e">
        <f>VLOOKUP(K2,'1&amp;2号构型'!B:F,5,0)</f>
        <v>#N/A</v>
      </c>
      <c r="G2" t="e">
        <f>VLOOKUP(K2,'1&amp;2号构型'!B:G,7,0)</f>
        <v>#N/A</v>
      </c>
      <c r="H2" s="141" t="s">
        <v>1589</v>
      </c>
      <c r="K2" s="142" t="s">
        <v>1590</v>
      </c>
      <c r="L2" s="67" t="s">
        <v>1591</v>
      </c>
      <c r="N2" s="67"/>
      <c r="O2" s="67"/>
    </row>
    <row r="3" ht="15" spans="1:15">
      <c r="A3" s="67" t="str">
        <f>K3&amp;"-"&amp;L3</f>
        <v>空调系统综合控制器2-托架</v>
      </c>
      <c r="E3" t="e">
        <f>VLOOKUP(K3,'1&amp;2号构型'!B:F,5,0)</f>
        <v>#N/A</v>
      </c>
      <c r="G3" t="e">
        <f>VLOOKUP(K3,'1&amp;2号构型'!B:G,7,0)</f>
        <v>#N/A</v>
      </c>
      <c r="H3" s="141" t="s">
        <v>1589</v>
      </c>
      <c r="K3" s="143" t="s">
        <v>1592</v>
      </c>
      <c r="L3" s="67" t="s">
        <v>1591</v>
      </c>
      <c r="N3" s="144"/>
    </row>
    <row r="4" spans="1:15">
      <c r="A4" s="67" t="str">
        <f t="shared" ref="A4:A32" si="0">K4&amp;"-"&amp;L4</f>
        <v>显控计算机1-托架</v>
      </c>
      <c r="E4" t="str">
        <f>VLOOKUP(K4,'1&amp;2号构型'!B:F,5,0)</f>
        <v>驾驶舱-右设备架</v>
      </c>
      <c r="G4" t="e">
        <f>VLOOKUP(K4,'1&amp;2号构型'!B:G,7,0)</f>
        <v>#REF!</v>
      </c>
      <c r="H4" s="141" t="s">
        <v>1593</v>
      </c>
      <c r="I4" s="67" t="s">
        <v>1594</v>
      </c>
      <c r="J4" s="1" t="s">
        <v>1595</v>
      </c>
      <c r="K4" s="145" t="s">
        <v>1596</v>
      </c>
      <c r="L4" s="67" t="s">
        <v>1591</v>
      </c>
    </row>
    <row r="5" spans="1:15">
      <c r="A5" s="67" t="str">
        <f t="shared" si="0"/>
        <v>交通监视处理机-托架</v>
      </c>
      <c r="E5" t="str">
        <f>VLOOKUP(K5,'1&amp;2号构型'!B:F,5,0)</f>
        <v>驾驶舱-左设备架</v>
      </c>
      <c r="G5" t="e">
        <f>VLOOKUP(K5,'1&amp;2号构型'!B:G,7,0)</f>
        <v>#REF!</v>
      </c>
      <c r="H5" s="141" t="s">
        <v>1589</v>
      </c>
      <c r="J5" s="1" t="s">
        <v>1595</v>
      </c>
      <c r="K5" s="145" t="s">
        <v>1597</v>
      </c>
      <c r="L5" s="67" t="s">
        <v>1591</v>
      </c>
    </row>
    <row r="6" spans="1:15">
      <c r="A6" s="67" t="str">
        <f t="shared" si="0"/>
        <v>音频管理单元1-托架</v>
      </c>
      <c r="E6" t="str">
        <f>VLOOKUP(K6,'1&amp;2号构型'!B:F,5,0)</f>
        <v>驾驶舱-左设备架</v>
      </c>
      <c r="G6" t="e">
        <f>VLOOKUP(K6,'1&amp;2号构型'!B:G,7,0)</f>
        <v>#REF!</v>
      </c>
      <c r="H6" s="141" t="s">
        <v>1589</v>
      </c>
      <c r="J6" s="1" t="s">
        <v>1595</v>
      </c>
      <c r="K6" s="145" t="s">
        <v>1598</v>
      </c>
      <c r="L6" s="67" t="s">
        <v>1591</v>
      </c>
    </row>
    <row r="7" spans="1:15">
      <c r="A7" s="67" t="str">
        <f t="shared" si="0"/>
        <v>备份飞控计算机-托架</v>
      </c>
      <c r="E7" t="str">
        <f>VLOOKUP(K7,'1&amp;2号构型'!B:F,5,0)</f>
        <v>驾驶舱-左设备架</v>
      </c>
      <c r="G7" t="e">
        <f>VLOOKUP(K7,'1&amp;2号构型'!B:G,7,0)</f>
        <v>#REF!</v>
      </c>
      <c r="H7" s="141" t="s">
        <v>1589</v>
      </c>
      <c r="J7" s="1" t="s">
        <v>1595</v>
      </c>
      <c r="K7" s="145" t="s">
        <v>1599</v>
      </c>
      <c r="L7" s="67" t="s">
        <v>1591</v>
      </c>
    </row>
    <row r="8" spans="1:15">
      <c r="A8" s="67" t="str">
        <f t="shared" si="0"/>
        <v>数据接口单元3-托架</v>
      </c>
      <c r="E8" t="str">
        <f>VLOOKUP(K8,'1&amp;2号构型'!B:F,5,0)</f>
        <v>驾驶舱-左设备架</v>
      </c>
      <c r="G8" t="e">
        <f>VLOOKUP(K8,'1&amp;2号构型'!B:G,7,0)</f>
        <v>#REF!</v>
      </c>
      <c r="H8" s="141" t="s">
        <v>1589</v>
      </c>
      <c r="J8" s="1" t="s">
        <v>1600</v>
      </c>
      <c r="K8" s="145" t="s">
        <v>1601</v>
      </c>
      <c r="L8" s="67" t="s">
        <v>1591</v>
      </c>
    </row>
    <row r="9" spans="1:15">
      <c r="A9" s="67" t="str">
        <f t="shared" si="0"/>
        <v>数据接口单元2-托架</v>
      </c>
      <c r="E9" t="str">
        <f>VLOOKUP(K9,'1&amp;2号构型'!B:F,5,0)</f>
        <v>驾驶舱-右设备架</v>
      </c>
      <c r="G9" t="e">
        <f>VLOOKUP(K9,'1&amp;2号构型'!B:G,7,0)</f>
        <v>#REF!</v>
      </c>
      <c r="H9" s="141" t="s">
        <v>1589</v>
      </c>
      <c r="J9" s="1" t="s">
        <v>1600</v>
      </c>
      <c r="K9" s="145" t="s">
        <v>1602</v>
      </c>
      <c r="L9" s="67" t="s">
        <v>1591</v>
      </c>
    </row>
    <row r="10" spans="1:15">
      <c r="A10" s="67" t="str">
        <f t="shared" si="0"/>
        <v>主飞控计算机3-托架</v>
      </c>
      <c r="E10" t="str">
        <f>VLOOKUP(K10,'1&amp;2号构型'!B:F,5,0)</f>
        <v>驾驶舱-右设备架</v>
      </c>
      <c r="G10" t="e">
        <f>VLOOKUP(K10,'1&amp;2号构型'!B:G,7,0)</f>
        <v>#REF!</v>
      </c>
      <c r="H10" s="141" t="s">
        <v>1589</v>
      </c>
      <c r="J10" s="1" t="s">
        <v>1600</v>
      </c>
      <c r="K10" s="145" t="s">
        <v>1603</v>
      </c>
      <c r="L10" s="67" t="s">
        <v>1591</v>
      </c>
    </row>
    <row r="11" spans="1:15">
      <c r="A11" s="67" t="str">
        <f t="shared" si="0"/>
        <v>显控计算机2-托架</v>
      </c>
      <c r="E11" t="str">
        <f>VLOOKUP(K11,'1&amp;2号构型'!B:F,5,0)</f>
        <v>驾驶舱-左设备架</v>
      </c>
      <c r="G11" t="e">
        <f>VLOOKUP(K11,'1&amp;2号构型'!B:G,7,0)</f>
        <v>#REF!</v>
      </c>
      <c r="H11" s="141" t="s">
        <v>1593</v>
      </c>
      <c r="I11" s="67" t="s">
        <v>1594</v>
      </c>
      <c r="J11" s="1" t="s">
        <v>1595</v>
      </c>
      <c r="K11" s="145" t="s">
        <v>1604</v>
      </c>
      <c r="L11" s="67" t="s">
        <v>1591</v>
      </c>
    </row>
    <row r="12" spans="1:15">
      <c r="A12" s="67" t="str">
        <f t="shared" si="0"/>
        <v>音频管理单元2-托架</v>
      </c>
      <c r="E12" t="str">
        <f>VLOOKUP(K12,'1&amp;2号构型'!B:F,5,0)</f>
        <v>驾驶舱-右设备架</v>
      </c>
      <c r="G12" t="e">
        <f>VLOOKUP(K12,'1&amp;2号构型'!B:G,7,0)</f>
        <v>#REF!</v>
      </c>
      <c r="H12" s="141" t="s">
        <v>1589</v>
      </c>
      <c r="J12" s="1" t="s">
        <v>1595</v>
      </c>
      <c r="K12" s="145" t="s">
        <v>1605</v>
      </c>
      <c r="L12" s="67" t="s">
        <v>1591</v>
      </c>
    </row>
    <row r="13" spans="1:15">
      <c r="A13" s="67" t="str">
        <f t="shared" si="0"/>
        <v>数据接口单元1-托架</v>
      </c>
      <c r="E13" t="str">
        <f>VLOOKUP(K13,'1&amp;2号构型'!B:F,5,0)</f>
        <v>驾驶舱-右设备架</v>
      </c>
      <c r="G13" t="e">
        <f>VLOOKUP(K13,'1&amp;2号构型'!B:G,7,0)</f>
        <v>#REF!</v>
      </c>
      <c r="H13" s="141" t="s">
        <v>1589</v>
      </c>
      <c r="J13" s="1" t="s">
        <v>1600</v>
      </c>
      <c r="K13" s="145" t="s">
        <v>1606</v>
      </c>
      <c r="L13" s="67" t="s">
        <v>1591</v>
      </c>
    </row>
    <row r="14" spans="1:15">
      <c r="A14" s="67" t="str">
        <f t="shared" si="0"/>
        <v>主飞控计算机2-托架</v>
      </c>
      <c r="E14" t="str">
        <f>VLOOKUP(K14,'1&amp;2号构型'!B:F,5,0)</f>
        <v>客舱-后设备舱左设备架</v>
      </c>
      <c r="G14" t="e">
        <f>VLOOKUP(K14,'1&amp;2号构型'!B:G,7,0)</f>
        <v>#REF!</v>
      </c>
      <c r="H14" s="141" t="s">
        <v>1589</v>
      </c>
      <c r="J14" s="1" t="s">
        <v>1600</v>
      </c>
      <c r="K14" s="145" t="s">
        <v>1607</v>
      </c>
      <c r="L14" s="67" t="s">
        <v>1591</v>
      </c>
    </row>
    <row r="15" spans="1:15">
      <c r="A15" s="67" t="str">
        <f t="shared" si="0"/>
        <v>飞机数据网络交换机1-托架</v>
      </c>
      <c r="E15" t="str">
        <f>VLOOKUP(K15,'1&amp;2号构型'!B:F,5,0)</f>
        <v>驾驶舱-左设备架</v>
      </c>
      <c r="G15" t="e">
        <f>VLOOKUP(K15,'1&amp;2号构型'!B:G,7,0)</f>
        <v>#REF!</v>
      </c>
      <c r="H15" s="141" t="s">
        <v>1589</v>
      </c>
      <c r="J15" s="1" t="s">
        <v>1600</v>
      </c>
      <c r="K15" s="145" t="s">
        <v>1608</v>
      </c>
      <c r="L15" s="67" t="s">
        <v>1591</v>
      </c>
    </row>
    <row r="16" spans="1:15">
      <c r="A16" s="67" t="str">
        <f t="shared" si="0"/>
        <v>甚高频通信及无线电导航集成设备2-托架</v>
      </c>
      <c r="E16" t="str">
        <f>VLOOKUP(K16,'1&amp;2号构型'!B:F,5,0)</f>
        <v>客舱-后设备舱左设备架</v>
      </c>
      <c r="G16" t="e">
        <f>VLOOKUP(K16,'1&amp;2号构型'!B:G,7,0)</f>
        <v>#REF!</v>
      </c>
      <c r="H16" s="141"/>
      <c r="J16" s="1" t="s">
        <v>1595</v>
      </c>
      <c r="K16" s="145" t="s">
        <v>1609</v>
      </c>
      <c r="L16" s="67" t="s">
        <v>1591</v>
      </c>
    </row>
    <row r="17" spans="1:12">
      <c r="A17" s="67" t="str">
        <f t="shared" si="0"/>
        <v>数据接口单元4-托架</v>
      </c>
      <c r="E17" t="str">
        <f>VLOOKUP(K17,'1&amp;2号构型'!B:F,5,0)</f>
        <v>客舱-后设备舱左设备架</v>
      </c>
      <c r="G17" t="e">
        <f>VLOOKUP(K17,'1&amp;2号构型'!B:G,7,0)</f>
        <v>#REF!</v>
      </c>
      <c r="H17" s="141" t="s">
        <v>1589</v>
      </c>
      <c r="J17" s="1" t="s">
        <v>1600</v>
      </c>
      <c r="K17" s="145" t="s">
        <v>1610</v>
      </c>
      <c r="L17" s="67" t="s">
        <v>1591</v>
      </c>
    </row>
    <row r="18" spans="1:12">
      <c r="A18" s="67" t="str">
        <f t="shared" si="0"/>
        <v>通用信息处理计算机-托架</v>
      </c>
      <c r="E18" t="str">
        <f>VLOOKUP(K18,'1&amp;2号构型'!B:F,5,0)</f>
        <v>客舱-后设备舱左设备架</v>
      </c>
      <c r="G18" t="e">
        <f>VLOOKUP(K18,'1&amp;2号构型'!B:G,7,0)</f>
        <v>#REF!</v>
      </c>
      <c r="H18" s="141" t="s">
        <v>1589</v>
      </c>
      <c r="J18" s="1" t="s">
        <v>1600</v>
      </c>
      <c r="K18" s="145" t="s">
        <v>1611</v>
      </c>
      <c r="L18" s="67" t="s">
        <v>1591</v>
      </c>
    </row>
    <row r="19" spans="1:12">
      <c r="A19" s="67" t="str">
        <f t="shared" si="0"/>
        <v>北斗卫星导航接收机-托架</v>
      </c>
      <c r="E19" t="e">
        <f>VLOOKUP(K19,'1&amp;2号构型'!B:F,5,0)</f>
        <v>#N/A</v>
      </c>
      <c r="G19" t="e">
        <f>VLOOKUP(K19,'1&amp;2号构型'!B:G,7,0)</f>
        <v>#N/A</v>
      </c>
      <c r="H19" s="141" t="s">
        <v>1589</v>
      </c>
      <c r="J19" s="1" t="s">
        <v>1600</v>
      </c>
      <c r="K19" s="145" t="s">
        <v>1612</v>
      </c>
      <c r="L19" s="67" t="s">
        <v>1591</v>
      </c>
    </row>
    <row r="20" spans="1:12">
      <c r="A20" s="67" t="str">
        <f t="shared" si="0"/>
        <v>数据接口单元5-托架</v>
      </c>
      <c r="E20" t="str">
        <f>VLOOKUP(K20,'1&amp;2号构型'!B:F,5,0)</f>
        <v>客舱-后设备舱左设备架</v>
      </c>
      <c r="G20" t="e">
        <f>VLOOKUP(K20,'1&amp;2号构型'!B:G,7,0)</f>
        <v>#REF!</v>
      </c>
      <c r="H20" s="141" t="s">
        <v>1589</v>
      </c>
      <c r="J20" s="1" t="s">
        <v>1600</v>
      </c>
      <c r="K20" s="145" t="s">
        <v>1613</v>
      </c>
      <c r="L20" s="67" t="s">
        <v>1591</v>
      </c>
    </row>
    <row r="21" spans="1:12">
      <c r="A21" s="67" t="str">
        <f t="shared" si="0"/>
        <v>5G ATG机载CPE-托架</v>
      </c>
      <c r="E21" t="str">
        <f>VLOOKUP(K21,'1&amp;2号构型'!B:F,5,0)</f>
        <v>客舱-后设备舱左设备架</v>
      </c>
      <c r="G21" t="e">
        <f>VLOOKUP(K21,'1&amp;2号构型'!B:G,7,0)</f>
        <v>#REF!</v>
      </c>
      <c r="H21" s="141" t="s">
        <v>1593</v>
      </c>
      <c r="I21" s="67" t="s">
        <v>1614</v>
      </c>
      <c r="J21" s="1" t="s">
        <v>1595</v>
      </c>
      <c r="K21" s="145" t="s">
        <v>1615</v>
      </c>
      <c r="L21" s="67" t="s">
        <v>1591</v>
      </c>
    </row>
    <row r="22" spans="1:12">
      <c r="A22" s="67" t="str">
        <f t="shared" si="0"/>
        <v>主飞控计算机1-托架</v>
      </c>
      <c r="E22" t="str">
        <f>VLOOKUP(K22,'1&amp;2号构型'!B:F,5,0)</f>
        <v>客舱-后设备舱右设备架</v>
      </c>
      <c r="G22" t="e">
        <f>VLOOKUP(K22,'1&amp;2号构型'!B:G,7,0)</f>
        <v>#REF!</v>
      </c>
      <c r="H22" s="141" t="s">
        <v>1589</v>
      </c>
      <c r="J22" s="1" t="s">
        <v>1600</v>
      </c>
      <c r="K22" s="145" t="s">
        <v>1616</v>
      </c>
      <c r="L22" s="67" t="s">
        <v>1591</v>
      </c>
    </row>
    <row r="23" spans="1:12">
      <c r="A23" s="67" t="str">
        <f t="shared" si="0"/>
        <v>飞机数据网络交换机2-托架</v>
      </c>
      <c r="E23" t="str">
        <f>VLOOKUP(K23,'1&amp;2号构型'!B:F,5,0)</f>
        <v>驾驶舱-右设备架</v>
      </c>
      <c r="G23" t="e">
        <f>VLOOKUP(K23,'1&amp;2号构型'!B:G,7,0)</f>
        <v>#REF!</v>
      </c>
      <c r="H23" s="141" t="s">
        <v>1589</v>
      </c>
      <c r="J23" s="1" t="s">
        <v>1600</v>
      </c>
      <c r="K23" s="145" t="s">
        <v>1617</v>
      </c>
      <c r="L23" s="67" t="s">
        <v>1591</v>
      </c>
    </row>
    <row r="24" spans="1:12">
      <c r="A24" s="67" t="str">
        <f t="shared" si="0"/>
        <v>数据接口单元6-托架</v>
      </c>
      <c r="E24" t="str">
        <f>VLOOKUP(K24,'1&amp;2号构型'!B:F,5,0)</f>
        <v>客舱-后设备舱右设备架</v>
      </c>
      <c r="G24" t="e">
        <f>VLOOKUP(K24,'1&amp;2号构型'!B:G,7,0)</f>
        <v>#REF!</v>
      </c>
      <c r="H24" s="141" t="s">
        <v>1589</v>
      </c>
      <c r="J24" s="1" t="s">
        <v>1600</v>
      </c>
      <c r="K24" s="145" t="s">
        <v>1618</v>
      </c>
      <c r="L24" s="67" t="s">
        <v>1591</v>
      </c>
    </row>
    <row r="25" spans="1:12">
      <c r="A25" s="67" t="str">
        <f t="shared" si="0"/>
        <v>甚高频通信及无线电导航集成设备1-托架</v>
      </c>
      <c r="E25" t="str">
        <f>VLOOKUP(K25,'1&amp;2号构型'!B:F,5,0)</f>
        <v>客舱-后设备舱右设备架</v>
      </c>
      <c r="G25" t="e">
        <f>VLOOKUP(K25,'1&amp;2号构型'!B:G,7,0)</f>
        <v>#REF!</v>
      </c>
      <c r="H25" s="141"/>
      <c r="J25" s="1" t="s">
        <v>1595</v>
      </c>
      <c r="K25" s="145" t="s">
        <v>1619</v>
      </c>
      <c r="L25" s="67" t="s">
        <v>1591</v>
      </c>
    </row>
    <row r="26" spans="1:12">
      <c r="A26" s="67" t="str">
        <f t="shared" si="0"/>
        <v>结构健康监测设备-托架</v>
      </c>
      <c r="E26" t="e">
        <f>VLOOKUP(K26,'1&amp;2号构型'!B:F,5,0)</f>
        <v>#N/A</v>
      </c>
      <c r="G26" t="e">
        <f>VLOOKUP(K26,'1&amp;2号构型'!B:G,7,0)</f>
        <v>#N/A</v>
      </c>
      <c r="H26" s="141" t="s">
        <v>1589</v>
      </c>
      <c r="J26" s="1" t="s">
        <v>1600</v>
      </c>
      <c r="K26" s="145" t="s">
        <v>1620</v>
      </c>
      <c r="L26" s="67" t="s">
        <v>1591</v>
      </c>
    </row>
    <row r="27" ht="15" spans="1:12">
      <c r="A27" s="67" t="str">
        <f t="shared" si="0"/>
        <v>防除冰控制器1-托架</v>
      </c>
      <c r="E27" t="e">
        <f>VLOOKUP(K27,'1&amp;2号构型'!B:F,5,0)</f>
        <v>#N/A</v>
      </c>
      <c r="G27" t="e">
        <f>VLOOKUP(K27,'1&amp;2号构型'!B:G,7,0)</f>
        <v>#N/A</v>
      </c>
      <c r="K27" s="146" t="s">
        <v>1621</v>
      </c>
      <c r="L27" s="67" t="s">
        <v>1591</v>
      </c>
    </row>
    <row r="28" ht="15" spans="1:12">
      <c r="A28" s="67" t="str">
        <f t="shared" si="0"/>
        <v>防除冰控制器2-托架</v>
      </c>
      <c r="E28" t="e">
        <f>VLOOKUP(K28,'1&amp;2号构型'!B:F,5,0)</f>
        <v>#N/A</v>
      </c>
      <c r="G28" t="e">
        <f>VLOOKUP(K28,'1&amp;2号构型'!B:G,7,0)</f>
        <v>#N/A</v>
      </c>
      <c r="K28" s="146" t="s">
        <v>1622</v>
      </c>
      <c r="L28" s="67" t="s">
        <v>1591</v>
      </c>
    </row>
    <row r="29" ht="15" spans="1:12">
      <c r="A29" s="67" t="str">
        <f t="shared" si="0"/>
        <v>风挡加热控制器1-托架</v>
      </c>
      <c r="E29" t="str">
        <f>VLOOKUP(K29,'1&amp;2号构型'!B:F,5,0)</f>
        <v>下机身前段-前设备舱</v>
      </c>
      <c r="G29" t="e">
        <f>VLOOKUP(K29,'1&amp;2号构型'!B:G,7,0)</f>
        <v>#REF!</v>
      </c>
      <c r="K29" s="146" t="s">
        <v>366</v>
      </c>
      <c r="L29" s="67" t="s">
        <v>1591</v>
      </c>
    </row>
    <row r="30" ht="15" spans="1:12">
      <c r="A30" s="67" t="str">
        <f t="shared" si="0"/>
        <v>风挡加热控制器2-托架</v>
      </c>
      <c r="E30" t="str">
        <f>VLOOKUP(K30,'1&amp;2号构型'!B:F,5,0)</f>
        <v>下机身前段-前设备舱</v>
      </c>
      <c r="G30" t="e">
        <f>VLOOKUP(K30,'1&amp;2号构型'!B:G,7,0)</f>
        <v>#REF!</v>
      </c>
      <c r="K30" s="146" t="s">
        <v>373</v>
      </c>
      <c r="L30" s="67" t="s">
        <v>1591</v>
      </c>
    </row>
    <row r="31" spans="1:12">
      <c r="A31" s="67" t="str">
        <f t="shared" si="0"/>
        <v>驾驶舱灯具调光控制盒-托架</v>
      </c>
      <c r="E31" t="str">
        <f>VLOOKUP(K31,'1&amp;2号构型'!B:F,5,0)</f>
        <v>设备架</v>
      </c>
      <c r="G31" t="e">
        <f>VLOOKUP(K31,'1&amp;2号构型'!B:G,7,0)</f>
        <v>#REF!</v>
      </c>
      <c r="K31" s="146" t="s">
        <v>704</v>
      </c>
      <c r="L31" s="67" t="s">
        <v>1591</v>
      </c>
    </row>
    <row r="32" spans="1:12">
      <c r="A32" s="67" t="str">
        <f t="shared" si="0"/>
        <v>客舱一般照明控制器-托架</v>
      </c>
      <c r="E32" t="e">
        <f>VLOOKUP(K32,'1&amp;2号构型'!B:F,5,0)</f>
        <v>#N/A</v>
      </c>
      <c r="G32" t="e">
        <f>VLOOKUP(K32,'1&amp;2号构型'!B:G,7,0)</f>
        <v>#N/A</v>
      </c>
      <c r="K32" s="146" t="s">
        <v>1418</v>
      </c>
      <c r="L32" s="67" t="s">
        <v>1591</v>
      </c>
    </row>
    <row r="33" spans="1:12">
      <c r="A33" s="67"/>
      <c r="L33" s="67" t="s">
        <v>1591</v>
      </c>
    </row>
    <row r="34" spans="1:12">
      <c r="A34" s="67"/>
      <c r="L34" s="67" t="s">
        <v>1591</v>
      </c>
    </row>
    <row r="35" spans="1:12">
      <c r="L35" s="67" t="s">
        <v>1591</v>
      </c>
    </row>
    <row r="36" spans="1:12">
      <c r="L36" s="67" t="s">
        <v>1591</v>
      </c>
    </row>
    <row r="37" spans="1:12">
      <c r="L37" s="67" t="s">
        <v>1591</v>
      </c>
    </row>
    <row r="38" spans="1:12">
      <c r="L38" s="67" t="s">
        <v>1591</v>
      </c>
    </row>
    <row r="39" spans="1:12">
      <c r="L39" s="67" t="s">
        <v>1591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B$1:C$1048576" name="Range1"/>
  </protectedRanges>
  <dataValidations count="2">
    <dataValidation type="list" allowBlank="1" showErrorMessage="1" errorTitle="错误提示" error="请输入下拉列表中的值" sqref="H2:H1048576">
      <formula1>"A类锁紧器,B类锁紧器,C类锁紧器"</formula1>
    </dataValidation>
    <dataValidation type="list" allowBlank="1" showErrorMessage="1" errorTitle="错误提示" error="请输入下拉列表中的值" sqref="J2:J1048576">
      <formula1>"设备提供,158提供"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workbookViewId="0">
      <selection activeCell="H6" sqref="H6"/>
    </sheetView>
  </sheetViews>
  <sheetFormatPr defaultColWidth="8.88333333333333" defaultRowHeight="13.5" outlineLevelCol="6"/>
  <cols>
    <col min="1" max="1" width="34.3333333333333" style="72" customWidth="1"/>
    <col min="2" max="2" width="23.5583333333333" style="123" customWidth="1"/>
    <col min="3" max="3" width="21.3333333333333" style="72" customWidth="1"/>
    <col min="4" max="4" width="45.4416666666667" style="72" customWidth="1"/>
    <col min="5" max="5" width="12.1083333333333" style="72" customWidth="1"/>
    <col min="6" max="6" width="9.55833333333333" style="72" customWidth="1"/>
    <col min="7" max="7" width="18" style="72" customWidth="1"/>
    <col min="8" max="16384" width="8.88333333333333" style="72"/>
  </cols>
  <sheetData>
    <row r="1" spans="1:7">
      <c r="A1" s="124" t="s">
        <v>1623</v>
      </c>
      <c r="B1" s="124" t="s">
        <v>1624</v>
      </c>
      <c r="C1" s="124" t="s">
        <v>1625</v>
      </c>
      <c r="D1" s="124" t="s">
        <v>1626</v>
      </c>
      <c r="E1" s="124" t="s">
        <v>1627</v>
      </c>
      <c r="F1" s="124" t="s">
        <v>1628</v>
      </c>
      <c r="G1" s="125" t="s">
        <v>1629</v>
      </c>
    </row>
    <row r="2" ht="15" spans="1:7">
      <c r="A2" s="126" t="s">
        <v>1630</v>
      </c>
      <c r="B2" s="127" t="s">
        <v>1631</v>
      </c>
      <c r="C2" s="126" t="s">
        <v>435</v>
      </c>
      <c r="D2" s="126" t="s">
        <v>1632</v>
      </c>
      <c r="E2" s="110" t="s">
        <v>372</v>
      </c>
      <c r="F2" s="126">
        <v>6.665</v>
      </c>
      <c r="G2" s="126" t="s">
        <v>1633</v>
      </c>
    </row>
    <row r="3" ht="15" spans="1:7">
      <c r="A3" s="126" t="s">
        <v>1634</v>
      </c>
      <c r="B3" s="127" t="s">
        <v>1631</v>
      </c>
      <c r="C3" s="126" t="s">
        <v>901</v>
      </c>
      <c r="D3" s="126" t="s">
        <v>1635</v>
      </c>
      <c r="E3" s="126" t="s">
        <v>372</v>
      </c>
      <c r="F3" s="126">
        <v>5.4398</v>
      </c>
      <c r="G3" s="126" t="s">
        <v>1633</v>
      </c>
    </row>
    <row r="4" ht="15" spans="1:7">
      <c r="A4" s="126" t="s">
        <v>1636</v>
      </c>
      <c r="B4" s="127" t="s">
        <v>1631</v>
      </c>
      <c r="C4" s="126" t="s">
        <v>896</v>
      </c>
      <c r="D4" s="126" t="s">
        <v>1635</v>
      </c>
      <c r="E4" s="126" t="s">
        <v>372</v>
      </c>
      <c r="F4" s="126">
        <v>5.335745</v>
      </c>
      <c r="G4" s="126" t="s">
        <v>1633</v>
      </c>
    </row>
    <row r="5" ht="15" spans="1:7">
      <c r="A5" s="126" t="s">
        <v>1637</v>
      </c>
      <c r="B5" s="127" t="s">
        <v>1631</v>
      </c>
      <c r="C5" s="126" t="s">
        <v>1638</v>
      </c>
      <c r="D5" s="128" t="s">
        <v>1639</v>
      </c>
      <c r="E5" s="126" t="s">
        <v>775</v>
      </c>
      <c r="F5" s="126">
        <v>9.5</v>
      </c>
      <c r="G5" s="110" t="s">
        <v>1640</v>
      </c>
    </row>
    <row r="6" ht="15" spans="1:7">
      <c r="A6" s="126" t="s">
        <v>1641</v>
      </c>
      <c r="B6" s="127" t="s">
        <v>1631</v>
      </c>
      <c r="C6" s="126" t="s">
        <v>35</v>
      </c>
      <c r="D6" s="128" t="s">
        <v>1642</v>
      </c>
      <c r="E6" s="126" t="s">
        <v>775</v>
      </c>
      <c r="F6" s="126">
        <v>2.671105</v>
      </c>
      <c r="G6" s="126" t="s">
        <v>1633</v>
      </c>
    </row>
    <row r="7" ht="15" spans="1:7">
      <c r="A7" s="126" t="s">
        <v>1643</v>
      </c>
      <c r="B7" s="127" t="s">
        <v>1631</v>
      </c>
      <c r="C7" s="126" t="s">
        <v>1536</v>
      </c>
      <c r="D7" s="126" t="s">
        <v>1644</v>
      </c>
      <c r="E7" s="110" t="s">
        <v>775</v>
      </c>
      <c r="F7" s="126">
        <v>1.2849</v>
      </c>
      <c r="G7" s="126"/>
    </row>
    <row r="8" ht="15" spans="1:7">
      <c r="A8" s="126" t="s">
        <v>1645</v>
      </c>
      <c r="B8" s="127" t="s">
        <v>1631</v>
      </c>
      <c r="C8" s="126" t="s">
        <v>308</v>
      </c>
      <c r="D8" s="128" t="s">
        <v>1646</v>
      </c>
      <c r="E8" s="126" t="s">
        <v>372</v>
      </c>
      <c r="F8" s="126">
        <v>6.177486</v>
      </c>
      <c r="G8" s="126" t="s">
        <v>1633</v>
      </c>
    </row>
    <row r="9" ht="15" spans="1:7">
      <c r="A9" s="126" t="s">
        <v>1647</v>
      </c>
      <c r="B9" s="127" t="s">
        <v>1631</v>
      </c>
      <c r="C9" s="126" t="s">
        <v>580</v>
      </c>
      <c r="D9" s="128" t="s">
        <v>1646</v>
      </c>
      <c r="E9" s="110" t="s">
        <v>775</v>
      </c>
      <c r="F9" s="126">
        <v>4.06</v>
      </c>
      <c r="G9" s="126" t="s">
        <v>1633</v>
      </c>
    </row>
    <row r="10" ht="15" spans="1:7">
      <c r="A10" s="126" t="s">
        <v>1648</v>
      </c>
      <c r="B10" s="127" t="s">
        <v>1631</v>
      </c>
      <c r="C10" s="126" t="s">
        <v>974</v>
      </c>
      <c r="D10" s="128" t="s">
        <v>1646</v>
      </c>
      <c r="E10" s="126" t="s">
        <v>775</v>
      </c>
      <c r="F10" s="126">
        <v>3</v>
      </c>
      <c r="G10" s="126" t="s">
        <v>1649</v>
      </c>
    </row>
    <row r="11" ht="15" spans="1:7">
      <c r="A11" s="126" t="s">
        <v>1650</v>
      </c>
      <c r="B11" s="127" t="s">
        <v>1631</v>
      </c>
      <c r="C11" s="126" t="s">
        <v>681</v>
      </c>
      <c r="D11" s="128" t="s">
        <v>1642</v>
      </c>
      <c r="E11" s="126" t="s">
        <v>775</v>
      </c>
      <c r="F11" s="126">
        <v>6</v>
      </c>
      <c r="G11" s="126" t="s">
        <v>1633</v>
      </c>
    </row>
    <row r="12" ht="15" spans="1:7">
      <c r="A12" s="129" t="s">
        <v>1561</v>
      </c>
      <c r="B12" s="127" t="s">
        <v>1631</v>
      </c>
      <c r="C12" s="129" t="s">
        <v>1562</v>
      </c>
      <c r="D12" s="129" t="s">
        <v>1651</v>
      </c>
      <c r="E12" s="129" t="s">
        <v>372</v>
      </c>
      <c r="F12" s="129">
        <v>1.3</v>
      </c>
      <c r="G12" s="129"/>
    </row>
    <row r="13" ht="15" spans="1:7">
      <c r="A13" s="129" t="s">
        <v>1538</v>
      </c>
      <c r="B13" s="127" t="s">
        <v>1631</v>
      </c>
      <c r="C13" s="129" t="s">
        <v>1539</v>
      </c>
      <c r="D13" s="129" t="s">
        <v>1651</v>
      </c>
      <c r="E13" s="129" t="s">
        <v>372</v>
      </c>
      <c r="F13" s="129">
        <v>2</v>
      </c>
      <c r="G13" s="129"/>
    </row>
    <row r="14" ht="15" spans="1:7">
      <c r="A14" s="126" t="s">
        <v>1652</v>
      </c>
      <c r="B14" s="127" t="s">
        <v>1631</v>
      </c>
      <c r="C14" s="126" t="s">
        <v>562</v>
      </c>
      <c r="D14" s="126" t="s">
        <v>1653</v>
      </c>
      <c r="E14" s="126" t="s">
        <v>775</v>
      </c>
      <c r="F14" s="126">
        <v>0.15</v>
      </c>
      <c r="G14" s="126"/>
    </row>
    <row r="15" ht="15" spans="1:7">
      <c r="A15" s="126" t="s">
        <v>1654</v>
      </c>
      <c r="B15" s="127" t="s">
        <v>1631</v>
      </c>
      <c r="C15" s="126" t="s">
        <v>566</v>
      </c>
      <c r="D15" s="126" t="s">
        <v>1653</v>
      </c>
      <c r="E15" s="126" t="s">
        <v>775</v>
      </c>
      <c r="F15" s="126">
        <v>0.15</v>
      </c>
      <c r="G15" s="126"/>
    </row>
    <row r="16" ht="15" spans="1:7">
      <c r="A16" s="126" t="s">
        <v>1655</v>
      </c>
      <c r="B16" s="127" t="s">
        <v>1631</v>
      </c>
      <c r="C16" s="126" t="s">
        <v>568</v>
      </c>
      <c r="D16" s="126" t="s">
        <v>1653</v>
      </c>
      <c r="E16" s="126" t="s">
        <v>775</v>
      </c>
      <c r="F16" s="126">
        <v>0.15</v>
      </c>
      <c r="G16" s="126"/>
    </row>
    <row r="17" ht="15" spans="1:7">
      <c r="A17" s="126" t="s">
        <v>1656</v>
      </c>
      <c r="B17" s="127" t="s">
        <v>1631</v>
      </c>
      <c r="C17" s="126" t="s">
        <v>855</v>
      </c>
      <c r="D17" s="126" t="s">
        <v>1644</v>
      </c>
      <c r="E17" s="126" t="s">
        <v>775</v>
      </c>
      <c r="F17" s="126">
        <v>0.790714</v>
      </c>
      <c r="G17" s="126"/>
    </row>
    <row r="18" ht="15" spans="1:7">
      <c r="A18" s="126" t="s">
        <v>1657</v>
      </c>
      <c r="B18" s="127" t="s">
        <v>1631</v>
      </c>
      <c r="C18" s="126" t="s">
        <v>857</v>
      </c>
      <c r="D18" s="126" t="s">
        <v>1644</v>
      </c>
      <c r="E18" s="126" t="s">
        <v>775</v>
      </c>
      <c r="F18" s="126">
        <v>0.788214</v>
      </c>
      <c r="G18" s="126"/>
    </row>
    <row r="19" ht="15" spans="1:7">
      <c r="A19" s="126" t="s">
        <v>1658</v>
      </c>
      <c r="B19" s="127" t="s">
        <v>1659</v>
      </c>
      <c r="C19" s="126" t="s">
        <v>146</v>
      </c>
      <c r="D19" s="126" t="s">
        <v>1644</v>
      </c>
      <c r="E19" s="126" t="s">
        <v>372</v>
      </c>
      <c r="F19" s="126">
        <v>7.3</v>
      </c>
      <c r="G19" s="126"/>
    </row>
    <row r="20" ht="15" spans="1:7">
      <c r="A20" s="126" t="s">
        <v>1660</v>
      </c>
      <c r="B20" s="127" t="s">
        <v>1659</v>
      </c>
      <c r="C20" s="126" t="s">
        <v>151</v>
      </c>
      <c r="D20" s="126" t="s">
        <v>1644</v>
      </c>
      <c r="E20" s="126" t="s">
        <v>372</v>
      </c>
      <c r="F20" s="126">
        <v>7.3</v>
      </c>
      <c r="G20" s="126"/>
    </row>
    <row r="21" ht="15" spans="1:7">
      <c r="A21" s="126" t="s">
        <v>167</v>
      </c>
      <c r="B21" s="127" t="s">
        <v>1659</v>
      </c>
      <c r="C21" s="126" t="s">
        <v>169</v>
      </c>
      <c r="D21" s="126" t="s">
        <v>1644</v>
      </c>
      <c r="E21" s="126" t="s">
        <v>372</v>
      </c>
      <c r="F21" s="126">
        <v>6.5</v>
      </c>
      <c r="G21" s="126"/>
    </row>
    <row r="22" ht="15" spans="1:7">
      <c r="A22" s="126" t="s">
        <v>1661</v>
      </c>
      <c r="B22" s="127" t="s">
        <v>1659</v>
      </c>
      <c r="C22" s="126" t="s">
        <v>141</v>
      </c>
      <c r="D22" s="126" t="s">
        <v>1662</v>
      </c>
      <c r="E22" s="126" t="s">
        <v>372</v>
      </c>
      <c r="F22" s="126">
        <v>18</v>
      </c>
      <c r="G22" s="126"/>
    </row>
    <row r="23" ht="15" spans="1:7">
      <c r="A23" s="126" t="s">
        <v>1663</v>
      </c>
      <c r="B23" s="127" t="s">
        <v>1659</v>
      </c>
      <c r="C23" s="126" t="s">
        <v>311</v>
      </c>
      <c r="D23" s="126" t="s">
        <v>1644</v>
      </c>
      <c r="E23" s="126" t="s">
        <v>372</v>
      </c>
      <c r="F23" s="126">
        <v>2.116</v>
      </c>
      <c r="G23" s="126"/>
    </row>
    <row r="24" ht="15" spans="1:7">
      <c r="A24" s="126" t="s">
        <v>1664</v>
      </c>
      <c r="B24" s="127" t="s">
        <v>1659</v>
      </c>
      <c r="C24" s="126" t="s">
        <v>972</v>
      </c>
      <c r="D24" s="128" t="s">
        <v>1646</v>
      </c>
      <c r="E24" s="126" t="s">
        <v>775</v>
      </c>
      <c r="F24" s="126">
        <v>3</v>
      </c>
      <c r="G24" s="126" t="s">
        <v>1649</v>
      </c>
    </row>
    <row r="25" ht="15" spans="1:7">
      <c r="A25" s="126" t="s">
        <v>1665</v>
      </c>
      <c r="B25" s="127" t="s">
        <v>1659</v>
      </c>
      <c r="C25" s="126" t="s">
        <v>305</v>
      </c>
      <c r="D25" s="128" t="s">
        <v>1646</v>
      </c>
      <c r="E25" s="126" t="s">
        <v>775</v>
      </c>
      <c r="F25" s="126">
        <v>5.057831</v>
      </c>
      <c r="G25" s="126" t="s">
        <v>1633</v>
      </c>
    </row>
    <row r="26" ht="15" spans="1:7">
      <c r="A26" s="126" t="s">
        <v>1666</v>
      </c>
      <c r="B26" s="127" t="s">
        <v>1659</v>
      </c>
      <c r="C26" s="126" t="s">
        <v>437</v>
      </c>
      <c r="D26" s="126" t="s">
        <v>1632</v>
      </c>
      <c r="E26" s="126" t="s">
        <v>775</v>
      </c>
      <c r="F26" s="126">
        <v>6.665</v>
      </c>
      <c r="G26" s="126" t="s">
        <v>1633</v>
      </c>
    </row>
    <row r="27" ht="15" spans="1:7">
      <c r="A27" s="126" t="s">
        <v>1667</v>
      </c>
      <c r="B27" s="127" t="s">
        <v>1659</v>
      </c>
      <c r="C27" s="126" t="s">
        <v>39</v>
      </c>
      <c r="D27" s="128" t="s">
        <v>1642</v>
      </c>
      <c r="E27" s="126" t="s">
        <v>775</v>
      </c>
      <c r="F27" s="126">
        <v>2.687105</v>
      </c>
      <c r="G27" s="126" t="s">
        <v>1633</v>
      </c>
    </row>
    <row r="28" ht="15" spans="1:7">
      <c r="A28" s="129" t="s">
        <v>967</v>
      </c>
      <c r="B28" s="127" t="s">
        <v>1659</v>
      </c>
      <c r="C28" s="129" t="s">
        <v>969</v>
      </c>
      <c r="D28" s="130" t="s">
        <v>1668</v>
      </c>
      <c r="E28" s="129" t="s">
        <v>775</v>
      </c>
      <c r="F28" s="129">
        <v>3</v>
      </c>
      <c r="G28" s="126" t="s">
        <v>1649</v>
      </c>
    </row>
    <row r="29" ht="15" spans="1:7">
      <c r="A29" s="129" t="s">
        <v>1226</v>
      </c>
      <c r="B29" s="127" t="s">
        <v>1659</v>
      </c>
      <c r="C29" s="129" t="s">
        <v>1228</v>
      </c>
      <c r="D29" s="129" t="s">
        <v>1651</v>
      </c>
      <c r="E29" s="126" t="s">
        <v>775</v>
      </c>
      <c r="F29" s="129">
        <v>2.41</v>
      </c>
      <c r="G29" s="131"/>
    </row>
    <row r="30" ht="15" spans="1:7">
      <c r="A30" s="126" t="s">
        <v>1669</v>
      </c>
      <c r="B30" s="127" t="s">
        <v>1659</v>
      </c>
      <c r="C30" s="126" t="s">
        <v>859</v>
      </c>
      <c r="D30" s="126" t="s">
        <v>1644</v>
      </c>
      <c r="E30" s="126" t="s">
        <v>775</v>
      </c>
      <c r="F30" s="126">
        <v>0.787614</v>
      </c>
      <c r="G30" s="126"/>
    </row>
    <row r="31" ht="15" spans="1:7">
      <c r="A31" s="126" t="s">
        <v>1670</v>
      </c>
      <c r="B31" s="127" t="s">
        <v>1671</v>
      </c>
      <c r="C31" s="126" t="s">
        <v>302</v>
      </c>
      <c r="D31" s="128" t="s">
        <v>1646</v>
      </c>
      <c r="E31" s="126" t="s">
        <v>775</v>
      </c>
      <c r="F31" s="126">
        <v>5.006831</v>
      </c>
      <c r="G31" s="126" t="s">
        <v>1633</v>
      </c>
    </row>
    <row r="32" ht="15" spans="1:7">
      <c r="A32" s="126" t="s">
        <v>1672</v>
      </c>
      <c r="B32" s="127" t="s">
        <v>1671</v>
      </c>
      <c r="C32" s="126" t="s">
        <v>956</v>
      </c>
      <c r="D32" s="128" t="s">
        <v>1639</v>
      </c>
      <c r="E32" s="126" t="s">
        <v>775</v>
      </c>
      <c r="F32" s="126">
        <v>3.8</v>
      </c>
      <c r="G32" s="126" t="s">
        <v>1649</v>
      </c>
    </row>
    <row r="33" ht="15" spans="1:7">
      <c r="A33" s="126" t="s">
        <v>1673</v>
      </c>
      <c r="B33" s="127" t="s">
        <v>1671</v>
      </c>
      <c r="C33" s="126" t="s">
        <v>911</v>
      </c>
      <c r="D33" s="126" t="s">
        <v>1674</v>
      </c>
      <c r="E33" s="126" t="s">
        <v>372</v>
      </c>
      <c r="F33" s="126">
        <v>6.045385</v>
      </c>
      <c r="G33" s="126" t="s">
        <v>1633</v>
      </c>
    </row>
    <row r="34" ht="15" spans="1:7">
      <c r="A34" s="126" t="s">
        <v>1675</v>
      </c>
      <c r="B34" s="127" t="s">
        <v>1671</v>
      </c>
      <c r="C34" s="126" t="s">
        <v>976</v>
      </c>
      <c r="D34" s="128" t="s">
        <v>1646</v>
      </c>
      <c r="E34" s="126" t="s">
        <v>775</v>
      </c>
      <c r="F34" s="126">
        <v>3</v>
      </c>
      <c r="G34" s="126" t="s">
        <v>1649</v>
      </c>
    </row>
    <row r="35" ht="15" spans="1:7">
      <c r="A35" s="126" t="s">
        <v>1676</v>
      </c>
      <c r="B35" s="127" t="s">
        <v>1671</v>
      </c>
      <c r="C35" s="126" t="s">
        <v>679</v>
      </c>
      <c r="D35" s="128" t="s">
        <v>1642</v>
      </c>
      <c r="E35" s="126" t="s">
        <v>775</v>
      </c>
      <c r="F35" s="126">
        <v>6</v>
      </c>
      <c r="G35" s="126" t="s">
        <v>1633</v>
      </c>
    </row>
    <row r="36" ht="15" spans="1:7">
      <c r="A36" s="126" t="s">
        <v>1677</v>
      </c>
      <c r="B36" s="127" t="s">
        <v>1671</v>
      </c>
      <c r="C36" s="126" t="s">
        <v>993</v>
      </c>
      <c r="D36" s="128" t="s">
        <v>1639</v>
      </c>
      <c r="E36" s="126" t="s">
        <v>775</v>
      </c>
      <c r="F36" s="132">
        <v>6.220516</v>
      </c>
      <c r="G36" s="133" t="s">
        <v>1678</v>
      </c>
    </row>
    <row r="37" ht="15" spans="1:7">
      <c r="A37" s="126" t="s">
        <v>1679</v>
      </c>
      <c r="B37" s="127" t="s">
        <v>1671</v>
      </c>
      <c r="C37" s="126" t="s">
        <v>943</v>
      </c>
      <c r="D37" s="126" t="s">
        <v>1644</v>
      </c>
      <c r="E37" s="126" t="s">
        <v>775</v>
      </c>
      <c r="F37" s="126">
        <v>0.289152</v>
      </c>
      <c r="G37" s="126"/>
    </row>
    <row r="38" ht="15" spans="1:7">
      <c r="A38" s="126" t="s">
        <v>1680</v>
      </c>
      <c r="B38" s="127" t="s">
        <v>1671</v>
      </c>
      <c r="C38" s="126" t="s">
        <v>879</v>
      </c>
      <c r="D38" s="126" t="s">
        <v>1681</v>
      </c>
      <c r="E38" s="126" t="s">
        <v>775</v>
      </c>
      <c r="F38" s="126">
        <v>0.079261</v>
      </c>
      <c r="G38" s="126"/>
    </row>
    <row r="39" ht="15" spans="1:7">
      <c r="A39" s="126" t="s">
        <v>1682</v>
      </c>
      <c r="B39" s="127" t="s">
        <v>1671</v>
      </c>
      <c r="C39" s="126" t="s">
        <v>1504</v>
      </c>
      <c r="D39" s="128" t="s">
        <v>1642</v>
      </c>
      <c r="E39" s="126" t="s">
        <v>775</v>
      </c>
      <c r="F39" s="126">
        <v>2.589624</v>
      </c>
      <c r="G39" s="126" t="s">
        <v>1633</v>
      </c>
    </row>
    <row r="40" ht="15" spans="1:7">
      <c r="A40" s="126" t="s">
        <v>1683</v>
      </c>
      <c r="B40" s="127" t="s">
        <v>1671</v>
      </c>
      <c r="C40" s="126" t="s">
        <v>978</v>
      </c>
      <c r="D40" s="128" t="s">
        <v>1646</v>
      </c>
      <c r="E40" s="126" t="s">
        <v>775</v>
      </c>
      <c r="F40" s="126">
        <v>3</v>
      </c>
      <c r="G40" s="126" t="s">
        <v>1649</v>
      </c>
    </row>
    <row r="41" ht="15" spans="1:7">
      <c r="A41" s="129" t="s">
        <v>1684</v>
      </c>
      <c r="B41" s="127" t="s">
        <v>1671</v>
      </c>
      <c r="C41" s="129" t="s">
        <v>1685</v>
      </c>
      <c r="D41" s="130" t="s">
        <v>1686</v>
      </c>
      <c r="E41" s="129" t="s">
        <v>775</v>
      </c>
      <c r="F41" s="133">
        <v>2.5</v>
      </c>
      <c r="G41" s="133" t="s">
        <v>1678</v>
      </c>
    </row>
    <row r="42" ht="15" spans="1:7">
      <c r="A42" s="126" t="s">
        <v>1687</v>
      </c>
      <c r="B42" s="127" t="s">
        <v>1671</v>
      </c>
      <c r="C42" s="126" t="s">
        <v>326</v>
      </c>
      <c r="D42" s="126" t="s">
        <v>1644</v>
      </c>
      <c r="E42" s="126" t="s">
        <v>775</v>
      </c>
      <c r="F42" s="126">
        <v>4.42</v>
      </c>
      <c r="G42" s="126"/>
    </row>
    <row r="43" ht="15" spans="1:7">
      <c r="A43" s="126" t="s">
        <v>1688</v>
      </c>
      <c r="B43" s="127" t="s">
        <v>1671</v>
      </c>
      <c r="C43" s="126" t="s">
        <v>328</v>
      </c>
      <c r="D43" s="126" t="s">
        <v>1644</v>
      </c>
      <c r="E43" s="126" t="s">
        <v>775</v>
      </c>
      <c r="F43" s="126">
        <v>4.42</v>
      </c>
      <c r="G43" s="126"/>
    </row>
    <row r="44" ht="15" spans="1:7">
      <c r="A44" s="126" t="s">
        <v>1689</v>
      </c>
      <c r="B44" s="127" t="s">
        <v>1671</v>
      </c>
      <c r="C44" s="126" t="s">
        <v>319</v>
      </c>
      <c r="D44" s="126" t="s">
        <v>1644</v>
      </c>
      <c r="E44" s="126" t="s">
        <v>775</v>
      </c>
      <c r="F44" s="126">
        <v>4.42</v>
      </c>
      <c r="G44" s="126"/>
    </row>
    <row r="45" ht="15" spans="1:7">
      <c r="A45" s="126" t="s">
        <v>1690</v>
      </c>
      <c r="B45" s="127" t="s">
        <v>1671</v>
      </c>
      <c r="C45" s="126" t="s">
        <v>337</v>
      </c>
      <c r="D45" s="126" t="s">
        <v>1644</v>
      </c>
      <c r="E45" s="126" t="s">
        <v>372</v>
      </c>
      <c r="F45" s="126">
        <v>4.65</v>
      </c>
      <c r="G45" s="126"/>
    </row>
    <row r="46" ht="15" spans="1:7">
      <c r="A46" s="126" t="s">
        <v>1691</v>
      </c>
      <c r="B46" s="127" t="s">
        <v>1671</v>
      </c>
      <c r="C46" s="126" t="s">
        <v>1692</v>
      </c>
      <c r="D46" s="126" t="s">
        <v>1644</v>
      </c>
      <c r="E46" s="126" t="s">
        <v>775</v>
      </c>
      <c r="F46" s="126">
        <v>1.153194</v>
      </c>
      <c r="G46" s="126"/>
    </row>
    <row r="47" ht="15" spans="1:7">
      <c r="A47" s="126" t="s">
        <v>1693</v>
      </c>
      <c r="B47" s="127" t="s">
        <v>1671</v>
      </c>
      <c r="C47" s="126" t="s">
        <v>984</v>
      </c>
      <c r="D47" s="126" t="s">
        <v>1644</v>
      </c>
      <c r="E47" s="126" t="s">
        <v>775</v>
      </c>
      <c r="F47" s="126">
        <v>1.153028</v>
      </c>
      <c r="G47" s="126"/>
    </row>
    <row r="48" ht="15" spans="1:7">
      <c r="A48" s="126" t="s">
        <v>1694</v>
      </c>
      <c r="B48" s="127" t="s">
        <v>1695</v>
      </c>
      <c r="C48" s="126" t="s">
        <v>101</v>
      </c>
      <c r="D48" s="134" t="s">
        <v>1696</v>
      </c>
      <c r="E48" s="126" t="s">
        <v>775</v>
      </c>
      <c r="F48" s="126">
        <v>10.081134</v>
      </c>
      <c r="G48" s="126" t="s">
        <v>1633</v>
      </c>
    </row>
    <row r="49" ht="15" spans="1:7">
      <c r="A49" s="126" t="s">
        <v>1697</v>
      </c>
      <c r="B49" s="127" t="s">
        <v>1695</v>
      </c>
      <c r="C49" s="126" t="s">
        <v>583</v>
      </c>
      <c r="D49" s="128" t="s">
        <v>1646</v>
      </c>
      <c r="E49" s="126" t="s">
        <v>775</v>
      </c>
      <c r="F49" s="126">
        <v>4.06</v>
      </c>
      <c r="G49" s="126"/>
    </row>
    <row r="50" ht="15" spans="1:7">
      <c r="A50" s="126" t="s">
        <v>1698</v>
      </c>
      <c r="B50" s="127" t="s">
        <v>1695</v>
      </c>
      <c r="C50" s="126" t="s">
        <v>299</v>
      </c>
      <c r="D50" s="128" t="s">
        <v>1646</v>
      </c>
      <c r="E50" s="126" t="s">
        <v>775</v>
      </c>
      <c r="F50" s="126">
        <v>5.126831</v>
      </c>
      <c r="G50" s="126" t="s">
        <v>1633</v>
      </c>
    </row>
    <row r="51" ht="15" spans="1:7">
      <c r="A51" s="129" t="s">
        <v>1592</v>
      </c>
      <c r="B51" s="127" t="s">
        <v>1695</v>
      </c>
      <c r="C51" s="129" t="s">
        <v>1685</v>
      </c>
      <c r="D51" s="130" t="s">
        <v>1686</v>
      </c>
      <c r="E51" s="129" t="s">
        <v>775</v>
      </c>
      <c r="F51" s="133">
        <v>2.5</v>
      </c>
      <c r="G51" s="133" t="s">
        <v>1678</v>
      </c>
    </row>
    <row r="52" ht="15" spans="1:7">
      <c r="A52" s="126" t="s">
        <v>1699</v>
      </c>
      <c r="B52" s="127" t="s">
        <v>1695</v>
      </c>
      <c r="C52" s="126" t="s">
        <v>960</v>
      </c>
      <c r="D52" s="128" t="s">
        <v>1639</v>
      </c>
      <c r="E52" s="126" t="s">
        <v>775</v>
      </c>
      <c r="F52" s="126">
        <v>3.8</v>
      </c>
      <c r="G52" s="126" t="s">
        <v>1649</v>
      </c>
    </row>
    <row r="53" ht="15" spans="1:7">
      <c r="A53" s="126" t="s">
        <v>1700</v>
      </c>
      <c r="B53" s="127" t="s">
        <v>1695</v>
      </c>
      <c r="C53" s="126" t="s">
        <v>980</v>
      </c>
      <c r="D53" s="128" t="s">
        <v>1646</v>
      </c>
      <c r="E53" s="126" t="s">
        <v>775</v>
      </c>
      <c r="F53" s="126">
        <v>3</v>
      </c>
      <c r="G53" s="126" t="s">
        <v>1649</v>
      </c>
    </row>
    <row r="54" ht="15" spans="1:7">
      <c r="A54" s="126" t="s">
        <v>1701</v>
      </c>
      <c r="B54" s="127" t="s">
        <v>1695</v>
      </c>
      <c r="C54" s="126" t="s">
        <v>907</v>
      </c>
      <c r="D54" s="126" t="s">
        <v>1674</v>
      </c>
      <c r="E54" s="126" t="s">
        <v>372</v>
      </c>
      <c r="F54" s="126">
        <v>7.21038</v>
      </c>
      <c r="G54" s="126"/>
    </row>
    <row r="55" ht="15" spans="1:7">
      <c r="A55" s="126" t="s">
        <v>1702</v>
      </c>
      <c r="B55" s="127" t="s">
        <v>1695</v>
      </c>
      <c r="C55" s="126" t="s">
        <v>340</v>
      </c>
      <c r="D55" s="126" t="s">
        <v>1644</v>
      </c>
      <c r="E55" s="126" t="s">
        <v>372</v>
      </c>
      <c r="F55" s="126">
        <v>4.86</v>
      </c>
      <c r="G55" s="126"/>
    </row>
    <row r="56" ht="15" spans="1:7">
      <c r="A56" s="126" t="s">
        <v>1703</v>
      </c>
      <c r="B56" s="127" t="s">
        <v>1695</v>
      </c>
      <c r="C56" s="126" t="s">
        <v>324</v>
      </c>
      <c r="D56" s="126" t="s">
        <v>1644</v>
      </c>
      <c r="E56" s="126" t="s">
        <v>775</v>
      </c>
      <c r="F56" s="126">
        <v>4.42</v>
      </c>
      <c r="G56" s="126"/>
    </row>
    <row r="57" ht="15" spans="1:7">
      <c r="A57" s="126" t="s">
        <v>1704</v>
      </c>
      <c r="B57" s="127" t="s">
        <v>1695</v>
      </c>
      <c r="C57" s="126" t="s">
        <v>333</v>
      </c>
      <c r="D57" s="126" t="s">
        <v>1644</v>
      </c>
      <c r="E57" s="126" t="s">
        <v>775</v>
      </c>
      <c r="F57" s="126">
        <v>3.32</v>
      </c>
      <c r="G57" s="126"/>
    </row>
    <row r="58" ht="15" spans="1:7">
      <c r="A58" s="126" t="s">
        <v>1705</v>
      </c>
      <c r="B58" s="127" t="s">
        <v>1695</v>
      </c>
      <c r="C58" s="126" t="s">
        <v>331</v>
      </c>
      <c r="D58" s="126" t="s">
        <v>1644</v>
      </c>
      <c r="E58" s="126" t="s">
        <v>775</v>
      </c>
      <c r="F58" s="126">
        <v>3.32</v>
      </c>
      <c r="G58" s="126"/>
    </row>
    <row r="59" ht="15" spans="1:7">
      <c r="A59" s="126" t="s">
        <v>1706</v>
      </c>
      <c r="B59" s="127" t="s">
        <v>1695</v>
      </c>
      <c r="C59" s="129" t="s">
        <v>1707</v>
      </c>
      <c r="D59" s="130" t="s">
        <v>1668</v>
      </c>
      <c r="E59" s="129" t="s">
        <v>775</v>
      </c>
      <c r="F59" s="133">
        <v>3.5</v>
      </c>
      <c r="G59" s="133" t="s">
        <v>1678</v>
      </c>
    </row>
    <row r="60" ht="15" spans="1:7">
      <c r="A60" s="126" t="s">
        <v>1708</v>
      </c>
      <c r="B60" s="127" t="s">
        <v>1695</v>
      </c>
      <c r="C60" s="126" t="s">
        <v>941</v>
      </c>
      <c r="D60" s="126" t="s">
        <v>1644</v>
      </c>
      <c r="E60" s="126" t="s">
        <v>775</v>
      </c>
      <c r="F60" s="126">
        <v>0.289052</v>
      </c>
      <c r="G60" s="126"/>
    </row>
    <row r="61" ht="15" spans="1:7">
      <c r="A61" s="126" t="s">
        <v>1709</v>
      </c>
      <c r="B61" s="127" t="s">
        <v>1695</v>
      </c>
      <c r="C61" s="126" t="s">
        <v>877</v>
      </c>
      <c r="D61" s="126" t="s">
        <v>1681</v>
      </c>
      <c r="E61" s="126" t="s">
        <v>775</v>
      </c>
      <c r="F61" s="126">
        <v>0.079161</v>
      </c>
      <c r="G61" s="126"/>
    </row>
    <row r="62" ht="15" spans="1:7">
      <c r="A62" s="126" t="s">
        <v>1710</v>
      </c>
      <c r="B62" s="127" t="s">
        <v>1711</v>
      </c>
      <c r="C62" s="126" t="s">
        <v>155</v>
      </c>
      <c r="D62" s="126" t="s">
        <v>1644</v>
      </c>
      <c r="E62" s="126" t="s">
        <v>372</v>
      </c>
      <c r="F62" s="126">
        <v>7.3</v>
      </c>
      <c r="G62" s="126"/>
    </row>
    <row r="63" ht="15" spans="1:7">
      <c r="A63" s="126" t="s">
        <v>162</v>
      </c>
      <c r="B63" s="127" t="s">
        <v>1711</v>
      </c>
      <c r="C63" s="126" t="s">
        <v>164</v>
      </c>
      <c r="D63" s="126" t="s">
        <v>1644</v>
      </c>
      <c r="E63" s="126" t="s">
        <v>372</v>
      </c>
      <c r="F63" s="126">
        <v>6.5</v>
      </c>
      <c r="G63" s="126"/>
    </row>
    <row r="64" ht="15" spans="1:7">
      <c r="A64" s="126" t="s">
        <v>1712</v>
      </c>
      <c r="B64" s="127" t="s">
        <v>1711</v>
      </c>
      <c r="C64" s="126" t="s">
        <v>113</v>
      </c>
      <c r="D64" s="126" t="s">
        <v>1644</v>
      </c>
      <c r="E64" s="126" t="s">
        <v>372</v>
      </c>
      <c r="F64" s="126">
        <v>6.386789</v>
      </c>
      <c r="G64" s="126"/>
    </row>
    <row r="65" ht="15" spans="1:7">
      <c r="A65" s="126" t="s">
        <v>1713</v>
      </c>
      <c r="B65" s="127" t="s">
        <v>1711</v>
      </c>
      <c r="C65" s="126" t="s">
        <v>131</v>
      </c>
      <c r="D65" s="126" t="s">
        <v>1662</v>
      </c>
      <c r="E65" s="126" t="s">
        <v>372</v>
      </c>
      <c r="F65" s="126">
        <v>18</v>
      </c>
      <c r="G65" s="126"/>
    </row>
    <row r="66" ht="15" spans="1:7">
      <c r="A66" s="126" t="s">
        <v>1714</v>
      </c>
      <c r="B66" s="127" t="s">
        <v>1715</v>
      </c>
      <c r="C66" s="126" t="s">
        <v>159</v>
      </c>
      <c r="D66" s="126" t="s">
        <v>1644</v>
      </c>
      <c r="E66" s="126" t="s">
        <v>372</v>
      </c>
      <c r="F66" s="126">
        <v>7.3</v>
      </c>
      <c r="G66" s="126"/>
    </row>
    <row r="67" ht="15" spans="1:7">
      <c r="A67" s="126" t="s">
        <v>165</v>
      </c>
      <c r="B67" s="127" t="s">
        <v>1715</v>
      </c>
      <c r="C67" s="126" t="s">
        <v>166</v>
      </c>
      <c r="D67" s="126" t="s">
        <v>1644</v>
      </c>
      <c r="E67" s="126" t="s">
        <v>372</v>
      </c>
      <c r="F67" s="126">
        <v>6.5</v>
      </c>
      <c r="G67" s="126"/>
    </row>
    <row r="68" ht="15" spans="1:7">
      <c r="A68" s="126" t="s">
        <v>1716</v>
      </c>
      <c r="B68" s="127" t="s">
        <v>1715</v>
      </c>
      <c r="C68" s="126" t="s">
        <v>105</v>
      </c>
      <c r="D68" s="126" t="s">
        <v>1635</v>
      </c>
      <c r="E68" s="126" t="s">
        <v>372</v>
      </c>
      <c r="F68" s="126">
        <v>3.869881</v>
      </c>
      <c r="G68" s="126"/>
    </row>
    <row r="69" ht="15" spans="1:7">
      <c r="A69" s="126" t="s">
        <v>1717</v>
      </c>
      <c r="B69" s="127" t="s">
        <v>1715</v>
      </c>
      <c r="C69" s="126" t="s">
        <v>138</v>
      </c>
      <c r="D69" s="126" t="s">
        <v>1662</v>
      </c>
      <c r="E69" s="126" t="s">
        <v>372</v>
      </c>
      <c r="F69" s="126">
        <v>18</v>
      </c>
      <c r="G69" s="12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3"/>
  <sheetViews>
    <sheetView topLeftCell="A246" workbookViewId="0">
      <selection activeCell="H154" sqref="H154"/>
    </sheetView>
  </sheetViews>
  <sheetFormatPr defaultColWidth="9" defaultRowHeight="13.5"/>
  <cols>
    <col min="1" max="1" width="16.2166666666667" customWidth="1"/>
    <col min="2" max="2" width="22.8833333333333" style="67" customWidth="1"/>
    <col min="3" max="3" width="16.775" style="69" hidden="1" customWidth="1"/>
    <col min="4" max="4" width="16.6666666666667" style="69" hidden="1" customWidth="1"/>
    <col min="5" max="5" width="21.5583333333333" style="69" hidden="1" customWidth="1"/>
    <col min="6" max="6" width="9.88333333333333" style="70" customWidth="1"/>
    <col min="7" max="7" width="19.775" style="70" customWidth="1"/>
    <col min="8" max="8" width="20.4416666666667" style="71" customWidth="1"/>
    <col min="9" max="9" width="10" style="71" customWidth="1"/>
    <col min="10" max="10" width="36.2166666666667" style="71" customWidth="1"/>
    <col min="11" max="11" width="13.775" style="71" customWidth="1"/>
    <col min="12" max="12" width="11" style="71" hidden="1" customWidth="1"/>
    <col min="13" max="13" width="40.2166666666667" style="72" customWidth="1"/>
    <col min="14" max="16384" width="9" style="72"/>
  </cols>
  <sheetData>
    <row r="1" ht="61.15" customHeight="1" spans="1:13">
      <c r="A1" s="73" t="s">
        <v>1718</v>
      </c>
      <c r="B1" s="74" t="s">
        <v>1623</v>
      </c>
      <c r="C1" s="75" t="s">
        <v>1719</v>
      </c>
      <c r="D1" s="76" t="s">
        <v>1720</v>
      </c>
      <c r="E1" s="76" t="s">
        <v>1721</v>
      </c>
      <c r="F1" s="77" t="s">
        <v>1722</v>
      </c>
      <c r="G1" s="76" t="s">
        <v>1723</v>
      </c>
      <c r="H1" s="76" t="s">
        <v>1724</v>
      </c>
      <c r="I1" s="75" t="s">
        <v>1725</v>
      </c>
      <c r="J1" s="75" t="s">
        <v>1726</v>
      </c>
      <c r="K1" s="75" t="s">
        <v>1727</v>
      </c>
      <c r="L1" s="78" t="s">
        <v>1728</v>
      </c>
    </row>
    <row r="2" ht="27" spans="1:13">
      <c r="A2" s="79" t="s">
        <v>1729</v>
      </c>
      <c r="B2" s="67" t="s">
        <v>1730</v>
      </c>
      <c r="C2" s="80" t="s">
        <v>1731</v>
      </c>
      <c r="D2" s="80" t="s">
        <v>122</v>
      </c>
      <c r="E2" s="80" t="s">
        <v>1443</v>
      </c>
      <c r="F2" s="81">
        <v>1</v>
      </c>
      <c r="G2" s="8" t="s">
        <v>372</v>
      </c>
      <c r="H2" s="82" t="s">
        <v>1732</v>
      </c>
      <c r="I2" s="78" t="s">
        <v>1733</v>
      </c>
      <c r="J2" s="78" t="s">
        <v>1734</v>
      </c>
      <c r="K2" s="78" t="s">
        <v>1735</v>
      </c>
      <c r="M2" s="83" t="s">
        <v>1736</v>
      </c>
    </row>
    <row r="3" ht="27" spans="1:13">
      <c r="A3" s="79" t="s">
        <v>1729</v>
      </c>
      <c r="B3" s="67" t="s">
        <v>1737</v>
      </c>
      <c r="C3" s="80" t="s">
        <v>1731</v>
      </c>
      <c r="D3" s="80" t="s">
        <v>117</v>
      </c>
      <c r="E3" s="80" t="s">
        <v>1439</v>
      </c>
      <c r="F3" s="81">
        <v>1</v>
      </c>
      <c r="G3" s="8" t="s">
        <v>372</v>
      </c>
      <c r="H3" s="82" t="s">
        <v>1732</v>
      </c>
      <c r="I3" s="78" t="s">
        <v>1733</v>
      </c>
      <c r="J3" s="78" t="s">
        <v>1738</v>
      </c>
      <c r="K3" s="78" t="s">
        <v>1735</v>
      </c>
      <c r="M3" s="83" t="s">
        <v>1736</v>
      </c>
    </row>
    <row r="4" ht="27" spans="1:13">
      <c r="A4" s="79" t="s">
        <v>1729</v>
      </c>
      <c r="B4" s="67" t="s">
        <v>1739</v>
      </c>
      <c r="C4" s="80" t="s">
        <v>1731</v>
      </c>
      <c r="D4" s="80" t="s">
        <v>126</v>
      </c>
      <c r="E4" s="80" t="s">
        <v>1439</v>
      </c>
      <c r="F4" s="81">
        <v>1</v>
      </c>
      <c r="G4" s="8" t="s">
        <v>372</v>
      </c>
      <c r="H4" s="82" t="s">
        <v>1732</v>
      </c>
      <c r="I4" s="78" t="s">
        <v>1733</v>
      </c>
      <c r="J4" s="78" t="s">
        <v>1740</v>
      </c>
      <c r="K4" s="78" t="s">
        <v>1735</v>
      </c>
      <c r="M4" s="83" t="s">
        <v>1741</v>
      </c>
    </row>
    <row r="5" ht="27" spans="1:13">
      <c r="A5" s="79" t="s">
        <v>1729</v>
      </c>
      <c r="B5" s="67" t="s">
        <v>1742</v>
      </c>
      <c r="C5" s="80" t="s">
        <v>1743</v>
      </c>
      <c r="D5" s="80" t="s">
        <v>131</v>
      </c>
      <c r="E5" s="80" t="s">
        <v>1744</v>
      </c>
      <c r="F5" s="81">
        <v>1</v>
      </c>
      <c r="G5" s="8" t="s">
        <v>372</v>
      </c>
      <c r="H5" s="82" t="s">
        <v>1745</v>
      </c>
      <c r="I5" s="78" t="s">
        <v>1733</v>
      </c>
      <c r="J5" s="78" t="s">
        <v>1746</v>
      </c>
      <c r="K5" s="78" t="s">
        <v>26</v>
      </c>
      <c r="M5" s="83" t="s">
        <v>1736</v>
      </c>
    </row>
    <row r="6" ht="27" spans="1:13">
      <c r="A6" s="79" t="s">
        <v>1729</v>
      </c>
      <c r="B6" s="67" t="s">
        <v>1747</v>
      </c>
      <c r="C6" s="80" t="s">
        <v>1743</v>
      </c>
      <c r="D6" s="84" t="s">
        <v>138</v>
      </c>
      <c r="E6" s="80" t="s">
        <v>1744</v>
      </c>
      <c r="F6" s="81">
        <v>1</v>
      </c>
      <c r="G6" s="8" t="s">
        <v>372</v>
      </c>
      <c r="H6" s="82" t="s">
        <v>1745</v>
      </c>
      <c r="I6" s="78" t="s">
        <v>1733</v>
      </c>
      <c r="J6" s="78" t="s">
        <v>1748</v>
      </c>
      <c r="K6" s="78" t="s">
        <v>26</v>
      </c>
      <c r="M6" s="83" t="s">
        <v>1736</v>
      </c>
    </row>
    <row r="7" ht="27" spans="1:13">
      <c r="A7" s="79" t="s">
        <v>1729</v>
      </c>
      <c r="B7" s="67" t="s">
        <v>1749</v>
      </c>
      <c r="C7" s="80" t="s">
        <v>1743</v>
      </c>
      <c r="D7" s="80" t="s">
        <v>141</v>
      </c>
      <c r="E7" s="80" t="s">
        <v>1750</v>
      </c>
      <c r="F7" s="81">
        <v>1</v>
      </c>
      <c r="G7" s="8" t="s">
        <v>372</v>
      </c>
      <c r="H7" s="82" t="s">
        <v>1745</v>
      </c>
      <c r="I7" s="78" t="s">
        <v>1733</v>
      </c>
      <c r="J7" s="78" t="s">
        <v>1751</v>
      </c>
      <c r="K7" s="78" t="s">
        <v>26</v>
      </c>
      <c r="M7" s="83" t="s">
        <v>1736</v>
      </c>
    </row>
    <row r="8" ht="27" spans="1:13">
      <c r="A8" s="79" t="s">
        <v>1729</v>
      </c>
      <c r="B8" s="67" t="s">
        <v>162</v>
      </c>
      <c r="C8" s="80" t="s">
        <v>1743</v>
      </c>
      <c r="D8" s="80" t="s">
        <v>163</v>
      </c>
      <c r="E8" s="80" t="s">
        <v>1744</v>
      </c>
      <c r="F8" s="81">
        <v>1</v>
      </c>
      <c r="G8" s="8" t="s">
        <v>372</v>
      </c>
      <c r="H8" s="82" t="s">
        <v>1732</v>
      </c>
      <c r="I8" s="78" t="s">
        <v>1733</v>
      </c>
      <c r="J8" s="78" t="s">
        <v>1752</v>
      </c>
      <c r="K8" s="78" t="s">
        <v>26</v>
      </c>
      <c r="M8" s="83" t="s">
        <v>1736</v>
      </c>
    </row>
    <row r="9" ht="27" spans="1:13">
      <c r="A9" s="79" t="s">
        <v>1729</v>
      </c>
      <c r="B9" s="67" t="s">
        <v>165</v>
      </c>
      <c r="C9" s="80" t="s">
        <v>1743</v>
      </c>
      <c r="D9" s="80" t="s">
        <v>163</v>
      </c>
      <c r="E9" s="80" t="s">
        <v>1744</v>
      </c>
      <c r="F9" s="81">
        <v>1</v>
      </c>
      <c r="G9" s="8" t="s">
        <v>372</v>
      </c>
      <c r="H9" s="82" t="s">
        <v>1732</v>
      </c>
      <c r="I9" s="78" t="s">
        <v>1733</v>
      </c>
      <c r="J9" s="78" t="s">
        <v>1753</v>
      </c>
      <c r="K9" s="78" t="s">
        <v>26</v>
      </c>
      <c r="M9" s="83" t="s">
        <v>1736</v>
      </c>
    </row>
    <row r="10" ht="27" spans="1:13">
      <c r="A10" s="79" t="s">
        <v>1729</v>
      </c>
      <c r="B10" s="67" t="s">
        <v>167</v>
      </c>
      <c r="C10" s="80" t="s">
        <v>1743</v>
      </c>
      <c r="D10" s="80" t="s">
        <v>168</v>
      </c>
      <c r="E10" s="80" t="s">
        <v>1750</v>
      </c>
      <c r="F10" s="81">
        <v>1</v>
      </c>
      <c r="G10" s="8" t="s">
        <v>372</v>
      </c>
      <c r="H10" s="82" t="s">
        <v>1732</v>
      </c>
      <c r="I10" s="78" t="s">
        <v>1733</v>
      </c>
      <c r="J10" s="78" t="s">
        <v>1754</v>
      </c>
      <c r="K10" s="78" t="s">
        <v>26</v>
      </c>
      <c r="M10" s="83" t="s">
        <v>1736</v>
      </c>
    </row>
    <row r="11" ht="27" spans="1:13">
      <c r="A11" s="79" t="s">
        <v>1729</v>
      </c>
      <c r="B11" s="67" t="s">
        <v>1755</v>
      </c>
      <c r="C11" s="80" t="s">
        <v>1743</v>
      </c>
      <c r="D11" s="80" t="s">
        <v>145</v>
      </c>
      <c r="E11" s="80" t="s">
        <v>1439</v>
      </c>
      <c r="F11" s="81">
        <v>1</v>
      </c>
      <c r="G11" s="8" t="s">
        <v>372</v>
      </c>
      <c r="H11" s="82" t="s">
        <v>1745</v>
      </c>
      <c r="I11" s="78" t="s">
        <v>1733</v>
      </c>
      <c r="J11" s="78" t="s">
        <v>1756</v>
      </c>
      <c r="K11" s="78" t="s">
        <v>26</v>
      </c>
      <c r="M11" s="83" t="s">
        <v>1736</v>
      </c>
    </row>
    <row r="12" ht="27" spans="1:13">
      <c r="A12" s="79" t="s">
        <v>1729</v>
      </c>
      <c r="B12" s="67" t="s">
        <v>1757</v>
      </c>
      <c r="C12" s="80" t="s">
        <v>1743</v>
      </c>
      <c r="D12" s="80" t="s">
        <v>145</v>
      </c>
      <c r="E12" s="80" t="s">
        <v>1439</v>
      </c>
      <c r="F12" s="81">
        <v>1</v>
      </c>
      <c r="G12" s="8" t="s">
        <v>372</v>
      </c>
      <c r="H12" s="82" t="s">
        <v>1745</v>
      </c>
      <c r="I12" s="78" t="s">
        <v>1733</v>
      </c>
      <c r="J12" s="78" t="s">
        <v>1756</v>
      </c>
      <c r="K12" s="78" t="s">
        <v>26</v>
      </c>
      <c r="M12" s="83" t="s">
        <v>1736</v>
      </c>
    </row>
    <row r="13" ht="27" spans="1:13">
      <c r="A13" s="79" t="s">
        <v>1729</v>
      </c>
      <c r="B13" s="67" t="s">
        <v>1758</v>
      </c>
      <c r="C13" s="80" t="s">
        <v>1743</v>
      </c>
      <c r="D13" s="80" t="s">
        <v>145</v>
      </c>
      <c r="E13" s="80" t="s">
        <v>1744</v>
      </c>
      <c r="F13" s="81">
        <v>1</v>
      </c>
      <c r="G13" s="8" t="s">
        <v>372</v>
      </c>
      <c r="H13" s="82" t="s">
        <v>1745</v>
      </c>
      <c r="I13" s="78" t="s">
        <v>1733</v>
      </c>
      <c r="J13" s="78" t="s">
        <v>1759</v>
      </c>
      <c r="K13" s="78" t="s">
        <v>26</v>
      </c>
      <c r="M13" s="83" t="s">
        <v>1736</v>
      </c>
    </row>
    <row r="14" ht="27" spans="1:13">
      <c r="A14" s="79" t="s">
        <v>1729</v>
      </c>
      <c r="B14" s="67" t="s">
        <v>1760</v>
      </c>
      <c r="C14" s="80" t="s">
        <v>1743</v>
      </c>
      <c r="D14" s="80" t="s">
        <v>145</v>
      </c>
      <c r="E14" s="80" t="s">
        <v>1744</v>
      </c>
      <c r="F14" s="81">
        <v>1</v>
      </c>
      <c r="G14" s="8" t="s">
        <v>372</v>
      </c>
      <c r="H14" s="82" t="s">
        <v>1745</v>
      </c>
      <c r="I14" s="78" t="s">
        <v>1733</v>
      </c>
      <c r="J14" s="78" t="s">
        <v>1759</v>
      </c>
      <c r="K14" s="78" t="s">
        <v>26</v>
      </c>
      <c r="M14" s="83" t="s">
        <v>1736</v>
      </c>
    </row>
    <row r="15" ht="27" spans="1:13">
      <c r="A15" s="79" t="s">
        <v>1729</v>
      </c>
      <c r="B15" s="85" t="s">
        <v>1761</v>
      </c>
      <c r="C15" s="85" t="s">
        <v>1762</v>
      </c>
      <c r="D15" s="84" t="s">
        <v>1763</v>
      </c>
      <c r="E15" s="84" t="s">
        <v>1764</v>
      </c>
      <c r="F15" s="81">
        <v>1</v>
      </c>
      <c r="G15" s="8" t="s">
        <v>372</v>
      </c>
      <c r="H15" s="82" t="s">
        <v>1745</v>
      </c>
      <c r="I15" s="78" t="s">
        <v>1733</v>
      </c>
      <c r="J15" s="78" t="s">
        <v>1765</v>
      </c>
      <c r="K15" s="78" t="s">
        <v>26</v>
      </c>
      <c r="M15" s="83" t="s">
        <v>1736</v>
      </c>
    </row>
    <row r="16" ht="27" spans="1:13">
      <c r="A16" s="79" t="s">
        <v>1729</v>
      </c>
      <c r="B16" s="85" t="s">
        <v>1766</v>
      </c>
      <c r="C16" s="85" t="s">
        <v>1762</v>
      </c>
      <c r="D16" s="84" t="s">
        <v>1763</v>
      </c>
      <c r="E16" s="84" t="s">
        <v>1764</v>
      </c>
      <c r="F16" s="81">
        <v>1</v>
      </c>
      <c r="G16" s="8" t="s">
        <v>372</v>
      </c>
      <c r="H16" s="82" t="s">
        <v>1745</v>
      </c>
      <c r="I16" s="78" t="s">
        <v>1733</v>
      </c>
      <c r="J16" s="78" t="s">
        <v>1767</v>
      </c>
      <c r="K16" s="78" t="s">
        <v>26</v>
      </c>
      <c r="M16" s="83" t="s">
        <v>1736</v>
      </c>
    </row>
    <row r="17" spans="1:11">
      <c r="A17" s="79" t="s">
        <v>1729</v>
      </c>
      <c r="B17" s="85" t="s">
        <v>1768</v>
      </c>
      <c r="C17" s="85" t="s">
        <v>1762</v>
      </c>
      <c r="D17" s="80" t="s">
        <v>1338</v>
      </c>
      <c r="E17" s="80" t="s">
        <v>1439</v>
      </c>
      <c r="F17" s="81">
        <v>1</v>
      </c>
      <c r="G17" s="86" t="s">
        <v>1769</v>
      </c>
      <c r="H17" s="78" t="s">
        <v>1769</v>
      </c>
      <c r="I17" s="78" t="s">
        <v>381</v>
      </c>
      <c r="J17" s="78" t="s">
        <v>381</v>
      </c>
      <c r="K17" s="78" t="s">
        <v>1735</v>
      </c>
    </row>
    <row r="18" spans="1:11">
      <c r="A18" s="79" t="s">
        <v>1729</v>
      </c>
      <c r="B18" s="67" t="s">
        <v>1770</v>
      </c>
      <c r="C18" s="85" t="s">
        <v>1762</v>
      </c>
      <c r="D18" s="80" t="s">
        <v>1343</v>
      </c>
      <c r="E18" s="80" t="s">
        <v>1439</v>
      </c>
      <c r="F18" s="81">
        <v>1</v>
      </c>
      <c r="G18" s="86" t="s">
        <v>1769</v>
      </c>
      <c r="H18" s="78" t="s">
        <v>1769</v>
      </c>
      <c r="I18" s="78" t="s">
        <v>381</v>
      </c>
      <c r="J18" s="78" t="s">
        <v>381</v>
      </c>
      <c r="K18" s="78" t="s">
        <v>1735</v>
      </c>
    </row>
    <row r="19" ht="40.5" spans="1:11">
      <c r="A19" s="79" t="s">
        <v>1771</v>
      </c>
      <c r="B19" s="87" t="s">
        <v>1772</v>
      </c>
      <c r="C19" s="80" t="s">
        <v>1773</v>
      </c>
      <c r="D19" s="80" t="s">
        <v>1045</v>
      </c>
      <c r="E19" s="80" t="s">
        <v>1774</v>
      </c>
      <c r="F19" s="81">
        <v>1</v>
      </c>
      <c r="G19" s="88" t="s">
        <v>372</v>
      </c>
      <c r="H19" s="82" t="s">
        <v>1775</v>
      </c>
      <c r="I19" s="78" t="s">
        <v>1733</v>
      </c>
      <c r="K19" s="78" t="s">
        <v>1776</v>
      </c>
    </row>
    <row r="20" ht="54" spans="1:11">
      <c r="A20" s="79" t="s">
        <v>1771</v>
      </c>
      <c r="B20" s="87" t="s">
        <v>1777</v>
      </c>
      <c r="C20" s="80" t="s">
        <v>1773</v>
      </c>
      <c r="D20" s="80" t="s">
        <v>1045</v>
      </c>
      <c r="E20" s="80" t="s">
        <v>1778</v>
      </c>
      <c r="F20" s="81">
        <v>1</v>
      </c>
      <c r="G20" s="88" t="s">
        <v>372</v>
      </c>
      <c r="H20" s="82" t="s">
        <v>1779</v>
      </c>
      <c r="I20" s="78" t="s">
        <v>1733</v>
      </c>
      <c r="K20" s="78" t="s">
        <v>1776</v>
      </c>
    </row>
    <row r="21" ht="54" spans="1:11">
      <c r="A21" s="79" t="s">
        <v>1771</v>
      </c>
      <c r="B21" s="87" t="s">
        <v>1780</v>
      </c>
      <c r="C21" s="80" t="s">
        <v>1773</v>
      </c>
      <c r="D21" s="80" t="s">
        <v>1045</v>
      </c>
      <c r="E21" s="80" t="s">
        <v>1781</v>
      </c>
      <c r="F21" s="81">
        <v>1</v>
      </c>
      <c r="G21" s="88" t="s">
        <v>372</v>
      </c>
      <c r="H21" s="82" t="s">
        <v>1779</v>
      </c>
      <c r="I21" s="78" t="s">
        <v>1733</v>
      </c>
      <c r="K21" s="78" t="s">
        <v>1776</v>
      </c>
    </row>
    <row r="22" ht="54" spans="1:11">
      <c r="A22" s="79" t="s">
        <v>1771</v>
      </c>
      <c r="B22" s="87" t="s">
        <v>1782</v>
      </c>
      <c r="C22" s="80" t="s">
        <v>1773</v>
      </c>
      <c r="D22" s="80" t="s">
        <v>1045</v>
      </c>
      <c r="E22" s="80" t="s">
        <v>1783</v>
      </c>
      <c r="F22" s="81">
        <v>1</v>
      </c>
      <c r="G22" s="88" t="s">
        <v>372</v>
      </c>
      <c r="H22" s="82" t="s">
        <v>1779</v>
      </c>
      <c r="I22" s="78" t="s">
        <v>1733</v>
      </c>
      <c r="K22" s="78" t="s">
        <v>1776</v>
      </c>
    </row>
    <row r="23" ht="54" spans="1:11">
      <c r="A23" s="79" t="s">
        <v>1771</v>
      </c>
      <c r="B23" s="87" t="s">
        <v>1784</v>
      </c>
      <c r="C23" s="80" t="s">
        <v>1773</v>
      </c>
      <c r="D23" s="80" t="s">
        <v>1045</v>
      </c>
      <c r="E23" s="80" t="s">
        <v>1785</v>
      </c>
      <c r="F23" s="81">
        <v>1</v>
      </c>
      <c r="G23" s="88" t="s">
        <v>372</v>
      </c>
      <c r="H23" s="82" t="s">
        <v>1779</v>
      </c>
      <c r="I23" s="78" t="s">
        <v>1733</v>
      </c>
      <c r="K23" s="78" t="s">
        <v>1776</v>
      </c>
    </row>
    <row r="24" ht="54" spans="1:11">
      <c r="A24" s="79" t="s">
        <v>1771</v>
      </c>
      <c r="B24" s="87" t="s">
        <v>1786</v>
      </c>
      <c r="C24" s="80" t="s">
        <v>1773</v>
      </c>
      <c r="D24" s="80" t="s">
        <v>1045</v>
      </c>
      <c r="E24" s="80" t="s">
        <v>1774</v>
      </c>
      <c r="F24" s="81">
        <v>1</v>
      </c>
      <c r="G24" s="88" t="s">
        <v>372</v>
      </c>
      <c r="H24" s="82" t="s">
        <v>1779</v>
      </c>
      <c r="I24" s="78" t="s">
        <v>1733</v>
      </c>
      <c r="K24" s="78" t="s">
        <v>1776</v>
      </c>
    </row>
    <row r="25" ht="54" spans="1:11">
      <c r="A25" s="79" t="s">
        <v>1771</v>
      </c>
      <c r="B25" s="87" t="s">
        <v>1787</v>
      </c>
      <c r="C25" s="80" t="s">
        <v>1773</v>
      </c>
      <c r="D25" s="80" t="s">
        <v>1045</v>
      </c>
      <c r="E25" s="80" t="s">
        <v>1778</v>
      </c>
      <c r="F25" s="81">
        <v>1</v>
      </c>
      <c r="G25" s="88" t="s">
        <v>372</v>
      </c>
      <c r="H25" s="82" t="s">
        <v>1779</v>
      </c>
      <c r="I25" s="78" t="s">
        <v>1733</v>
      </c>
      <c r="K25" s="78" t="s">
        <v>1776</v>
      </c>
    </row>
    <row r="26" ht="54" spans="1:11">
      <c r="A26" s="79" t="s">
        <v>1771</v>
      </c>
      <c r="B26" s="87" t="s">
        <v>1788</v>
      </c>
      <c r="C26" s="80" t="s">
        <v>1773</v>
      </c>
      <c r="D26" s="80" t="s">
        <v>1045</v>
      </c>
      <c r="E26" s="80" t="s">
        <v>1781</v>
      </c>
      <c r="F26" s="81">
        <v>1</v>
      </c>
      <c r="G26" s="88" t="s">
        <v>372</v>
      </c>
      <c r="H26" s="82" t="s">
        <v>1779</v>
      </c>
      <c r="I26" s="78" t="s">
        <v>1733</v>
      </c>
      <c r="K26" s="78" t="s">
        <v>1776</v>
      </c>
    </row>
    <row r="27" ht="54" spans="1:11">
      <c r="A27" s="79" t="s">
        <v>1771</v>
      </c>
      <c r="B27" s="87" t="s">
        <v>1789</v>
      </c>
      <c r="C27" s="80" t="s">
        <v>1773</v>
      </c>
      <c r="D27" s="80" t="s">
        <v>1045</v>
      </c>
      <c r="E27" s="80" t="s">
        <v>1783</v>
      </c>
      <c r="F27" s="81">
        <v>1</v>
      </c>
      <c r="G27" s="88" t="s">
        <v>372</v>
      </c>
      <c r="H27" s="82" t="s">
        <v>1779</v>
      </c>
      <c r="I27" s="78" t="s">
        <v>1733</v>
      </c>
      <c r="K27" s="78" t="s">
        <v>1776</v>
      </c>
    </row>
    <row r="28" ht="54" spans="1:11">
      <c r="A28" s="79" t="s">
        <v>1771</v>
      </c>
      <c r="B28" s="87" t="s">
        <v>1790</v>
      </c>
      <c r="C28" s="80" t="s">
        <v>1773</v>
      </c>
      <c r="D28" s="80" t="s">
        <v>1045</v>
      </c>
      <c r="E28" s="80" t="s">
        <v>1785</v>
      </c>
      <c r="F28" s="81">
        <v>1</v>
      </c>
      <c r="G28" s="88" t="s">
        <v>372</v>
      </c>
      <c r="H28" s="82" t="s">
        <v>1779</v>
      </c>
      <c r="I28" s="78" t="s">
        <v>1733</v>
      </c>
      <c r="K28" s="78" t="s">
        <v>1776</v>
      </c>
    </row>
    <row r="29" ht="27" spans="1:11">
      <c r="A29" s="79" t="s">
        <v>1771</v>
      </c>
      <c r="B29" s="67" t="s">
        <v>1791</v>
      </c>
      <c r="C29" s="80" t="s">
        <v>1792</v>
      </c>
      <c r="D29" s="80" t="s">
        <v>1566</v>
      </c>
      <c r="E29" s="80" t="s">
        <v>1793</v>
      </c>
      <c r="F29" s="81">
        <v>1</v>
      </c>
      <c r="G29" s="70" t="s">
        <v>775</v>
      </c>
      <c r="H29" s="82" t="s">
        <v>1732</v>
      </c>
      <c r="I29" s="78" t="s">
        <v>1733</v>
      </c>
      <c r="K29" s="78" t="s">
        <v>1735</v>
      </c>
    </row>
    <row r="30" ht="27" spans="1:11">
      <c r="A30" s="79" t="s">
        <v>1771</v>
      </c>
      <c r="B30" s="67" t="s">
        <v>1794</v>
      </c>
      <c r="C30" s="80" t="s">
        <v>1792</v>
      </c>
      <c r="D30" s="80" t="s">
        <v>1566</v>
      </c>
      <c r="E30" s="80" t="s">
        <v>1795</v>
      </c>
      <c r="F30" s="81">
        <v>1</v>
      </c>
      <c r="G30" s="70" t="s">
        <v>775</v>
      </c>
      <c r="H30" s="82" t="s">
        <v>1732</v>
      </c>
      <c r="I30" s="78" t="s">
        <v>1733</v>
      </c>
      <c r="K30" s="78" t="s">
        <v>1735</v>
      </c>
    </row>
    <row r="31" ht="27" spans="1:11">
      <c r="A31" s="79" t="s">
        <v>1771</v>
      </c>
      <c r="B31" s="67" t="s">
        <v>1796</v>
      </c>
      <c r="C31" s="80" t="s">
        <v>1792</v>
      </c>
      <c r="D31" s="80" t="s">
        <v>1566</v>
      </c>
      <c r="E31" s="80" t="s">
        <v>1797</v>
      </c>
      <c r="F31" s="81">
        <v>1</v>
      </c>
      <c r="G31" s="70" t="s">
        <v>775</v>
      </c>
      <c r="H31" s="82" t="s">
        <v>1732</v>
      </c>
      <c r="I31" s="78" t="s">
        <v>1733</v>
      </c>
      <c r="K31" s="78" t="s">
        <v>1735</v>
      </c>
    </row>
    <row r="32" ht="27" spans="1:11">
      <c r="A32" s="79" t="s">
        <v>1771</v>
      </c>
      <c r="B32" s="67" t="s">
        <v>1798</v>
      </c>
      <c r="C32" s="80" t="s">
        <v>1792</v>
      </c>
      <c r="D32" s="80" t="s">
        <v>1566</v>
      </c>
      <c r="E32" s="80" t="s">
        <v>1799</v>
      </c>
      <c r="F32" s="81">
        <v>1</v>
      </c>
      <c r="G32" s="70" t="s">
        <v>775</v>
      </c>
      <c r="H32" s="82" t="s">
        <v>1732</v>
      </c>
      <c r="I32" s="78" t="s">
        <v>1733</v>
      </c>
      <c r="K32" s="78" t="s">
        <v>1735</v>
      </c>
    </row>
    <row r="33" ht="27" spans="1:11">
      <c r="A33" s="79" t="s">
        <v>1771</v>
      </c>
      <c r="B33" s="67" t="s">
        <v>1800</v>
      </c>
      <c r="C33" s="80" t="s">
        <v>1792</v>
      </c>
      <c r="D33" s="80" t="s">
        <v>1566</v>
      </c>
      <c r="E33" s="80" t="s">
        <v>1801</v>
      </c>
      <c r="F33" s="81">
        <v>1</v>
      </c>
      <c r="G33" s="70" t="s">
        <v>775</v>
      </c>
      <c r="H33" s="82" t="s">
        <v>1732</v>
      </c>
      <c r="I33" s="78" t="s">
        <v>1733</v>
      </c>
      <c r="K33" s="78" t="s">
        <v>1735</v>
      </c>
    </row>
    <row r="34" ht="27" spans="1:11">
      <c r="A34" s="79" t="s">
        <v>1771</v>
      </c>
      <c r="B34" s="69" t="s">
        <v>1802</v>
      </c>
      <c r="C34" s="80" t="s">
        <v>1803</v>
      </c>
      <c r="D34" s="80" t="s">
        <v>1804</v>
      </c>
      <c r="E34" s="80" t="s">
        <v>1793</v>
      </c>
      <c r="F34" s="81">
        <v>0</v>
      </c>
      <c r="G34" s="89" t="s">
        <v>775</v>
      </c>
      <c r="H34" s="82" t="s">
        <v>1732</v>
      </c>
      <c r="I34" s="78" t="s">
        <v>1733</v>
      </c>
      <c r="K34" s="78" t="s">
        <v>1735</v>
      </c>
    </row>
    <row r="35" ht="27" spans="1:11">
      <c r="A35" s="79" t="s">
        <v>1771</v>
      </c>
      <c r="B35" s="69" t="s">
        <v>1805</v>
      </c>
      <c r="C35" s="80" t="s">
        <v>1803</v>
      </c>
      <c r="D35" s="80" t="s">
        <v>1806</v>
      </c>
      <c r="E35" s="80" t="s">
        <v>1795</v>
      </c>
      <c r="F35" s="81">
        <v>0</v>
      </c>
      <c r="G35" s="89" t="s">
        <v>775</v>
      </c>
      <c r="H35" s="82" t="s">
        <v>1732</v>
      </c>
      <c r="I35" s="78" t="s">
        <v>1733</v>
      </c>
      <c r="K35" s="78" t="s">
        <v>1735</v>
      </c>
    </row>
    <row r="36" ht="27" spans="1:11">
      <c r="A36" s="79" t="s">
        <v>1771</v>
      </c>
      <c r="B36" s="69" t="s">
        <v>1807</v>
      </c>
      <c r="C36" s="80" t="s">
        <v>1803</v>
      </c>
      <c r="D36" s="80" t="s">
        <v>1804</v>
      </c>
      <c r="E36" s="80" t="s">
        <v>1797</v>
      </c>
      <c r="F36" s="81">
        <v>0</v>
      </c>
      <c r="G36" s="89" t="s">
        <v>775</v>
      </c>
      <c r="H36" s="82" t="s">
        <v>1732</v>
      </c>
      <c r="I36" s="78" t="s">
        <v>1733</v>
      </c>
      <c r="K36" s="78" t="s">
        <v>1735</v>
      </c>
    </row>
    <row r="37" ht="27" spans="1:11">
      <c r="A37" s="79" t="s">
        <v>1771</v>
      </c>
      <c r="B37" s="69" t="s">
        <v>1808</v>
      </c>
      <c r="C37" s="80" t="s">
        <v>1803</v>
      </c>
      <c r="D37" s="80" t="s">
        <v>1806</v>
      </c>
      <c r="E37" s="80" t="s">
        <v>1799</v>
      </c>
      <c r="F37" s="81">
        <v>0</v>
      </c>
      <c r="G37" s="89" t="s">
        <v>775</v>
      </c>
      <c r="H37" s="82" t="s">
        <v>1732</v>
      </c>
      <c r="I37" s="78" t="s">
        <v>1733</v>
      </c>
      <c r="K37" s="78" t="s">
        <v>1735</v>
      </c>
    </row>
    <row r="38" ht="27" spans="1:11">
      <c r="A38" s="79" t="s">
        <v>1771</v>
      </c>
      <c r="B38" s="69" t="s">
        <v>1809</v>
      </c>
      <c r="C38" s="80" t="s">
        <v>1803</v>
      </c>
      <c r="D38" s="80" t="s">
        <v>1804</v>
      </c>
      <c r="E38" s="80" t="s">
        <v>1801</v>
      </c>
      <c r="F38" s="81">
        <v>0</v>
      </c>
      <c r="G38" s="89" t="s">
        <v>775</v>
      </c>
      <c r="H38" s="82" t="s">
        <v>1732</v>
      </c>
      <c r="I38" s="78" t="s">
        <v>1733</v>
      </c>
      <c r="K38" s="78" t="s">
        <v>1735</v>
      </c>
    </row>
    <row r="39" ht="27" spans="1:11">
      <c r="A39" s="79" t="s">
        <v>1771</v>
      </c>
      <c r="B39" s="69" t="s">
        <v>1810</v>
      </c>
      <c r="C39" s="80" t="s">
        <v>1803</v>
      </c>
      <c r="D39" s="80" t="s">
        <v>1806</v>
      </c>
      <c r="E39" s="80" t="s">
        <v>1793</v>
      </c>
      <c r="F39" s="81">
        <v>0</v>
      </c>
      <c r="G39" s="89" t="s">
        <v>775</v>
      </c>
      <c r="H39" s="82" t="s">
        <v>1732</v>
      </c>
      <c r="I39" s="78" t="s">
        <v>1733</v>
      </c>
      <c r="K39" s="78" t="s">
        <v>1735</v>
      </c>
    </row>
    <row r="40" ht="27" spans="1:11">
      <c r="A40" s="79" t="s">
        <v>1771</v>
      </c>
      <c r="B40" s="69" t="s">
        <v>1811</v>
      </c>
      <c r="C40" s="80" t="s">
        <v>1803</v>
      </c>
      <c r="D40" s="80" t="s">
        <v>1804</v>
      </c>
      <c r="E40" s="80" t="s">
        <v>1795</v>
      </c>
      <c r="F40" s="81">
        <v>0</v>
      </c>
      <c r="G40" s="89" t="s">
        <v>775</v>
      </c>
      <c r="H40" s="82" t="s">
        <v>1732</v>
      </c>
      <c r="I40" s="78" t="s">
        <v>1733</v>
      </c>
      <c r="K40" s="78" t="s">
        <v>1735</v>
      </c>
    </row>
    <row r="41" ht="27" spans="1:11">
      <c r="A41" s="79" t="s">
        <v>1771</v>
      </c>
      <c r="B41" s="69" t="s">
        <v>1812</v>
      </c>
      <c r="C41" s="80" t="s">
        <v>1803</v>
      </c>
      <c r="D41" s="80" t="s">
        <v>1806</v>
      </c>
      <c r="E41" s="80" t="s">
        <v>1797</v>
      </c>
      <c r="F41" s="81">
        <v>0</v>
      </c>
      <c r="G41" s="89" t="s">
        <v>775</v>
      </c>
      <c r="H41" s="82" t="s">
        <v>1732</v>
      </c>
      <c r="I41" s="78" t="s">
        <v>1733</v>
      </c>
      <c r="K41" s="78" t="s">
        <v>1735</v>
      </c>
    </row>
    <row r="42" ht="27" spans="1:11">
      <c r="A42" s="79" t="s">
        <v>1771</v>
      </c>
      <c r="B42" s="69" t="s">
        <v>1813</v>
      </c>
      <c r="C42" s="80" t="s">
        <v>1803</v>
      </c>
      <c r="D42" s="80" t="s">
        <v>1804</v>
      </c>
      <c r="E42" s="80" t="s">
        <v>1799</v>
      </c>
      <c r="F42" s="81">
        <v>0</v>
      </c>
      <c r="G42" s="89" t="s">
        <v>775</v>
      </c>
      <c r="H42" s="82" t="s">
        <v>1732</v>
      </c>
      <c r="I42" s="78" t="s">
        <v>1733</v>
      </c>
      <c r="K42" s="78" t="s">
        <v>1735</v>
      </c>
    </row>
    <row r="43" ht="27" spans="1:11">
      <c r="A43" s="79" t="s">
        <v>1771</v>
      </c>
      <c r="B43" s="69" t="s">
        <v>1814</v>
      </c>
      <c r="C43" s="80" t="s">
        <v>1803</v>
      </c>
      <c r="D43" s="80" t="s">
        <v>1806</v>
      </c>
      <c r="E43" s="80" t="s">
        <v>1801</v>
      </c>
      <c r="F43" s="81">
        <v>0</v>
      </c>
      <c r="G43" s="89" t="s">
        <v>775</v>
      </c>
      <c r="H43" s="82" t="s">
        <v>1732</v>
      </c>
      <c r="I43" s="78" t="s">
        <v>1733</v>
      </c>
      <c r="K43" s="78" t="s">
        <v>1735</v>
      </c>
    </row>
    <row r="44" spans="1:11">
      <c r="A44" s="79" t="s">
        <v>1815</v>
      </c>
      <c r="B44" s="67" t="s">
        <v>1816</v>
      </c>
      <c r="C44" s="67" t="s">
        <v>1817</v>
      </c>
      <c r="D44" s="90" t="s">
        <v>1202</v>
      </c>
      <c r="E44" s="80" t="s">
        <v>1363</v>
      </c>
      <c r="F44" s="81">
        <v>1</v>
      </c>
      <c r="G44" s="8" t="s">
        <v>372</v>
      </c>
      <c r="H44" s="78" t="s">
        <v>1818</v>
      </c>
      <c r="I44" s="78" t="s">
        <v>1819</v>
      </c>
      <c r="K44" s="78" t="s">
        <v>26</v>
      </c>
    </row>
    <row r="45" spans="1:11">
      <c r="A45" s="79" t="s">
        <v>1815</v>
      </c>
      <c r="B45" s="67" t="s">
        <v>1820</v>
      </c>
      <c r="C45" s="67" t="s">
        <v>1817</v>
      </c>
      <c r="D45" s="90" t="s">
        <v>1202</v>
      </c>
      <c r="E45" s="80" t="s">
        <v>1363</v>
      </c>
      <c r="F45" s="81">
        <v>1</v>
      </c>
      <c r="G45" s="8" t="s">
        <v>372</v>
      </c>
      <c r="H45" s="78" t="s">
        <v>1818</v>
      </c>
      <c r="I45" s="78" t="s">
        <v>1819</v>
      </c>
      <c r="K45" s="78" t="s">
        <v>26</v>
      </c>
    </row>
    <row r="46" spans="1:11">
      <c r="A46" s="79" t="s">
        <v>1815</v>
      </c>
      <c r="B46" s="67" t="s">
        <v>1821</v>
      </c>
      <c r="C46" s="67" t="s">
        <v>1817</v>
      </c>
      <c r="D46" s="90" t="s">
        <v>1199</v>
      </c>
      <c r="E46" s="80" t="s">
        <v>1363</v>
      </c>
      <c r="F46" s="81">
        <v>1</v>
      </c>
      <c r="G46" s="91" t="s">
        <v>1822</v>
      </c>
      <c r="H46" s="92" t="s">
        <v>1823</v>
      </c>
      <c r="I46" s="92" t="s">
        <v>1823</v>
      </c>
      <c r="J46" s="92" t="s">
        <v>1823</v>
      </c>
      <c r="K46" s="93"/>
    </row>
    <row r="47" spans="1:11">
      <c r="A47" s="79" t="s">
        <v>1815</v>
      </c>
      <c r="B47" s="67" t="s">
        <v>1824</v>
      </c>
      <c r="C47" s="67" t="s">
        <v>1817</v>
      </c>
      <c r="D47" s="90" t="s">
        <v>1207</v>
      </c>
      <c r="E47" s="80" t="s">
        <v>1363</v>
      </c>
      <c r="F47" s="81">
        <v>1</v>
      </c>
      <c r="G47" s="8" t="s">
        <v>372</v>
      </c>
      <c r="H47" s="78" t="s">
        <v>1818</v>
      </c>
      <c r="I47" s="78" t="s">
        <v>1819</v>
      </c>
      <c r="K47" s="78" t="s">
        <v>26</v>
      </c>
    </row>
    <row r="48" spans="1:11">
      <c r="A48" s="79" t="s">
        <v>1815</v>
      </c>
      <c r="B48" s="67" t="s">
        <v>1825</v>
      </c>
      <c r="C48" s="67" t="s">
        <v>1817</v>
      </c>
      <c r="D48" s="90" t="s">
        <v>1210</v>
      </c>
      <c r="E48" s="80" t="s">
        <v>1363</v>
      </c>
      <c r="F48" s="81">
        <v>1</v>
      </c>
      <c r="G48" s="86" t="s">
        <v>1822</v>
      </c>
      <c r="H48" s="92" t="s">
        <v>1823</v>
      </c>
      <c r="I48" s="92" t="s">
        <v>1823</v>
      </c>
      <c r="J48" s="92" t="s">
        <v>1823</v>
      </c>
    </row>
    <row r="49" ht="27" spans="1:13">
      <c r="A49" s="79" t="s">
        <v>1815</v>
      </c>
      <c r="B49" s="67" t="s">
        <v>1826</v>
      </c>
      <c r="C49" s="67" t="s">
        <v>1817</v>
      </c>
      <c r="D49" s="90" t="s">
        <v>1213</v>
      </c>
      <c r="E49" s="80" t="s">
        <v>1363</v>
      </c>
      <c r="F49" s="81">
        <v>1</v>
      </c>
      <c r="G49" s="8" t="s">
        <v>372</v>
      </c>
      <c r="H49" s="94" t="s">
        <v>1827</v>
      </c>
      <c r="I49" s="78" t="s">
        <v>1819</v>
      </c>
      <c r="K49" s="67" t="s">
        <v>26</v>
      </c>
    </row>
    <row r="50" s="68" customFormat="1" spans="1:13">
      <c r="A50" s="95" t="s">
        <v>1815</v>
      </c>
      <c r="B50" s="67" t="s">
        <v>1828</v>
      </c>
      <c r="C50" s="67" t="s">
        <v>1817</v>
      </c>
      <c r="D50" s="87" t="s">
        <v>1196</v>
      </c>
      <c r="E50" s="67" t="s">
        <v>1363</v>
      </c>
      <c r="F50" s="81">
        <v>1</v>
      </c>
      <c r="G50" s="86" t="s">
        <v>1822</v>
      </c>
      <c r="H50" s="92" t="s">
        <v>1823</v>
      </c>
      <c r="I50" s="92" t="s">
        <v>1823</v>
      </c>
      <c r="J50" s="92" t="s">
        <v>1823</v>
      </c>
      <c r="K50" s="78"/>
      <c r="L50" s="78"/>
    </row>
    <row r="51" spans="1:13">
      <c r="A51" s="79" t="s">
        <v>1829</v>
      </c>
      <c r="B51" s="69" t="s">
        <v>1830</v>
      </c>
      <c r="C51" s="80" t="s">
        <v>1831</v>
      </c>
      <c r="D51" s="80" t="s">
        <v>913</v>
      </c>
      <c r="E51" s="80" t="s">
        <v>1494</v>
      </c>
      <c r="F51" s="81">
        <v>1</v>
      </c>
      <c r="G51" s="96" t="s">
        <v>775</v>
      </c>
      <c r="H51" s="78" t="s">
        <v>1832</v>
      </c>
      <c r="I51" s="78" t="s">
        <v>1833</v>
      </c>
      <c r="J51" s="71" t="s">
        <v>1834</v>
      </c>
      <c r="K51" s="78" t="s">
        <v>26</v>
      </c>
    </row>
    <row r="52" spans="1:13">
      <c r="A52" s="79" t="s">
        <v>1829</v>
      </c>
      <c r="B52" s="69" t="s">
        <v>1835</v>
      </c>
      <c r="C52" s="80" t="s">
        <v>1831</v>
      </c>
      <c r="D52" s="80" t="s">
        <v>913</v>
      </c>
      <c r="E52" s="80" t="s">
        <v>1497</v>
      </c>
      <c r="F52" s="81">
        <v>0</v>
      </c>
      <c r="G52" s="96" t="s">
        <v>775</v>
      </c>
      <c r="H52" s="78" t="s">
        <v>1832</v>
      </c>
      <c r="I52" s="78" t="s">
        <v>1833</v>
      </c>
      <c r="J52" s="71" t="s">
        <v>1834</v>
      </c>
      <c r="K52" s="78" t="s">
        <v>26</v>
      </c>
    </row>
    <row r="53" spans="1:13">
      <c r="A53" s="79" t="s">
        <v>1829</v>
      </c>
      <c r="B53" s="69" t="s">
        <v>1836</v>
      </c>
      <c r="C53" s="80" t="s">
        <v>1831</v>
      </c>
      <c r="D53" s="80" t="s">
        <v>913</v>
      </c>
      <c r="E53" s="80" t="s">
        <v>1494</v>
      </c>
      <c r="F53" s="81">
        <v>1</v>
      </c>
      <c r="G53" s="96" t="s">
        <v>775</v>
      </c>
      <c r="H53" s="78" t="s">
        <v>1832</v>
      </c>
      <c r="I53" s="78" t="s">
        <v>1833</v>
      </c>
      <c r="J53" s="71" t="s">
        <v>1834</v>
      </c>
      <c r="K53" s="78" t="s">
        <v>26</v>
      </c>
    </row>
    <row r="54" spans="1:13">
      <c r="A54" s="79" t="s">
        <v>1837</v>
      </c>
      <c r="B54" s="69" t="s">
        <v>1838</v>
      </c>
      <c r="C54" s="80" t="s">
        <v>1839</v>
      </c>
      <c r="D54" s="80" t="s">
        <v>100</v>
      </c>
      <c r="E54" s="80" t="s">
        <v>1840</v>
      </c>
      <c r="F54" s="81">
        <v>0</v>
      </c>
      <c r="G54" s="96" t="s">
        <v>775</v>
      </c>
      <c r="H54" s="78" t="s">
        <v>1841</v>
      </c>
      <c r="I54" s="78" t="s">
        <v>1733</v>
      </c>
      <c r="J54" s="71" t="s">
        <v>1834</v>
      </c>
      <c r="K54" s="78" t="s">
        <v>26</v>
      </c>
    </row>
    <row r="55" ht="14.25" spans="1:13">
      <c r="A55" s="79" t="s">
        <v>1837</v>
      </c>
      <c r="B55" s="69" t="s">
        <v>1842</v>
      </c>
      <c r="C55" s="80" t="s">
        <v>1843</v>
      </c>
      <c r="D55" s="80" t="s">
        <v>104</v>
      </c>
      <c r="E55" s="80" t="s">
        <v>1363</v>
      </c>
      <c r="F55" s="81">
        <v>0</v>
      </c>
      <c r="G55" s="96" t="s">
        <v>372</v>
      </c>
      <c r="H55" s="78" t="s">
        <v>1841</v>
      </c>
      <c r="I55" s="78" t="s">
        <v>1733</v>
      </c>
      <c r="K55" s="78" t="s">
        <v>32</v>
      </c>
      <c r="M55" s="83" t="s">
        <v>1844</v>
      </c>
    </row>
    <row r="56" spans="1:13">
      <c r="A56" s="79" t="s">
        <v>1837</v>
      </c>
      <c r="B56" s="69" t="s">
        <v>1845</v>
      </c>
      <c r="C56" s="80" t="s">
        <v>1843</v>
      </c>
      <c r="D56" s="80" t="s">
        <v>108</v>
      </c>
      <c r="E56" s="80" t="s">
        <v>1497</v>
      </c>
      <c r="F56" s="81">
        <v>0</v>
      </c>
      <c r="G56" s="96" t="s">
        <v>775</v>
      </c>
      <c r="H56" s="78" t="s">
        <v>1832</v>
      </c>
      <c r="I56" s="78" t="s">
        <v>1733</v>
      </c>
      <c r="J56" s="71" t="s">
        <v>1834</v>
      </c>
      <c r="K56" s="78" t="s">
        <v>26</v>
      </c>
    </row>
    <row r="57" spans="1:13">
      <c r="A57" s="79" t="s">
        <v>1837</v>
      </c>
      <c r="B57" s="69" t="s">
        <v>1846</v>
      </c>
      <c r="C57" s="80" t="s">
        <v>1843</v>
      </c>
      <c r="D57" s="80" t="s">
        <v>112</v>
      </c>
      <c r="E57" s="80" t="s">
        <v>1363</v>
      </c>
      <c r="F57" s="81">
        <v>0</v>
      </c>
      <c r="G57" s="96" t="s">
        <v>775</v>
      </c>
      <c r="H57" s="78" t="s">
        <v>1847</v>
      </c>
      <c r="I57" s="78" t="s">
        <v>1733</v>
      </c>
      <c r="J57" s="71" t="s">
        <v>1834</v>
      </c>
      <c r="K57" s="78" t="s">
        <v>32</v>
      </c>
    </row>
    <row r="58" spans="1:13">
      <c r="A58" s="79" t="s">
        <v>1848</v>
      </c>
      <c r="B58" s="67" t="s">
        <v>1849</v>
      </c>
      <c r="C58" s="80" t="s">
        <v>1850</v>
      </c>
      <c r="D58" s="80" t="s">
        <v>1231</v>
      </c>
      <c r="E58" s="80" t="s">
        <v>1439</v>
      </c>
      <c r="F58" s="81">
        <v>1</v>
      </c>
      <c r="G58" s="88" t="s">
        <v>775</v>
      </c>
      <c r="H58" s="78" t="s">
        <v>1847</v>
      </c>
      <c r="I58" s="78" t="s">
        <v>1833</v>
      </c>
      <c r="J58" s="71" t="s">
        <v>1834</v>
      </c>
      <c r="K58" s="78" t="s">
        <v>26</v>
      </c>
    </row>
    <row r="59" spans="1:13">
      <c r="A59" s="79" t="s">
        <v>1848</v>
      </c>
      <c r="B59" s="67" t="s">
        <v>1851</v>
      </c>
      <c r="C59" s="80" t="s">
        <v>1850</v>
      </c>
      <c r="D59" s="80" t="s">
        <v>1234</v>
      </c>
      <c r="E59" s="80" t="s">
        <v>1497</v>
      </c>
      <c r="F59" s="81">
        <v>1</v>
      </c>
      <c r="G59" s="88" t="s">
        <v>775</v>
      </c>
      <c r="H59" s="78" t="s">
        <v>1832</v>
      </c>
      <c r="I59" s="78" t="s">
        <v>1733</v>
      </c>
      <c r="J59" s="71" t="s">
        <v>1834</v>
      </c>
      <c r="K59" s="78" t="s">
        <v>26</v>
      </c>
    </row>
    <row r="60" spans="1:13">
      <c r="A60" s="79" t="s">
        <v>1848</v>
      </c>
      <c r="B60" s="67" t="s">
        <v>1852</v>
      </c>
      <c r="C60" s="80" t="s">
        <v>1850</v>
      </c>
      <c r="D60" s="80" t="s">
        <v>1234</v>
      </c>
      <c r="E60" s="80" t="s">
        <v>1494</v>
      </c>
      <c r="F60" s="81">
        <v>1</v>
      </c>
      <c r="G60" s="88" t="s">
        <v>775</v>
      </c>
      <c r="H60" s="78" t="s">
        <v>1832</v>
      </c>
      <c r="I60" s="78" t="s">
        <v>1733</v>
      </c>
      <c r="J60" s="71" t="s">
        <v>1834</v>
      </c>
      <c r="K60" s="78" t="s">
        <v>26</v>
      </c>
    </row>
    <row r="61" spans="1:13">
      <c r="A61" s="79" t="s">
        <v>1848</v>
      </c>
      <c r="B61" s="67" t="s">
        <v>1853</v>
      </c>
      <c r="C61" s="80" t="s">
        <v>1850</v>
      </c>
      <c r="D61" s="80" t="s">
        <v>1239</v>
      </c>
      <c r="E61" s="80" t="s">
        <v>1439</v>
      </c>
      <c r="F61" s="81">
        <v>1</v>
      </c>
      <c r="G61" s="88" t="s">
        <v>775</v>
      </c>
      <c r="H61" s="78" t="s">
        <v>1847</v>
      </c>
      <c r="I61" s="78" t="s">
        <v>1833</v>
      </c>
      <c r="J61" s="71" t="s">
        <v>1834</v>
      </c>
      <c r="K61" s="78" t="s">
        <v>26</v>
      </c>
    </row>
    <row r="62" spans="1:13">
      <c r="A62" s="79" t="s">
        <v>1848</v>
      </c>
      <c r="B62" s="67" t="s">
        <v>1854</v>
      </c>
      <c r="C62" s="80" t="s">
        <v>1850</v>
      </c>
      <c r="D62" s="80" t="s">
        <v>1242</v>
      </c>
      <c r="E62" s="80" t="s">
        <v>1497</v>
      </c>
      <c r="F62" s="81">
        <v>1</v>
      </c>
      <c r="G62" s="88" t="s">
        <v>775</v>
      </c>
      <c r="H62" s="78" t="s">
        <v>1847</v>
      </c>
      <c r="I62" s="78" t="s">
        <v>1833</v>
      </c>
      <c r="J62" s="71" t="s">
        <v>1834</v>
      </c>
      <c r="K62" s="78" t="s">
        <v>26</v>
      </c>
    </row>
    <row r="63" spans="1:13">
      <c r="A63" s="79" t="s">
        <v>1837</v>
      </c>
      <c r="B63" s="69" t="s">
        <v>1855</v>
      </c>
      <c r="C63" s="80" t="s">
        <v>1856</v>
      </c>
      <c r="D63" s="80" t="s">
        <v>34</v>
      </c>
      <c r="E63" s="80" t="s">
        <v>1491</v>
      </c>
      <c r="F63" s="81">
        <v>0</v>
      </c>
      <c r="G63" s="96" t="s">
        <v>775</v>
      </c>
      <c r="H63" s="78" t="s">
        <v>1847</v>
      </c>
      <c r="I63" s="78" t="s">
        <v>1733</v>
      </c>
      <c r="J63" s="71" t="s">
        <v>1834</v>
      </c>
      <c r="K63" s="78" t="s">
        <v>26</v>
      </c>
    </row>
    <row r="64" spans="1:13">
      <c r="A64" s="79" t="s">
        <v>1837</v>
      </c>
      <c r="B64" s="69" t="s">
        <v>1857</v>
      </c>
      <c r="C64" s="80" t="s">
        <v>1856</v>
      </c>
      <c r="D64" s="80" t="s">
        <v>34</v>
      </c>
      <c r="E64" s="80" t="s">
        <v>1750</v>
      </c>
      <c r="F64" s="81">
        <v>0</v>
      </c>
      <c r="G64" s="96" t="s">
        <v>775</v>
      </c>
      <c r="H64" s="78" t="s">
        <v>1847</v>
      </c>
      <c r="I64" s="78" t="s">
        <v>1733</v>
      </c>
      <c r="J64" s="71" t="s">
        <v>1834</v>
      </c>
      <c r="K64" s="78" t="s">
        <v>26</v>
      </c>
    </row>
    <row r="65" spans="1:13">
      <c r="A65" s="79" t="s">
        <v>1837</v>
      </c>
      <c r="B65" s="69" t="s">
        <v>1858</v>
      </c>
      <c r="C65" s="80" t="s">
        <v>1859</v>
      </c>
      <c r="D65" s="80" t="s">
        <v>42</v>
      </c>
      <c r="E65" s="80" t="s">
        <v>1860</v>
      </c>
      <c r="F65" s="81">
        <v>0</v>
      </c>
      <c r="G65" s="96" t="s">
        <v>775</v>
      </c>
      <c r="H65" s="78" t="s">
        <v>1847</v>
      </c>
      <c r="I65" s="71" t="s">
        <v>1733</v>
      </c>
      <c r="J65" s="71" t="s">
        <v>1834</v>
      </c>
    </row>
    <row r="66" spans="1:13">
      <c r="A66" s="79" t="s">
        <v>1837</v>
      </c>
      <c r="B66" s="69" t="s">
        <v>1861</v>
      </c>
      <c r="C66" s="80" t="s">
        <v>1859</v>
      </c>
      <c r="D66" s="80" t="s">
        <v>42</v>
      </c>
      <c r="E66" s="80" t="s">
        <v>1860</v>
      </c>
      <c r="F66" s="81">
        <v>0</v>
      </c>
      <c r="G66" s="96" t="s">
        <v>775</v>
      </c>
      <c r="H66" s="78" t="s">
        <v>1847</v>
      </c>
      <c r="I66" s="71" t="s">
        <v>1733</v>
      </c>
      <c r="J66" s="71" t="s">
        <v>1834</v>
      </c>
    </row>
    <row r="67" spans="1:13">
      <c r="A67" s="79" t="s">
        <v>1837</v>
      </c>
      <c r="B67" s="69" t="s">
        <v>1862</v>
      </c>
      <c r="C67" s="80" t="s">
        <v>1859</v>
      </c>
      <c r="D67" s="80" t="s">
        <v>55</v>
      </c>
      <c r="E67" s="80" t="s">
        <v>1863</v>
      </c>
      <c r="F67" s="81">
        <v>0</v>
      </c>
      <c r="G67" s="96" t="s">
        <v>775</v>
      </c>
      <c r="H67" s="78" t="s">
        <v>1847</v>
      </c>
      <c r="I67" s="71" t="s">
        <v>1733</v>
      </c>
      <c r="J67" s="71" t="s">
        <v>1834</v>
      </c>
    </row>
    <row r="68" spans="1:13">
      <c r="A68" s="79" t="s">
        <v>1837</v>
      </c>
      <c r="B68" s="69" t="s">
        <v>1864</v>
      </c>
      <c r="C68" s="80" t="s">
        <v>1859</v>
      </c>
      <c r="D68" s="80" t="s">
        <v>55</v>
      </c>
      <c r="E68" s="80" t="s">
        <v>1863</v>
      </c>
      <c r="F68" s="81">
        <v>0</v>
      </c>
      <c r="G68" s="96" t="s">
        <v>775</v>
      </c>
      <c r="H68" s="78" t="s">
        <v>1847</v>
      </c>
      <c r="I68" s="71" t="s">
        <v>1733</v>
      </c>
      <c r="J68" s="71" t="s">
        <v>1834</v>
      </c>
    </row>
    <row r="69" spans="1:13">
      <c r="A69" s="79" t="s">
        <v>1837</v>
      </c>
      <c r="B69" s="69" t="s">
        <v>1865</v>
      </c>
      <c r="C69" s="80" t="s">
        <v>1859</v>
      </c>
      <c r="D69" s="80" t="s">
        <v>60</v>
      </c>
      <c r="E69" s="80" t="s">
        <v>1863</v>
      </c>
      <c r="F69" s="81">
        <v>0</v>
      </c>
      <c r="G69" s="96" t="s">
        <v>372</v>
      </c>
      <c r="H69" s="78" t="s">
        <v>1847</v>
      </c>
      <c r="I69" s="71" t="s">
        <v>1733</v>
      </c>
      <c r="K69" s="78" t="s">
        <v>32</v>
      </c>
    </row>
    <row r="70" ht="14.25" spans="1:13">
      <c r="A70" s="79" t="s">
        <v>1837</v>
      </c>
      <c r="B70" s="69" t="s">
        <v>1866</v>
      </c>
      <c r="C70" s="80" t="s">
        <v>1859</v>
      </c>
      <c r="D70" s="80" t="s">
        <v>60</v>
      </c>
      <c r="E70" s="80" t="s">
        <v>1863</v>
      </c>
      <c r="F70" s="81">
        <v>0</v>
      </c>
      <c r="G70" s="96" t="s">
        <v>372</v>
      </c>
      <c r="H70" s="78" t="s">
        <v>1847</v>
      </c>
      <c r="I70" s="71" t="s">
        <v>1733</v>
      </c>
      <c r="K70" s="78" t="s">
        <v>32</v>
      </c>
      <c r="M70" s="83" t="s">
        <v>1844</v>
      </c>
    </row>
    <row r="71" spans="1:13">
      <c r="A71" s="79" t="s">
        <v>1837</v>
      </c>
      <c r="B71" s="67" t="s">
        <v>1867</v>
      </c>
      <c r="C71" s="80" t="s">
        <v>1868</v>
      </c>
      <c r="D71" s="80" t="s">
        <v>65</v>
      </c>
      <c r="E71" s="80" t="s">
        <v>1764</v>
      </c>
      <c r="F71" s="81">
        <v>1</v>
      </c>
      <c r="G71" s="88" t="s">
        <v>775</v>
      </c>
      <c r="H71" s="97" t="s">
        <v>1869</v>
      </c>
      <c r="I71" s="78" t="s">
        <v>1870</v>
      </c>
      <c r="J71" s="71" t="s">
        <v>1834</v>
      </c>
      <c r="K71" s="78" t="s">
        <v>26</v>
      </c>
    </row>
    <row r="72" spans="1:13">
      <c r="A72" s="79" t="s">
        <v>1837</v>
      </c>
      <c r="B72" s="67" t="s">
        <v>1871</v>
      </c>
      <c r="C72" s="80" t="s">
        <v>1868</v>
      </c>
      <c r="D72" s="80" t="s">
        <v>65</v>
      </c>
      <c r="E72" s="80" t="s">
        <v>1764</v>
      </c>
      <c r="F72" s="81">
        <v>1</v>
      </c>
      <c r="G72" s="88" t="s">
        <v>775</v>
      </c>
      <c r="H72" s="97" t="s">
        <v>1869</v>
      </c>
      <c r="I72" s="78" t="s">
        <v>1870</v>
      </c>
      <c r="J72" s="71" t="s">
        <v>1834</v>
      </c>
      <c r="K72" s="78" t="s">
        <v>26</v>
      </c>
    </row>
    <row r="73" spans="1:13">
      <c r="A73" s="79" t="s">
        <v>1837</v>
      </c>
      <c r="B73" s="67" t="s">
        <v>1872</v>
      </c>
      <c r="C73" s="80" t="s">
        <v>1868</v>
      </c>
      <c r="D73" s="80" t="s">
        <v>65</v>
      </c>
      <c r="E73" s="80" t="s">
        <v>1764</v>
      </c>
      <c r="F73" s="81">
        <v>1</v>
      </c>
      <c r="G73" s="88" t="s">
        <v>775</v>
      </c>
      <c r="H73" s="97" t="s">
        <v>1869</v>
      </c>
      <c r="I73" s="78" t="s">
        <v>1870</v>
      </c>
      <c r="J73" s="71" t="s">
        <v>1834</v>
      </c>
      <c r="K73" s="78" t="s">
        <v>26</v>
      </c>
    </row>
    <row r="74" spans="1:13">
      <c r="A74" s="79" t="s">
        <v>1837</v>
      </c>
      <c r="B74" s="67" t="s">
        <v>1873</v>
      </c>
      <c r="C74" s="80" t="s">
        <v>1874</v>
      </c>
      <c r="D74" s="80" t="s">
        <v>65</v>
      </c>
      <c r="E74" s="80" t="s">
        <v>1764</v>
      </c>
      <c r="F74" s="81">
        <v>1</v>
      </c>
      <c r="G74" s="88" t="s">
        <v>775</v>
      </c>
      <c r="H74" s="97" t="s">
        <v>1869</v>
      </c>
      <c r="I74" s="78" t="s">
        <v>1870</v>
      </c>
      <c r="J74" s="71" t="s">
        <v>1834</v>
      </c>
      <c r="K74" s="78" t="s">
        <v>26</v>
      </c>
    </row>
    <row r="75" spans="1:13">
      <c r="A75" s="79" t="s">
        <v>1837</v>
      </c>
      <c r="B75" s="67" t="s">
        <v>1875</v>
      </c>
      <c r="C75" s="80" t="s">
        <v>1874</v>
      </c>
      <c r="D75" s="80" t="s">
        <v>65</v>
      </c>
      <c r="E75" s="80" t="s">
        <v>1764</v>
      </c>
      <c r="F75" s="81">
        <v>1</v>
      </c>
      <c r="G75" s="88" t="s">
        <v>775</v>
      </c>
      <c r="H75" s="97" t="s">
        <v>1869</v>
      </c>
      <c r="I75" s="78" t="s">
        <v>1870</v>
      </c>
      <c r="J75" s="71" t="s">
        <v>1834</v>
      </c>
      <c r="K75" s="78" t="s">
        <v>26</v>
      </c>
    </row>
    <row r="76" spans="1:13">
      <c r="A76" s="79" t="s">
        <v>1837</v>
      </c>
      <c r="B76" s="67" t="s">
        <v>1876</v>
      </c>
      <c r="C76" s="80" t="s">
        <v>1874</v>
      </c>
      <c r="D76" s="80" t="s">
        <v>65</v>
      </c>
      <c r="E76" s="80" t="s">
        <v>1764</v>
      </c>
      <c r="F76" s="81">
        <v>1</v>
      </c>
      <c r="G76" s="88" t="s">
        <v>775</v>
      </c>
      <c r="H76" s="97" t="s">
        <v>1869</v>
      </c>
      <c r="I76" s="78" t="s">
        <v>1870</v>
      </c>
      <c r="J76" s="71" t="s">
        <v>1834</v>
      </c>
      <c r="K76" s="78" t="s">
        <v>26</v>
      </c>
    </row>
    <row r="77" spans="1:13">
      <c r="A77" s="79" t="s">
        <v>1837</v>
      </c>
      <c r="B77" s="67" t="s">
        <v>1877</v>
      </c>
      <c r="C77" s="80" t="s">
        <v>1878</v>
      </c>
      <c r="D77" s="80" t="s">
        <v>65</v>
      </c>
      <c r="E77" s="80" t="s">
        <v>1879</v>
      </c>
      <c r="F77" s="81">
        <v>1</v>
      </c>
      <c r="G77" s="88" t="s">
        <v>775</v>
      </c>
      <c r="H77" s="97" t="s">
        <v>1869</v>
      </c>
      <c r="I77" s="78" t="s">
        <v>1870</v>
      </c>
      <c r="J77" s="71" t="s">
        <v>1834</v>
      </c>
      <c r="K77" s="78" t="s">
        <v>26</v>
      </c>
    </row>
    <row r="78" spans="1:13">
      <c r="A78" s="79" t="s">
        <v>1837</v>
      </c>
      <c r="B78" s="67" t="s">
        <v>1880</v>
      </c>
      <c r="C78" s="80" t="s">
        <v>1878</v>
      </c>
      <c r="D78" s="80" t="s">
        <v>65</v>
      </c>
      <c r="E78" s="80" t="s">
        <v>1879</v>
      </c>
      <c r="F78" s="81">
        <v>1</v>
      </c>
      <c r="G78" s="88" t="s">
        <v>775</v>
      </c>
      <c r="H78" s="97" t="s">
        <v>1869</v>
      </c>
      <c r="I78" s="78" t="s">
        <v>1870</v>
      </c>
      <c r="J78" s="71" t="s">
        <v>1834</v>
      </c>
      <c r="K78" s="78" t="s">
        <v>26</v>
      </c>
    </row>
    <row r="79" spans="1:13">
      <c r="A79" s="79" t="s">
        <v>1837</v>
      </c>
      <c r="B79" s="67" t="s">
        <v>1881</v>
      </c>
      <c r="C79" s="80" t="s">
        <v>1878</v>
      </c>
      <c r="D79" s="80" t="s">
        <v>65</v>
      </c>
      <c r="E79" s="80" t="s">
        <v>1879</v>
      </c>
      <c r="F79" s="81">
        <v>1</v>
      </c>
      <c r="G79" s="88" t="s">
        <v>775</v>
      </c>
      <c r="H79" s="97" t="s">
        <v>1869</v>
      </c>
      <c r="I79" s="78" t="s">
        <v>1870</v>
      </c>
      <c r="J79" s="71" t="s">
        <v>1834</v>
      </c>
      <c r="K79" s="78" t="s">
        <v>26</v>
      </c>
    </row>
    <row r="80" spans="1:13">
      <c r="A80" s="79" t="s">
        <v>1837</v>
      </c>
      <c r="B80" s="67" t="s">
        <v>1882</v>
      </c>
      <c r="C80" s="80" t="s">
        <v>1883</v>
      </c>
      <c r="D80" s="80" t="s">
        <v>65</v>
      </c>
      <c r="E80" s="80" t="s">
        <v>1879</v>
      </c>
      <c r="F80" s="81">
        <v>1</v>
      </c>
      <c r="G80" s="88" t="s">
        <v>775</v>
      </c>
      <c r="H80" s="97" t="s">
        <v>1869</v>
      </c>
      <c r="I80" s="78" t="s">
        <v>1870</v>
      </c>
      <c r="J80" s="71" t="s">
        <v>1834</v>
      </c>
      <c r="K80" s="78" t="s">
        <v>26</v>
      </c>
    </row>
    <row r="81" spans="1:13">
      <c r="A81" s="79" t="s">
        <v>1837</v>
      </c>
      <c r="B81" s="67" t="s">
        <v>1884</v>
      </c>
      <c r="C81" s="80" t="s">
        <v>1883</v>
      </c>
      <c r="D81" s="80" t="s">
        <v>65</v>
      </c>
      <c r="E81" s="80" t="s">
        <v>1879</v>
      </c>
      <c r="F81" s="81">
        <v>1</v>
      </c>
      <c r="G81" s="88" t="s">
        <v>775</v>
      </c>
      <c r="H81" s="97" t="s">
        <v>1869</v>
      </c>
      <c r="I81" s="78" t="s">
        <v>1870</v>
      </c>
      <c r="J81" s="71" t="s">
        <v>1834</v>
      </c>
      <c r="K81" s="78" t="s">
        <v>26</v>
      </c>
    </row>
    <row r="82" spans="1:13">
      <c r="A82" s="79" t="s">
        <v>1837</v>
      </c>
      <c r="B82" s="67" t="s">
        <v>1885</v>
      </c>
      <c r="C82" s="80" t="s">
        <v>1883</v>
      </c>
      <c r="D82" s="80" t="s">
        <v>65</v>
      </c>
      <c r="E82" s="80" t="s">
        <v>1879</v>
      </c>
      <c r="F82" s="81">
        <v>1</v>
      </c>
      <c r="G82" s="88" t="s">
        <v>775</v>
      </c>
      <c r="H82" s="97" t="s">
        <v>1869</v>
      </c>
      <c r="I82" s="78" t="s">
        <v>1870</v>
      </c>
      <c r="J82" s="71" t="s">
        <v>1834</v>
      </c>
      <c r="K82" s="78" t="s">
        <v>26</v>
      </c>
    </row>
    <row r="83" spans="1:13">
      <c r="A83" s="79" t="s">
        <v>1837</v>
      </c>
      <c r="B83" s="67" t="s">
        <v>1886</v>
      </c>
      <c r="C83" s="80" t="s">
        <v>1887</v>
      </c>
      <c r="D83" s="80" t="s">
        <v>65</v>
      </c>
      <c r="E83" s="80" t="s">
        <v>1888</v>
      </c>
      <c r="F83" s="81">
        <v>1</v>
      </c>
      <c r="G83" s="88" t="s">
        <v>775</v>
      </c>
      <c r="H83" s="97" t="s">
        <v>1869</v>
      </c>
      <c r="I83" s="78" t="s">
        <v>1870</v>
      </c>
      <c r="J83" s="71" t="s">
        <v>1834</v>
      </c>
      <c r="K83" s="78" t="s">
        <v>26</v>
      </c>
    </row>
    <row r="84" spans="1:13">
      <c r="A84" s="79" t="s">
        <v>1837</v>
      </c>
      <c r="B84" s="67" t="s">
        <v>1889</v>
      </c>
      <c r="C84" s="80" t="s">
        <v>1887</v>
      </c>
      <c r="D84" s="80" t="s">
        <v>65</v>
      </c>
      <c r="E84" s="80" t="s">
        <v>1888</v>
      </c>
      <c r="F84" s="81">
        <v>1</v>
      </c>
      <c r="G84" s="88" t="s">
        <v>775</v>
      </c>
      <c r="H84" s="97" t="s">
        <v>1869</v>
      </c>
      <c r="I84" s="78" t="s">
        <v>1870</v>
      </c>
      <c r="J84" s="71" t="s">
        <v>1834</v>
      </c>
      <c r="K84" s="78" t="s">
        <v>26</v>
      </c>
    </row>
    <row r="85" spans="1:13">
      <c r="A85" s="79" t="s">
        <v>1837</v>
      </c>
      <c r="B85" s="67" t="s">
        <v>1890</v>
      </c>
      <c r="C85" s="80" t="s">
        <v>1887</v>
      </c>
      <c r="D85" s="80" t="s">
        <v>65</v>
      </c>
      <c r="E85" s="80" t="s">
        <v>1888</v>
      </c>
      <c r="F85" s="81">
        <v>1</v>
      </c>
      <c r="G85" s="88" t="s">
        <v>775</v>
      </c>
      <c r="H85" s="97" t="s">
        <v>1869</v>
      </c>
      <c r="I85" s="78" t="s">
        <v>1870</v>
      </c>
      <c r="J85" s="71" t="s">
        <v>1834</v>
      </c>
      <c r="K85" s="78" t="s">
        <v>26</v>
      </c>
    </row>
    <row r="86" spans="1:13">
      <c r="A86" s="79" t="s">
        <v>1837</v>
      </c>
      <c r="B86" s="69" t="s">
        <v>1891</v>
      </c>
      <c r="C86" s="80" t="s">
        <v>1892</v>
      </c>
      <c r="D86" s="80" t="s">
        <v>22</v>
      </c>
      <c r="E86" s="80" t="s">
        <v>1359</v>
      </c>
      <c r="F86" s="81">
        <v>0</v>
      </c>
      <c r="G86" s="96" t="s">
        <v>775</v>
      </c>
      <c r="H86" s="78" t="s">
        <v>1847</v>
      </c>
      <c r="I86" s="78" t="s">
        <v>1733</v>
      </c>
      <c r="J86" s="71" t="s">
        <v>1834</v>
      </c>
      <c r="K86" s="78" t="s">
        <v>26</v>
      </c>
    </row>
    <row r="87" spans="1:13">
      <c r="A87" s="79" t="s">
        <v>1837</v>
      </c>
      <c r="B87" s="69" t="s">
        <v>1893</v>
      </c>
      <c r="C87" s="80" t="s">
        <v>1892</v>
      </c>
      <c r="D87" s="80" t="s">
        <v>29</v>
      </c>
      <c r="E87" s="80" t="s">
        <v>1494</v>
      </c>
      <c r="F87" s="81">
        <v>1</v>
      </c>
      <c r="G87" s="96" t="s">
        <v>775</v>
      </c>
      <c r="H87" s="78" t="s">
        <v>1832</v>
      </c>
      <c r="I87" s="78" t="s">
        <v>1733</v>
      </c>
      <c r="J87" s="71" t="s">
        <v>1834</v>
      </c>
      <c r="K87" s="78" t="s">
        <v>26</v>
      </c>
    </row>
    <row r="88" spans="1:13">
      <c r="A88" s="79" t="s">
        <v>1848</v>
      </c>
      <c r="B88" s="67" t="s">
        <v>1894</v>
      </c>
      <c r="C88" s="80" t="s">
        <v>1850</v>
      </c>
      <c r="D88" s="80" t="s">
        <v>1246</v>
      </c>
      <c r="E88" s="80" t="s">
        <v>1439</v>
      </c>
      <c r="F88" s="81">
        <v>1</v>
      </c>
      <c r="G88" s="88" t="s">
        <v>775</v>
      </c>
      <c r="H88" s="78" t="s">
        <v>1847</v>
      </c>
      <c r="I88" s="78" t="s">
        <v>1833</v>
      </c>
      <c r="J88" s="71" t="s">
        <v>1834</v>
      </c>
      <c r="K88" s="78" t="s">
        <v>26</v>
      </c>
    </row>
    <row r="89" spans="1:13">
      <c r="A89" s="79" t="s">
        <v>1895</v>
      </c>
      <c r="B89" s="67" t="s">
        <v>1896</v>
      </c>
      <c r="C89" s="80" t="s">
        <v>1897</v>
      </c>
      <c r="D89" s="80" t="s">
        <v>298</v>
      </c>
      <c r="E89" s="80" t="s">
        <v>1840</v>
      </c>
      <c r="F89" s="81">
        <v>1</v>
      </c>
      <c r="G89" s="88" t="s">
        <v>775</v>
      </c>
      <c r="H89" s="78" t="s">
        <v>1847</v>
      </c>
      <c r="I89" s="78" t="s">
        <v>1733</v>
      </c>
      <c r="J89" s="71" t="s">
        <v>1834</v>
      </c>
      <c r="K89" s="78" t="s">
        <v>26</v>
      </c>
    </row>
    <row r="90" spans="1:13">
      <c r="A90" s="79" t="s">
        <v>1895</v>
      </c>
      <c r="B90" s="67" t="s">
        <v>1898</v>
      </c>
      <c r="C90" s="80" t="s">
        <v>1897</v>
      </c>
      <c r="D90" s="80" t="s">
        <v>298</v>
      </c>
      <c r="E90" s="80" t="s">
        <v>102</v>
      </c>
      <c r="F90" s="81">
        <v>1</v>
      </c>
      <c r="G90" s="88" t="s">
        <v>775</v>
      </c>
      <c r="H90" s="78" t="s">
        <v>1847</v>
      </c>
      <c r="I90" s="78" t="s">
        <v>1733</v>
      </c>
      <c r="J90" s="71" t="s">
        <v>1834</v>
      </c>
      <c r="K90" s="78" t="s">
        <v>26</v>
      </c>
    </row>
    <row r="91" spans="1:13">
      <c r="A91" s="79" t="s">
        <v>1895</v>
      </c>
      <c r="B91" s="67" t="s">
        <v>1899</v>
      </c>
      <c r="C91" s="80" t="s">
        <v>1897</v>
      </c>
      <c r="D91" s="80" t="s">
        <v>298</v>
      </c>
      <c r="E91" s="80" t="s">
        <v>1750</v>
      </c>
      <c r="F91" s="81">
        <v>1</v>
      </c>
      <c r="G91" s="88" t="s">
        <v>775</v>
      </c>
      <c r="H91" s="78" t="s">
        <v>1847</v>
      </c>
      <c r="I91" s="78" t="s">
        <v>1733</v>
      </c>
      <c r="J91" s="71" t="s">
        <v>1834</v>
      </c>
      <c r="K91" s="78" t="s">
        <v>26</v>
      </c>
    </row>
    <row r="92" ht="14.25" spans="1:13">
      <c r="A92" s="79" t="s">
        <v>1895</v>
      </c>
      <c r="B92" s="69" t="s">
        <v>1599</v>
      </c>
      <c r="C92" s="80" t="s">
        <v>1897</v>
      </c>
      <c r="D92" s="80" t="s">
        <v>307</v>
      </c>
      <c r="E92" s="80" t="s">
        <v>1491</v>
      </c>
      <c r="F92" s="81">
        <v>0</v>
      </c>
      <c r="G92" s="98" t="s">
        <v>372</v>
      </c>
      <c r="H92" s="78" t="s">
        <v>1847</v>
      </c>
      <c r="I92" s="78" t="s">
        <v>1733</v>
      </c>
      <c r="J92" s="78" t="s">
        <v>1900</v>
      </c>
      <c r="K92" s="78" t="s">
        <v>26</v>
      </c>
      <c r="M92" s="83" t="s">
        <v>1901</v>
      </c>
    </row>
    <row r="93" spans="1:13">
      <c r="A93" s="79" t="s">
        <v>1895</v>
      </c>
      <c r="B93" s="69" t="s">
        <v>1902</v>
      </c>
      <c r="C93" s="85" t="s">
        <v>1762</v>
      </c>
      <c r="D93" s="80" t="s">
        <v>362</v>
      </c>
      <c r="E93" s="80" t="s">
        <v>1903</v>
      </c>
      <c r="F93" s="81">
        <v>1</v>
      </c>
      <c r="G93" s="96" t="s">
        <v>775</v>
      </c>
      <c r="H93" s="78" t="s">
        <v>1847</v>
      </c>
      <c r="I93" s="78" t="s">
        <v>1733</v>
      </c>
      <c r="J93" s="71" t="s">
        <v>1904</v>
      </c>
      <c r="K93" s="78" t="s">
        <v>26</v>
      </c>
    </row>
    <row r="94" ht="40.5" spans="1:13">
      <c r="A94" s="79" t="s">
        <v>1895</v>
      </c>
      <c r="B94" s="67" t="s">
        <v>1905</v>
      </c>
      <c r="C94" s="80" t="s">
        <v>1906</v>
      </c>
      <c r="D94" s="80" t="s">
        <v>318</v>
      </c>
      <c r="E94" s="80" t="s">
        <v>102</v>
      </c>
      <c r="F94" s="81">
        <v>1</v>
      </c>
      <c r="G94" s="88" t="s">
        <v>775</v>
      </c>
      <c r="H94" s="82" t="s">
        <v>1907</v>
      </c>
      <c r="I94" s="78" t="s">
        <v>1733</v>
      </c>
      <c r="J94" s="78" t="s">
        <v>1908</v>
      </c>
      <c r="K94" s="78" t="s">
        <v>26</v>
      </c>
    </row>
    <row r="95" ht="40.5" spans="1:13">
      <c r="A95" s="79" t="s">
        <v>1895</v>
      </c>
      <c r="B95" s="67" t="s">
        <v>1909</v>
      </c>
      <c r="C95" s="80" t="s">
        <v>1906</v>
      </c>
      <c r="D95" s="80" t="s">
        <v>318</v>
      </c>
      <c r="E95" s="80" t="s">
        <v>1840</v>
      </c>
      <c r="F95" s="81">
        <v>1</v>
      </c>
      <c r="G95" s="88" t="s">
        <v>775</v>
      </c>
      <c r="H95" s="82" t="s">
        <v>1907</v>
      </c>
      <c r="I95" s="78" t="s">
        <v>1733</v>
      </c>
      <c r="J95" s="71" t="s">
        <v>1910</v>
      </c>
      <c r="K95" s="78" t="s">
        <v>26</v>
      </c>
    </row>
    <row r="96" ht="40.5" spans="1:13">
      <c r="A96" s="79" t="s">
        <v>1895</v>
      </c>
      <c r="B96" s="67" t="s">
        <v>1911</v>
      </c>
      <c r="C96" s="80" t="s">
        <v>1906</v>
      </c>
      <c r="D96" s="80" t="s">
        <v>318</v>
      </c>
      <c r="E96" s="80" t="s">
        <v>102</v>
      </c>
      <c r="F96" s="81">
        <v>1</v>
      </c>
      <c r="G96" s="88" t="s">
        <v>775</v>
      </c>
      <c r="H96" s="82" t="s">
        <v>1907</v>
      </c>
      <c r="I96" s="78" t="s">
        <v>1733</v>
      </c>
      <c r="J96" s="78" t="s">
        <v>1908</v>
      </c>
      <c r="K96" s="78" t="s">
        <v>26</v>
      </c>
    </row>
    <row r="97" ht="40.5" spans="1:13">
      <c r="A97" s="79" t="s">
        <v>1895</v>
      </c>
      <c r="B97" s="67" t="s">
        <v>1912</v>
      </c>
      <c r="C97" s="80" t="s">
        <v>1906</v>
      </c>
      <c r="D97" s="80" t="s">
        <v>318</v>
      </c>
      <c r="E97" s="80" t="s">
        <v>102</v>
      </c>
      <c r="F97" s="81">
        <v>1</v>
      </c>
      <c r="G97" s="88" t="s">
        <v>775</v>
      </c>
      <c r="H97" s="82" t="s">
        <v>1907</v>
      </c>
      <c r="I97" s="78" t="s">
        <v>1733</v>
      </c>
      <c r="J97" s="78" t="s">
        <v>1908</v>
      </c>
      <c r="K97" s="78" t="s">
        <v>26</v>
      </c>
    </row>
    <row r="98" ht="40.5" spans="1:13">
      <c r="A98" s="79" t="s">
        <v>1895</v>
      </c>
      <c r="B98" s="67" t="s">
        <v>1913</v>
      </c>
      <c r="C98" s="80" t="s">
        <v>1906</v>
      </c>
      <c r="D98" s="80" t="s">
        <v>330</v>
      </c>
      <c r="E98" s="80" t="s">
        <v>1840</v>
      </c>
      <c r="F98" s="81">
        <v>1</v>
      </c>
      <c r="G98" s="88" t="s">
        <v>775</v>
      </c>
      <c r="H98" s="82" t="s">
        <v>1907</v>
      </c>
      <c r="I98" s="78" t="s">
        <v>1733</v>
      </c>
      <c r="J98" s="71" t="s">
        <v>1910</v>
      </c>
      <c r="K98" s="78" t="s">
        <v>26</v>
      </c>
    </row>
    <row r="99" ht="40.5" spans="1:13">
      <c r="A99" s="79" t="s">
        <v>1895</v>
      </c>
      <c r="B99" s="67" t="s">
        <v>1914</v>
      </c>
      <c r="C99" s="80" t="s">
        <v>1906</v>
      </c>
      <c r="D99" s="80" t="s">
        <v>330</v>
      </c>
      <c r="E99" s="80" t="s">
        <v>1840</v>
      </c>
      <c r="F99" s="81">
        <v>1</v>
      </c>
      <c r="G99" s="88" t="s">
        <v>775</v>
      </c>
      <c r="H99" s="82" t="s">
        <v>1907</v>
      </c>
      <c r="I99" s="78" t="s">
        <v>1733</v>
      </c>
      <c r="J99" s="71" t="s">
        <v>1910</v>
      </c>
      <c r="K99" s="78" t="s">
        <v>26</v>
      </c>
    </row>
    <row r="100" ht="40.5" spans="1:13">
      <c r="A100" s="79" t="s">
        <v>1895</v>
      </c>
      <c r="B100" s="67" t="s">
        <v>1915</v>
      </c>
      <c r="C100" s="80" t="s">
        <v>1906</v>
      </c>
      <c r="D100" s="80" t="s">
        <v>336</v>
      </c>
      <c r="E100" s="80" t="s">
        <v>102</v>
      </c>
      <c r="F100" s="81">
        <v>1</v>
      </c>
      <c r="G100" s="88" t="s">
        <v>372</v>
      </c>
      <c r="H100" s="82" t="s">
        <v>1907</v>
      </c>
      <c r="I100" s="78" t="s">
        <v>1733</v>
      </c>
      <c r="J100" s="71" t="s">
        <v>1916</v>
      </c>
      <c r="K100" s="78" t="s">
        <v>26</v>
      </c>
      <c r="M100" s="83" t="s">
        <v>1917</v>
      </c>
    </row>
    <row r="101" ht="40.5" spans="1:13">
      <c r="A101" s="79" t="s">
        <v>1895</v>
      </c>
      <c r="B101" s="67" t="s">
        <v>1918</v>
      </c>
      <c r="C101" s="80" t="s">
        <v>1906</v>
      </c>
      <c r="D101" s="80" t="s">
        <v>336</v>
      </c>
      <c r="E101" s="80" t="s">
        <v>1840</v>
      </c>
      <c r="F101" s="81">
        <v>1</v>
      </c>
      <c r="G101" s="88" t="s">
        <v>372</v>
      </c>
      <c r="H101" s="82" t="s">
        <v>1907</v>
      </c>
      <c r="I101" s="78" t="s">
        <v>1733</v>
      </c>
      <c r="J101" s="71" t="s">
        <v>1919</v>
      </c>
      <c r="K101" s="78" t="s">
        <v>26</v>
      </c>
      <c r="M101" s="83" t="s">
        <v>1917</v>
      </c>
    </row>
    <row r="102" ht="14.25" spans="1:13">
      <c r="A102" s="79" t="s">
        <v>1895</v>
      </c>
      <c r="B102" s="67" t="s">
        <v>1920</v>
      </c>
      <c r="C102" s="85" t="s">
        <v>1762</v>
      </c>
      <c r="D102" s="80" t="s">
        <v>254</v>
      </c>
      <c r="E102" s="80" t="s">
        <v>1764</v>
      </c>
      <c r="F102" s="81">
        <v>1</v>
      </c>
      <c r="G102" s="88" t="s">
        <v>372</v>
      </c>
      <c r="H102" s="82" t="s">
        <v>1921</v>
      </c>
      <c r="I102" s="78" t="s">
        <v>1733</v>
      </c>
      <c r="J102" s="71" t="s">
        <v>1922</v>
      </c>
      <c r="K102" s="78" t="s">
        <v>32</v>
      </c>
      <c r="M102" s="83" t="s">
        <v>1923</v>
      </c>
    </row>
    <row r="103" ht="14.25" spans="1:13">
      <c r="A103" s="79" t="s">
        <v>1895</v>
      </c>
      <c r="B103" s="67" t="s">
        <v>1924</v>
      </c>
      <c r="C103" s="85" t="s">
        <v>1762</v>
      </c>
      <c r="D103" s="80" t="s">
        <v>254</v>
      </c>
      <c r="E103" s="80" t="s">
        <v>1764</v>
      </c>
      <c r="F103" s="81">
        <v>1</v>
      </c>
      <c r="G103" s="88" t="s">
        <v>372</v>
      </c>
      <c r="H103" s="82" t="s">
        <v>1921</v>
      </c>
      <c r="I103" s="78" t="s">
        <v>1733</v>
      </c>
      <c r="J103" s="71" t="s">
        <v>1925</v>
      </c>
      <c r="K103" s="78" t="s">
        <v>32</v>
      </c>
      <c r="M103" s="83" t="s">
        <v>1923</v>
      </c>
    </row>
    <row r="104" ht="14.25" spans="1:13">
      <c r="A104" s="79" t="s">
        <v>1895</v>
      </c>
      <c r="B104" s="67" t="s">
        <v>1926</v>
      </c>
      <c r="C104" s="85" t="s">
        <v>1762</v>
      </c>
      <c r="D104" s="80" t="s">
        <v>254</v>
      </c>
      <c r="E104" s="80" t="s">
        <v>1764</v>
      </c>
      <c r="F104" s="81">
        <v>1</v>
      </c>
      <c r="G104" s="88" t="s">
        <v>372</v>
      </c>
      <c r="H104" s="82" t="s">
        <v>1921</v>
      </c>
      <c r="I104" s="78" t="s">
        <v>1733</v>
      </c>
      <c r="J104" s="71" t="s">
        <v>1927</v>
      </c>
      <c r="K104" s="78" t="s">
        <v>32</v>
      </c>
      <c r="M104" s="83" t="s">
        <v>1923</v>
      </c>
    </row>
    <row r="105" ht="14.25" spans="1:13">
      <c r="A105" s="79" t="s">
        <v>1895</v>
      </c>
      <c r="B105" s="67" t="s">
        <v>1928</v>
      </c>
      <c r="C105" s="85" t="s">
        <v>1762</v>
      </c>
      <c r="D105" s="80" t="s">
        <v>254</v>
      </c>
      <c r="E105" s="80" t="s">
        <v>1764</v>
      </c>
      <c r="F105" s="81">
        <v>1</v>
      </c>
      <c r="G105" s="88" t="s">
        <v>372</v>
      </c>
      <c r="H105" s="82" t="s">
        <v>1921</v>
      </c>
      <c r="I105" s="78" t="s">
        <v>1733</v>
      </c>
      <c r="J105" s="71" t="s">
        <v>1929</v>
      </c>
      <c r="K105" s="78" t="s">
        <v>32</v>
      </c>
      <c r="M105" s="83" t="s">
        <v>1923</v>
      </c>
    </row>
    <row r="106" ht="14.25" spans="1:13">
      <c r="A106" s="79" t="s">
        <v>1895</v>
      </c>
      <c r="B106" s="67" t="s">
        <v>1930</v>
      </c>
      <c r="C106" s="85" t="s">
        <v>1762</v>
      </c>
      <c r="D106" s="80" t="s">
        <v>277</v>
      </c>
      <c r="E106" s="80" t="s">
        <v>1879</v>
      </c>
      <c r="F106" s="81">
        <v>1</v>
      </c>
      <c r="G106" s="8" t="s">
        <v>372</v>
      </c>
      <c r="H106" s="82" t="s">
        <v>1921</v>
      </c>
      <c r="I106" s="78" t="s">
        <v>1733</v>
      </c>
      <c r="J106" s="71" t="s">
        <v>1931</v>
      </c>
      <c r="K106" s="78" t="s">
        <v>32</v>
      </c>
      <c r="M106" s="83" t="s">
        <v>1932</v>
      </c>
    </row>
    <row r="107" ht="14.25" spans="1:13">
      <c r="A107" s="79" t="s">
        <v>1895</v>
      </c>
      <c r="B107" s="67" t="s">
        <v>1933</v>
      </c>
      <c r="C107" s="85" t="s">
        <v>1762</v>
      </c>
      <c r="D107" s="80" t="s">
        <v>277</v>
      </c>
      <c r="E107" s="80" t="s">
        <v>1879</v>
      </c>
      <c r="F107" s="81">
        <v>1</v>
      </c>
      <c r="G107" s="8" t="s">
        <v>372</v>
      </c>
      <c r="H107" s="82" t="s">
        <v>1921</v>
      </c>
      <c r="I107" s="78" t="s">
        <v>1733</v>
      </c>
      <c r="J107" s="71" t="s">
        <v>1934</v>
      </c>
      <c r="K107" s="78" t="s">
        <v>32</v>
      </c>
      <c r="M107" s="83" t="s">
        <v>1932</v>
      </c>
    </row>
    <row r="108" ht="14.25" spans="1:13">
      <c r="A108" s="79" t="s">
        <v>1895</v>
      </c>
      <c r="B108" s="67" t="s">
        <v>1935</v>
      </c>
      <c r="C108" s="85" t="s">
        <v>1762</v>
      </c>
      <c r="D108" s="80" t="s">
        <v>277</v>
      </c>
      <c r="E108" s="80" t="s">
        <v>1879</v>
      </c>
      <c r="F108" s="81">
        <v>1</v>
      </c>
      <c r="G108" s="8" t="s">
        <v>372</v>
      </c>
      <c r="H108" s="82" t="s">
        <v>1921</v>
      </c>
      <c r="I108" s="78" t="s">
        <v>1733</v>
      </c>
      <c r="J108" s="71" t="s">
        <v>1936</v>
      </c>
      <c r="K108" s="78" t="s">
        <v>32</v>
      </c>
      <c r="M108" s="83" t="s">
        <v>1932</v>
      </c>
    </row>
    <row r="109" ht="14.25" spans="1:13">
      <c r="A109" s="79" t="s">
        <v>1895</v>
      </c>
      <c r="B109" s="67" t="s">
        <v>1937</v>
      </c>
      <c r="C109" s="85" t="s">
        <v>1762</v>
      </c>
      <c r="D109" s="80" t="s">
        <v>277</v>
      </c>
      <c r="E109" s="80" t="s">
        <v>1879</v>
      </c>
      <c r="F109" s="81">
        <v>1</v>
      </c>
      <c r="G109" s="8" t="s">
        <v>372</v>
      </c>
      <c r="H109" s="82" t="s">
        <v>1921</v>
      </c>
      <c r="I109" s="78" t="s">
        <v>1733</v>
      </c>
      <c r="J109" s="71" t="s">
        <v>1938</v>
      </c>
      <c r="K109" s="78" t="s">
        <v>32</v>
      </c>
      <c r="M109" s="83" t="s">
        <v>1932</v>
      </c>
    </row>
    <row r="110" ht="14.25" spans="1:13">
      <c r="A110" s="79" t="s">
        <v>1895</v>
      </c>
      <c r="B110" s="67" t="s">
        <v>1939</v>
      </c>
      <c r="C110" s="85" t="s">
        <v>1762</v>
      </c>
      <c r="D110" s="80" t="s">
        <v>269</v>
      </c>
      <c r="E110" s="80" t="s">
        <v>1888</v>
      </c>
      <c r="F110" s="81">
        <v>1</v>
      </c>
      <c r="G110" s="8" t="s">
        <v>372</v>
      </c>
      <c r="H110" s="82" t="s">
        <v>1921</v>
      </c>
      <c r="I110" s="78" t="s">
        <v>1733</v>
      </c>
      <c r="J110" s="71" t="s">
        <v>1940</v>
      </c>
      <c r="K110" s="78" t="s">
        <v>32</v>
      </c>
      <c r="M110" s="83" t="s">
        <v>1941</v>
      </c>
    </row>
    <row r="111" ht="14.25" spans="1:13">
      <c r="A111" s="79" t="s">
        <v>1895</v>
      </c>
      <c r="B111" s="67" t="s">
        <v>1942</v>
      </c>
      <c r="C111" s="85" t="s">
        <v>1762</v>
      </c>
      <c r="D111" s="80" t="s">
        <v>269</v>
      </c>
      <c r="E111" s="80" t="s">
        <v>1888</v>
      </c>
      <c r="F111" s="81">
        <v>1</v>
      </c>
      <c r="G111" s="8" t="s">
        <v>372</v>
      </c>
      <c r="H111" s="82" t="s">
        <v>1921</v>
      </c>
      <c r="I111" s="78" t="s">
        <v>1733</v>
      </c>
      <c r="J111" s="71" t="s">
        <v>1943</v>
      </c>
      <c r="K111" s="78" t="s">
        <v>32</v>
      </c>
      <c r="M111" s="83" t="s">
        <v>1941</v>
      </c>
    </row>
    <row r="112" ht="14.25" spans="1:13">
      <c r="A112" s="79" t="s">
        <v>1895</v>
      </c>
      <c r="B112" s="67" t="s">
        <v>1944</v>
      </c>
      <c r="C112" s="85" t="s">
        <v>1762</v>
      </c>
      <c r="D112" s="80" t="s">
        <v>286</v>
      </c>
      <c r="E112" s="80" t="s">
        <v>1764</v>
      </c>
      <c r="F112" s="81">
        <v>1</v>
      </c>
      <c r="G112" s="88" t="s">
        <v>372</v>
      </c>
      <c r="H112" s="78" t="s">
        <v>1921</v>
      </c>
      <c r="I112" s="78" t="s">
        <v>1733</v>
      </c>
      <c r="J112" s="71" t="s">
        <v>1945</v>
      </c>
      <c r="K112" s="78" t="s">
        <v>26</v>
      </c>
      <c r="M112" s="83" t="s">
        <v>1946</v>
      </c>
    </row>
    <row r="113" ht="14.25" spans="1:13">
      <c r="A113" s="79" t="s">
        <v>1895</v>
      </c>
      <c r="B113" s="67" t="s">
        <v>1947</v>
      </c>
      <c r="C113" s="85" t="s">
        <v>1762</v>
      </c>
      <c r="D113" s="80" t="s">
        <v>293</v>
      </c>
      <c r="E113" s="80" t="s">
        <v>1764</v>
      </c>
      <c r="F113" s="81">
        <v>1</v>
      </c>
      <c r="G113" s="88" t="s">
        <v>372</v>
      </c>
      <c r="H113" s="78" t="s">
        <v>1921</v>
      </c>
      <c r="I113" s="78" t="s">
        <v>1733</v>
      </c>
      <c r="J113" s="71" t="s">
        <v>1948</v>
      </c>
      <c r="K113" s="78" t="s">
        <v>26</v>
      </c>
      <c r="M113" s="83" t="s">
        <v>1949</v>
      </c>
    </row>
    <row r="114" ht="14.25" spans="1:13">
      <c r="A114" s="79" t="s">
        <v>1895</v>
      </c>
      <c r="B114" s="67" t="s">
        <v>1950</v>
      </c>
      <c r="C114" s="85" t="s">
        <v>1762</v>
      </c>
      <c r="D114" s="80" t="s">
        <v>286</v>
      </c>
      <c r="E114" s="80" t="s">
        <v>1764</v>
      </c>
      <c r="F114" s="81">
        <v>1</v>
      </c>
      <c r="G114" s="88" t="s">
        <v>372</v>
      </c>
      <c r="H114" s="78" t="s">
        <v>1921</v>
      </c>
      <c r="I114" s="78" t="s">
        <v>1733</v>
      </c>
      <c r="J114" s="71" t="s">
        <v>1951</v>
      </c>
      <c r="K114" s="78" t="s">
        <v>26</v>
      </c>
      <c r="M114" s="83" t="s">
        <v>1946</v>
      </c>
    </row>
    <row r="115" ht="14.25" spans="1:13">
      <c r="A115" s="79" t="s">
        <v>1895</v>
      </c>
      <c r="B115" s="67" t="s">
        <v>1952</v>
      </c>
      <c r="C115" s="85" t="s">
        <v>1762</v>
      </c>
      <c r="D115" s="80" t="s">
        <v>293</v>
      </c>
      <c r="E115" s="80" t="s">
        <v>1764</v>
      </c>
      <c r="F115" s="81">
        <v>1</v>
      </c>
      <c r="G115" s="88" t="s">
        <v>372</v>
      </c>
      <c r="H115" s="78" t="s">
        <v>1921</v>
      </c>
      <c r="I115" s="78" t="s">
        <v>1733</v>
      </c>
      <c r="J115" s="71" t="s">
        <v>1953</v>
      </c>
      <c r="K115" s="78" t="s">
        <v>26</v>
      </c>
      <c r="M115" s="83" t="s">
        <v>1949</v>
      </c>
    </row>
    <row r="116" spans="1:13">
      <c r="A116" s="79" t="s">
        <v>1895</v>
      </c>
      <c r="B116" s="67" t="s">
        <v>1954</v>
      </c>
      <c r="C116" s="85" t="s">
        <v>1762</v>
      </c>
      <c r="D116" s="80" t="s">
        <v>352</v>
      </c>
      <c r="E116" s="80" t="s">
        <v>1764</v>
      </c>
      <c r="F116" s="81">
        <v>1</v>
      </c>
      <c r="G116" s="88" t="s">
        <v>775</v>
      </c>
      <c r="H116" s="78" t="s">
        <v>1921</v>
      </c>
      <c r="I116" s="78" t="s">
        <v>1733</v>
      </c>
      <c r="J116" s="71" t="s">
        <v>1834</v>
      </c>
      <c r="K116" s="78" t="s">
        <v>26</v>
      </c>
    </row>
    <row r="117" spans="1:13">
      <c r="A117" s="79" t="s">
        <v>1895</v>
      </c>
      <c r="B117" s="67" t="s">
        <v>1955</v>
      </c>
      <c r="C117" s="85" t="s">
        <v>1762</v>
      </c>
      <c r="D117" s="80" t="s">
        <v>342</v>
      </c>
      <c r="E117" s="80" t="s">
        <v>1764</v>
      </c>
      <c r="F117" s="81">
        <v>1</v>
      </c>
      <c r="G117" s="88" t="s">
        <v>775</v>
      </c>
      <c r="H117" s="78" t="s">
        <v>1921</v>
      </c>
      <c r="I117" s="78" t="s">
        <v>1733</v>
      </c>
      <c r="J117" s="71" t="s">
        <v>1834</v>
      </c>
      <c r="K117" s="78" t="s">
        <v>26</v>
      </c>
    </row>
    <row r="118" spans="1:13">
      <c r="A118" s="79" t="s">
        <v>1895</v>
      </c>
      <c r="B118" s="67" t="s">
        <v>1956</v>
      </c>
      <c r="C118" s="85" t="s">
        <v>1762</v>
      </c>
      <c r="D118" s="80" t="s">
        <v>357</v>
      </c>
      <c r="E118" s="80" t="s">
        <v>1764</v>
      </c>
      <c r="F118" s="81">
        <v>1</v>
      </c>
      <c r="G118" s="88" t="s">
        <v>775</v>
      </c>
      <c r="H118" s="78" t="s">
        <v>1921</v>
      </c>
      <c r="I118" s="78" t="s">
        <v>1733</v>
      </c>
      <c r="J118" s="71" t="s">
        <v>1834</v>
      </c>
      <c r="K118" s="78" t="s">
        <v>26</v>
      </c>
    </row>
    <row r="119" spans="1:13">
      <c r="A119" s="79" t="s">
        <v>1895</v>
      </c>
      <c r="B119" s="67" t="s">
        <v>1957</v>
      </c>
      <c r="C119" s="85" t="s">
        <v>1762</v>
      </c>
      <c r="D119" s="80" t="s">
        <v>357</v>
      </c>
      <c r="E119" s="80" t="s">
        <v>1764</v>
      </c>
      <c r="F119" s="81">
        <v>1</v>
      </c>
      <c r="G119" s="88" t="s">
        <v>775</v>
      </c>
      <c r="H119" s="78" t="s">
        <v>1921</v>
      </c>
      <c r="I119" s="78" t="s">
        <v>1733</v>
      </c>
      <c r="J119" s="71" t="s">
        <v>1834</v>
      </c>
      <c r="K119" s="78" t="s">
        <v>26</v>
      </c>
    </row>
    <row r="120" spans="1:13">
      <c r="A120" s="79" t="s">
        <v>1895</v>
      </c>
      <c r="B120" s="67" t="s">
        <v>1958</v>
      </c>
      <c r="C120" s="85" t="s">
        <v>1762</v>
      </c>
      <c r="D120" s="80" t="s">
        <v>342</v>
      </c>
      <c r="E120" s="80" t="s">
        <v>1764</v>
      </c>
      <c r="F120" s="81">
        <v>1</v>
      </c>
      <c r="G120" s="88" t="s">
        <v>775</v>
      </c>
      <c r="H120" s="78" t="s">
        <v>1921</v>
      </c>
      <c r="I120" s="78" t="s">
        <v>1733</v>
      </c>
      <c r="J120" s="71" t="s">
        <v>1834</v>
      </c>
      <c r="K120" s="78" t="s">
        <v>26</v>
      </c>
    </row>
    <row r="121" spans="1:13">
      <c r="A121" s="79" t="s">
        <v>1895</v>
      </c>
      <c r="B121" s="67" t="s">
        <v>1959</v>
      </c>
      <c r="C121" s="85" t="s">
        <v>1762</v>
      </c>
      <c r="D121" s="80" t="s">
        <v>352</v>
      </c>
      <c r="E121" s="80" t="s">
        <v>1764</v>
      </c>
      <c r="F121" s="81">
        <v>1</v>
      </c>
      <c r="G121" s="88" t="s">
        <v>775</v>
      </c>
      <c r="H121" s="78" t="s">
        <v>1921</v>
      </c>
      <c r="I121" s="78" t="s">
        <v>1733</v>
      </c>
      <c r="J121" s="71" t="s">
        <v>1834</v>
      </c>
      <c r="K121" s="78" t="s">
        <v>26</v>
      </c>
    </row>
    <row r="122" spans="1:13">
      <c r="A122" s="79" t="s">
        <v>1895</v>
      </c>
      <c r="B122" s="67" t="s">
        <v>1960</v>
      </c>
      <c r="C122" s="85" t="s">
        <v>1762</v>
      </c>
      <c r="D122" s="80" t="s">
        <v>347</v>
      </c>
      <c r="E122" s="80" t="s">
        <v>1764</v>
      </c>
      <c r="F122" s="81">
        <v>1</v>
      </c>
      <c r="G122" s="88" t="s">
        <v>775</v>
      </c>
      <c r="H122" s="78" t="s">
        <v>1921</v>
      </c>
      <c r="I122" s="78" t="s">
        <v>1733</v>
      </c>
      <c r="J122" s="71" t="s">
        <v>1834</v>
      </c>
      <c r="K122" s="78" t="s">
        <v>26</v>
      </c>
    </row>
    <row r="123" spans="1:13">
      <c r="A123" s="79" t="s">
        <v>1895</v>
      </c>
      <c r="B123" s="67" t="s">
        <v>1961</v>
      </c>
      <c r="C123" s="85" t="s">
        <v>1762</v>
      </c>
      <c r="D123" s="80" t="s">
        <v>347</v>
      </c>
      <c r="E123" s="80" t="s">
        <v>1764</v>
      </c>
      <c r="F123" s="81">
        <v>1</v>
      </c>
      <c r="G123" s="88" t="s">
        <v>775</v>
      </c>
      <c r="H123" s="78" t="s">
        <v>1921</v>
      </c>
      <c r="I123" s="78" t="s">
        <v>1733</v>
      </c>
      <c r="J123" s="71" t="s">
        <v>1834</v>
      </c>
      <c r="K123" s="78" t="s">
        <v>26</v>
      </c>
    </row>
    <row r="124" spans="1:13">
      <c r="A124" s="79" t="s">
        <v>1895</v>
      </c>
      <c r="B124" s="69" t="s">
        <v>1962</v>
      </c>
      <c r="C124" s="80" t="s">
        <v>1963</v>
      </c>
      <c r="D124" s="80" t="s">
        <v>263</v>
      </c>
      <c r="E124" s="80" t="s">
        <v>1860</v>
      </c>
      <c r="F124" s="81">
        <v>0</v>
      </c>
      <c r="G124" s="96" t="s">
        <v>775</v>
      </c>
      <c r="H124" s="78" t="s">
        <v>1818</v>
      </c>
      <c r="I124" s="78" t="s">
        <v>1964</v>
      </c>
      <c r="J124" s="71" t="s">
        <v>1834</v>
      </c>
      <c r="K124" s="78" t="s">
        <v>26</v>
      </c>
    </row>
    <row r="125" spans="1:13">
      <c r="A125" s="79" t="s">
        <v>1895</v>
      </c>
      <c r="B125" s="69" t="s">
        <v>1965</v>
      </c>
      <c r="C125" s="80" t="s">
        <v>1963</v>
      </c>
      <c r="D125" s="80" t="s">
        <v>266</v>
      </c>
      <c r="E125" s="80" t="s">
        <v>1860</v>
      </c>
      <c r="F125" s="81">
        <v>0</v>
      </c>
      <c r="G125" s="96" t="s">
        <v>775</v>
      </c>
      <c r="H125" s="78" t="s">
        <v>1818</v>
      </c>
      <c r="I125" s="78" t="s">
        <v>1964</v>
      </c>
      <c r="J125" s="71" t="s">
        <v>1834</v>
      </c>
      <c r="K125" s="78" t="s">
        <v>26</v>
      </c>
    </row>
    <row r="126" spans="1:13">
      <c r="A126" s="79" t="s">
        <v>1895</v>
      </c>
      <c r="B126" s="69" t="s">
        <v>1966</v>
      </c>
      <c r="C126" s="80" t="s">
        <v>1762</v>
      </c>
      <c r="D126" s="80" t="s">
        <v>274</v>
      </c>
      <c r="E126" s="80" t="s">
        <v>1377</v>
      </c>
      <c r="F126" s="81">
        <v>1</v>
      </c>
      <c r="G126" s="89" t="s">
        <v>775</v>
      </c>
      <c r="H126" s="99" t="s">
        <v>1847</v>
      </c>
      <c r="I126" s="99">
        <v>2.5</v>
      </c>
      <c r="J126" s="99" t="s">
        <v>1834</v>
      </c>
      <c r="K126" s="71" t="s">
        <v>26</v>
      </c>
    </row>
    <row r="127" spans="1:13">
      <c r="A127" s="79" t="s">
        <v>1895</v>
      </c>
      <c r="B127" s="67" t="s">
        <v>1967</v>
      </c>
      <c r="C127" s="80" t="s">
        <v>1968</v>
      </c>
      <c r="D127" s="80" t="s">
        <v>310</v>
      </c>
      <c r="E127" s="80" t="s">
        <v>1363</v>
      </c>
      <c r="F127" s="81">
        <v>1</v>
      </c>
      <c r="G127" s="100" t="s">
        <v>1969</v>
      </c>
      <c r="H127" s="78" t="s">
        <v>1847</v>
      </c>
      <c r="I127" s="78" t="s">
        <v>1733</v>
      </c>
      <c r="J127" s="78" t="s">
        <v>1970</v>
      </c>
      <c r="K127" s="78" t="s">
        <v>1971</v>
      </c>
    </row>
    <row r="128" spans="1:13">
      <c r="A128" s="79" t="s">
        <v>1895</v>
      </c>
      <c r="B128" s="67" t="s">
        <v>1972</v>
      </c>
      <c r="C128" s="80" t="s">
        <v>1968</v>
      </c>
      <c r="D128" s="80" t="s">
        <v>310</v>
      </c>
      <c r="E128" s="80" t="s">
        <v>1363</v>
      </c>
      <c r="F128" s="81">
        <v>1</v>
      </c>
      <c r="G128" s="100" t="s">
        <v>1969</v>
      </c>
      <c r="H128" s="78" t="s">
        <v>1847</v>
      </c>
      <c r="I128" s="78" t="s">
        <v>1733</v>
      </c>
      <c r="J128" s="78" t="s">
        <v>1973</v>
      </c>
      <c r="K128" s="78" t="s">
        <v>1971</v>
      </c>
    </row>
    <row r="129" ht="14.25" spans="1:13">
      <c r="A129" s="79" t="s">
        <v>1974</v>
      </c>
      <c r="B129" s="69" t="s">
        <v>1975</v>
      </c>
      <c r="C129" s="80" t="s">
        <v>1976</v>
      </c>
      <c r="D129" s="80" t="s">
        <v>428</v>
      </c>
      <c r="E129" s="80" t="s">
        <v>1860</v>
      </c>
      <c r="F129" s="81">
        <v>0</v>
      </c>
      <c r="G129" s="101" t="s">
        <v>372</v>
      </c>
      <c r="H129" s="78" t="s">
        <v>1847</v>
      </c>
      <c r="I129" s="78" t="s">
        <v>1733</v>
      </c>
      <c r="J129" s="78" t="s">
        <v>1977</v>
      </c>
      <c r="K129" s="78" t="s">
        <v>1978</v>
      </c>
      <c r="M129" s="83" t="s">
        <v>1979</v>
      </c>
    </row>
    <row r="130" ht="14.25" spans="1:13">
      <c r="A130" s="79" t="s">
        <v>1974</v>
      </c>
      <c r="B130" s="69" t="s">
        <v>1980</v>
      </c>
      <c r="C130" s="80" t="s">
        <v>1976</v>
      </c>
      <c r="D130" s="80" t="s">
        <v>431</v>
      </c>
      <c r="E130" s="80" t="s">
        <v>1860</v>
      </c>
      <c r="F130" s="81">
        <v>0</v>
      </c>
      <c r="G130" s="101" t="s">
        <v>372</v>
      </c>
      <c r="H130" s="78" t="s">
        <v>1847</v>
      </c>
      <c r="I130" s="78" t="s">
        <v>1733</v>
      </c>
      <c r="J130" s="71" t="s">
        <v>1981</v>
      </c>
      <c r="K130" s="78" t="s">
        <v>1978</v>
      </c>
      <c r="M130" s="83" t="s">
        <v>1982</v>
      </c>
    </row>
    <row r="131" spans="1:13">
      <c r="A131" s="79" t="s">
        <v>1974</v>
      </c>
      <c r="B131" s="69" t="s">
        <v>1983</v>
      </c>
      <c r="C131" s="80" t="s">
        <v>1984</v>
      </c>
      <c r="D131" s="80" t="s">
        <v>422</v>
      </c>
      <c r="E131" s="80" t="s">
        <v>1860</v>
      </c>
      <c r="F131" s="81">
        <v>0</v>
      </c>
      <c r="G131" s="96" t="s">
        <v>775</v>
      </c>
      <c r="H131" s="78" t="s">
        <v>1847</v>
      </c>
      <c r="I131" s="78" t="s">
        <v>1733</v>
      </c>
      <c r="J131" s="71" t="s">
        <v>1985</v>
      </c>
      <c r="K131" s="78" t="s">
        <v>26</v>
      </c>
    </row>
    <row r="132" spans="1:13">
      <c r="A132" s="79" t="s">
        <v>1974</v>
      </c>
      <c r="B132" s="69" t="s">
        <v>1986</v>
      </c>
      <c r="C132" s="85" t="s">
        <v>1762</v>
      </c>
      <c r="D132" s="80" t="s">
        <v>425</v>
      </c>
      <c r="E132" s="80" t="s">
        <v>1903</v>
      </c>
      <c r="F132" s="81">
        <v>1</v>
      </c>
      <c r="G132" s="96" t="s">
        <v>1822</v>
      </c>
      <c r="H132" s="78" t="s">
        <v>1823</v>
      </c>
      <c r="I132" s="78" t="s">
        <v>1823</v>
      </c>
      <c r="J132" s="78" t="s">
        <v>1823</v>
      </c>
    </row>
    <row r="133" spans="1:13">
      <c r="A133" s="79" t="s">
        <v>1829</v>
      </c>
      <c r="B133" s="67" t="s">
        <v>1987</v>
      </c>
      <c r="C133" s="80" t="s">
        <v>1988</v>
      </c>
      <c r="D133" s="80" t="s">
        <v>834</v>
      </c>
      <c r="E133" s="80" t="s">
        <v>1989</v>
      </c>
      <c r="F133" s="81">
        <v>1</v>
      </c>
      <c r="G133" s="88" t="s">
        <v>775</v>
      </c>
      <c r="H133" s="78" t="s">
        <v>1847</v>
      </c>
      <c r="I133" s="78" t="s">
        <v>1733</v>
      </c>
      <c r="J133" s="71" t="s">
        <v>1834</v>
      </c>
      <c r="K133" s="78" t="s">
        <v>26</v>
      </c>
    </row>
    <row r="134" spans="1:13">
      <c r="A134" s="79" t="s">
        <v>1829</v>
      </c>
      <c r="B134" s="67" t="s">
        <v>1990</v>
      </c>
      <c r="C134" s="80" t="s">
        <v>1988</v>
      </c>
      <c r="D134" s="80" t="s">
        <v>834</v>
      </c>
      <c r="E134" s="80" t="s">
        <v>1989</v>
      </c>
      <c r="F134" s="81">
        <v>1</v>
      </c>
      <c r="G134" s="88" t="s">
        <v>775</v>
      </c>
      <c r="H134" s="78" t="s">
        <v>1847</v>
      </c>
      <c r="I134" s="78" t="s">
        <v>1733</v>
      </c>
      <c r="J134" s="71" t="s">
        <v>1834</v>
      </c>
      <c r="K134" s="78" t="s">
        <v>26</v>
      </c>
    </row>
    <row r="135" spans="1:13">
      <c r="A135" s="79" t="s">
        <v>1829</v>
      </c>
      <c r="B135" s="67" t="s">
        <v>1991</v>
      </c>
      <c r="C135" s="80" t="s">
        <v>1988</v>
      </c>
      <c r="D135" s="80" t="s">
        <v>834</v>
      </c>
      <c r="E135" s="80" t="s">
        <v>1989</v>
      </c>
      <c r="F135" s="81">
        <v>1</v>
      </c>
      <c r="G135" s="88" t="s">
        <v>775</v>
      </c>
      <c r="H135" s="78" t="s">
        <v>1847</v>
      </c>
      <c r="I135" s="78" t="s">
        <v>1733</v>
      </c>
      <c r="J135" s="71" t="s">
        <v>1834</v>
      </c>
      <c r="K135" s="78" t="s">
        <v>26</v>
      </c>
    </row>
    <row r="136" spans="1:13">
      <c r="A136" s="79" t="s">
        <v>1829</v>
      </c>
      <c r="B136" s="67" t="s">
        <v>1992</v>
      </c>
      <c r="C136" s="80" t="s">
        <v>1988</v>
      </c>
      <c r="D136" s="80" t="s">
        <v>834</v>
      </c>
      <c r="E136" s="80" t="s">
        <v>1989</v>
      </c>
      <c r="F136" s="81">
        <v>1</v>
      </c>
      <c r="G136" s="88" t="s">
        <v>775</v>
      </c>
      <c r="H136" s="78" t="s">
        <v>1847</v>
      </c>
      <c r="I136" s="78" t="s">
        <v>1733</v>
      </c>
      <c r="J136" s="71" t="s">
        <v>1834</v>
      </c>
      <c r="K136" s="78" t="s">
        <v>26</v>
      </c>
    </row>
    <row r="137" spans="1:13">
      <c r="A137" s="79" t="s">
        <v>1829</v>
      </c>
      <c r="B137" s="67" t="s">
        <v>1993</v>
      </c>
      <c r="C137" s="80" t="s">
        <v>1988</v>
      </c>
      <c r="D137" s="80" t="s">
        <v>834</v>
      </c>
      <c r="E137" s="80" t="s">
        <v>1989</v>
      </c>
      <c r="F137" s="81">
        <v>1</v>
      </c>
      <c r="G137" s="88" t="s">
        <v>775</v>
      </c>
      <c r="H137" s="78" t="s">
        <v>1847</v>
      </c>
      <c r="I137" s="78" t="s">
        <v>1733</v>
      </c>
      <c r="J137" s="71" t="s">
        <v>1834</v>
      </c>
      <c r="K137" s="78" t="s">
        <v>26</v>
      </c>
    </row>
    <row r="138" spans="1:13">
      <c r="A138" s="79" t="s">
        <v>1829</v>
      </c>
      <c r="B138" s="67" t="s">
        <v>1994</v>
      </c>
      <c r="C138" s="80" t="s">
        <v>1988</v>
      </c>
      <c r="D138" s="80" t="s">
        <v>834</v>
      </c>
      <c r="E138" s="80" t="s">
        <v>1989</v>
      </c>
      <c r="F138" s="81">
        <v>1</v>
      </c>
      <c r="G138" s="88" t="s">
        <v>775</v>
      </c>
      <c r="H138" s="78" t="s">
        <v>1847</v>
      </c>
      <c r="I138" s="78" t="s">
        <v>1733</v>
      </c>
      <c r="J138" s="71" t="s">
        <v>1834</v>
      </c>
      <c r="K138" s="78" t="s">
        <v>26</v>
      </c>
    </row>
    <row r="139" spans="1:13">
      <c r="A139" s="79" t="s">
        <v>1829</v>
      </c>
      <c r="B139" s="67" t="s">
        <v>1995</v>
      </c>
      <c r="C139" s="80" t="s">
        <v>1988</v>
      </c>
      <c r="D139" s="80" t="s">
        <v>834</v>
      </c>
      <c r="E139" s="80" t="s">
        <v>1377</v>
      </c>
      <c r="F139" s="81">
        <v>1</v>
      </c>
      <c r="G139" s="88" t="s">
        <v>775</v>
      </c>
      <c r="H139" s="78" t="s">
        <v>1847</v>
      </c>
      <c r="I139" s="78" t="s">
        <v>1733</v>
      </c>
      <c r="J139" s="71" t="s">
        <v>1834</v>
      </c>
      <c r="K139" s="78" t="s">
        <v>1996</v>
      </c>
    </row>
    <row r="140" spans="1:13">
      <c r="A140" s="79" t="s">
        <v>1829</v>
      </c>
      <c r="B140" s="67" t="s">
        <v>1997</v>
      </c>
      <c r="C140" s="80" t="s">
        <v>1988</v>
      </c>
      <c r="D140" s="80" t="s">
        <v>834</v>
      </c>
      <c r="E140" s="80" t="s">
        <v>1377</v>
      </c>
      <c r="F140" s="81">
        <v>1</v>
      </c>
      <c r="G140" s="88" t="s">
        <v>775</v>
      </c>
      <c r="H140" s="78" t="s">
        <v>1847</v>
      </c>
      <c r="I140" s="78" t="s">
        <v>1733</v>
      </c>
      <c r="J140" s="71" t="s">
        <v>1834</v>
      </c>
      <c r="K140" s="78" t="s">
        <v>1998</v>
      </c>
    </row>
    <row r="141" spans="1:13">
      <c r="A141" s="79" t="s">
        <v>1829</v>
      </c>
      <c r="B141" s="67" t="s">
        <v>1999</v>
      </c>
      <c r="C141" s="80" t="s">
        <v>1988</v>
      </c>
      <c r="D141" s="80" t="s">
        <v>834</v>
      </c>
      <c r="E141" s="80" t="s">
        <v>1377</v>
      </c>
      <c r="F141" s="81">
        <v>1</v>
      </c>
      <c r="G141" s="88" t="s">
        <v>775</v>
      </c>
      <c r="H141" s="78" t="s">
        <v>1847</v>
      </c>
      <c r="I141" s="78" t="s">
        <v>1733</v>
      </c>
      <c r="J141" s="71" t="s">
        <v>1834</v>
      </c>
      <c r="K141" s="78" t="s">
        <v>2000</v>
      </c>
    </row>
    <row r="142" spans="1:13">
      <c r="A142" s="79" t="s">
        <v>1829</v>
      </c>
      <c r="B142" s="67" t="s">
        <v>2001</v>
      </c>
      <c r="C142" s="80" t="s">
        <v>2002</v>
      </c>
      <c r="D142" s="80" t="s">
        <v>854</v>
      </c>
      <c r="E142" s="80" t="s">
        <v>1491</v>
      </c>
      <c r="F142" s="81">
        <v>1</v>
      </c>
      <c r="G142" s="88" t="s">
        <v>775</v>
      </c>
      <c r="H142" s="78" t="s">
        <v>1847</v>
      </c>
      <c r="I142" s="78" t="s">
        <v>1733</v>
      </c>
      <c r="J142" s="71" t="s">
        <v>1834</v>
      </c>
      <c r="K142" s="78" t="s">
        <v>26</v>
      </c>
    </row>
    <row r="143" spans="1:13">
      <c r="A143" s="79" t="s">
        <v>1829</v>
      </c>
      <c r="B143" s="67" t="s">
        <v>2003</v>
      </c>
      <c r="C143" s="80" t="s">
        <v>2002</v>
      </c>
      <c r="D143" s="80" t="s">
        <v>854</v>
      </c>
      <c r="E143" s="80" t="s">
        <v>1491</v>
      </c>
      <c r="F143" s="81">
        <v>1</v>
      </c>
      <c r="G143" s="88" t="s">
        <v>775</v>
      </c>
      <c r="H143" s="78" t="s">
        <v>1847</v>
      </c>
      <c r="I143" s="78" t="s">
        <v>1733</v>
      </c>
      <c r="J143" s="71" t="s">
        <v>1834</v>
      </c>
      <c r="K143" s="78" t="s">
        <v>26</v>
      </c>
    </row>
    <row r="144" spans="1:13">
      <c r="A144" s="79" t="s">
        <v>1829</v>
      </c>
      <c r="B144" s="67" t="s">
        <v>2004</v>
      </c>
      <c r="C144" s="80" t="s">
        <v>2002</v>
      </c>
      <c r="D144" s="80" t="s">
        <v>854</v>
      </c>
      <c r="E144" s="80" t="s">
        <v>1750</v>
      </c>
      <c r="F144" s="81">
        <v>1</v>
      </c>
      <c r="G144" s="88" t="s">
        <v>775</v>
      </c>
      <c r="H144" s="78" t="s">
        <v>1847</v>
      </c>
      <c r="I144" s="78" t="s">
        <v>1733</v>
      </c>
      <c r="J144" s="71" t="s">
        <v>1834</v>
      </c>
      <c r="K144" s="78" t="s">
        <v>26</v>
      </c>
    </row>
    <row r="145" spans="1:11">
      <c r="A145" s="79" t="s">
        <v>1829</v>
      </c>
      <c r="B145" s="67" t="s">
        <v>2005</v>
      </c>
      <c r="C145" s="80" t="s">
        <v>2006</v>
      </c>
      <c r="D145" s="80" t="s">
        <v>793</v>
      </c>
      <c r="E145" s="80" t="s">
        <v>2007</v>
      </c>
      <c r="F145" s="81">
        <v>1</v>
      </c>
      <c r="G145" s="86" t="s">
        <v>1822</v>
      </c>
      <c r="H145" s="78" t="s">
        <v>1823</v>
      </c>
      <c r="I145" s="78" t="s">
        <v>1823</v>
      </c>
      <c r="J145" s="78" t="s">
        <v>1823</v>
      </c>
    </row>
    <row r="146" spans="1:11">
      <c r="A146" s="79" t="s">
        <v>1829</v>
      </c>
      <c r="B146" s="67" t="s">
        <v>2008</v>
      </c>
      <c r="C146" s="80" t="s">
        <v>2006</v>
      </c>
      <c r="D146" s="80" t="s">
        <v>793</v>
      </c>
      <c r="E146" s="80" t="s">
        <v>2007</v>
      </c>
      <c r="F146" s="81">
        <v>1</v>
      </c>
      <c r="G146" s="86" t="s">
        <v>1822</v>
      </c>
      <c r="H146" s="78" t="s">
        <v>1823</v>
      </c>
      <c r="I146" s="78" t="s">
        <v>1823</v>
      </c>
      <c r="J146" s="78" t="s">
        <v>1823</v>
      </c>
    </row>
    <row r="147" spans="1:11">
      <c r="A147" s="79" t="s">
        <v>1829</v>
      </c>
      <c r="B147" s="67" t="s">
        <v>2009</v>
      </c>
      <c r="C147" s="80" t="s">
        <v>2006</v>
      </c>
      <c r="D147" s="80" t="s">
        <v>793</v>
      </c>
      <c r="E147" s="80" t="s">
        <v>2007</v>
      </c>
      <c r="F147" s="81">
        <v>1</v>
      </c>
      <c r="G147" s="86" t="s">
        <v>1822</v>
      </c>
      <c r="H147" s="78" t="s">
        <v>1823</v>
      </c>
      <c r="I147" s="78" t="s">
        <v>1823</v>
      </c>
      <c r="J147" s="78" t="s">
        <v>1823</v>
      </c>
    </row>
    <row r="148" spans="1:11">
      <c r="A148" s="79" t="s">
        <v>1829</v>
      </c>
      <c r="B148" s="67" t="s">
        <v>2010</v>
      </c>
      <c r="C148" s="80" t="s">
        <v>2006</v>
      </c>
      <c r="D148" s="80" t="s">
        <v>816</v>
      </c>
      <c r="E148" s="80" t="s">
        <v>2011</v>
      </c>
      <c r="F148" s="81">
        <v>1</v>
      </c>
      <c r="G148" s="86" t="s">
        <v>1822</v>
      </c>
      <c r="H148" s="78" t="s">
        <v>1823</v>
      </c>
      <c r="I148" s="78" t="s">
        <v>1823</v>
      </c>
      <c r="J148" s="78" t="s">
        <v>1823</v>
      </c>
    </row>
    <row r="149" spans="1:11">
      <c r="A149" s="79" t="s">
        <v>1829</v>
      </c>
      <c r="B149" s="67" t="s">
        <v>2012</v>
      </c>
      <c r="C149" s="80" t="s">
        <v>2006</v>
      </c>
      <c r="D149" s="80" t="s">
        <v>819</v>
      </c>
      <c r="E149" s="80" t="s">
        <v>2011</v>
      </c>
      <c r="F149" s="81">
        <v>1</v>
      </c>
      <c r="G149" s="86" t="s">
        <v>1822</v>
      </c>
      <c r="H149" s="78" t="s">
        <v>1823</v>
      </c>
      <c r="I149" s="78" t="s">
        <v>1823</v>
      </c>
      <c r="J149" s="78" t="s">
        <v>1823</v>
      </c>
    </row>
    <row r="150" spans="1:11">
      <c r="A150" s="79" t="s">
        <v>1829</v>
      </c>
      <c r="B150" s="67" t="s">
        <v>2013</v>
      </c>
      <c r="C150" s="80" t="s">
        <v>2006</v>
      </c>
      <c r="D150" s="80" t="s">
        <v>822</v>
      </c>
      <c r="E150" s="80" t="s">
        <v>2011</v>
      </c>
      <c r="F150" s="81">
        <v>1</v>
      </c>
      <c r="G150" s="86" t="s">
        <v>1822</v>
      </c>
      <c r="H150" s="78" t="s">
        <v>1823</v>
      </c>
      <c r="I150" s="78" t="s">
        <v>1823</v>
      </c>
      <c r="J150" s="78" t="s">
        <v>1823</v>
      </c>
    </row>
    <row r="151" spans="1:11">
      <c r="A151" s="79" t="s">
        <v>1829</v>
      </c>
      <c r="B151" s="67" t="s">
        <v>2014</v>
      </c>
      <c r="C151" s="80" t="s">
        <v>2006</v>
      </c>
      <c r="D151" s="80" t="s">
        <v>825</v>
      </c>
      <c r="E151" s="80" t="s">
        <v>2011</v>
      </c>
      <c r="F151" s="81">
        <v>1</v>
      </c>
      <c r="G151" s="86" t="s">
        <v>1822</v>
      </c>
      <c r="H151" s="78" t="s">
        <v>1823</v>
      </c>
      <c r="I151" s="78" t="s">
        <v>1823</v>
      </c>
      <c r="J151" s="78" t="s">
        <v>1823</v>
      </c>
    </row>
    <row r="152" spans="1:11">
      <c r="A152" s="79" t="s">
        <v>1829</v>
      </c>
      <c r="B152" s="67" t="s">
        <v>2015</v>
      </c>
      <c r="C152" s="80" t="s">
        <v>2006</v>
      </c>
      <c r="D152" s="80" t="s">
        <v>828</v>
      </c>
      <c r="E152" s="80" t="s">
        <v>2011</v>
      </c>
      <c r="F152" s="81">
        <v>1</v>
      </c>
      <c r="G152" s="86" t="s">
        <v>1822</v>
      </c>
      <c r="H152" s="78" t="s">
        <v>1823</v>
      </c>
      <c r="I152" s="78" t="s">
        <v>1823</v>
      </c>
      <c r="J152" s="78" t="s">
        <v>1823</v>
      </c>
    </row>
    <row r="153" spans="1:11">
      <c r="A153" s="79" t="s">
        <v>1829</v>
      </c>
      <c r="B153" s="67" t="s">
        <v>2016</v>
      </c>
      <c r="C153" s="80" t="s">
        <v>2006</v>
      </c>
      <c r="D153" s="80" t="s">
        <v>831</v>
      </c>
      <c r="E153" s="80" t="s">
        <v>2011</v>
      </c>
      <c r="F153" s="81">
        <v>1</v>
      </c>
      <c r="G153" s="86" t="s">
        <v>1822</v>
      </c>
      <c r="H153" s="78" t="s">
        <v>1823</v>
      </c>
      <c r="I153" s="78" t="s">
        <v>1823</v>
      </c>
      <c r="J153" s="78" t="s">
        <v>1823</v>
      </c>
    </row>
    <row r="154" spans="1:11">
      <c r="A154" s="79" t="s">
        <v>1829</v>
      </c>
      <c r="B154" s="67" t="s">
        <v>2017</v>
      </c>
      <c r="C154" s="80" t="s">
        <v>2006</v>
      </c>
      <c r="D154" s="80" t="s">
        <v>806</v>
      </c>
      <c r="E154" s="80" t="s">
        <v>2007</v>
      </c>
      <c r="F154" s="81">
        <v>1</v>
      </c>
      <c r="G154" s="86" t="s">
        <v>1822</v>
      </c>
      <c r="H154" s="78" t="s">
        <v>1823</v>
      </c>
      <c r="I154" s="78" t="s">
        <v>1823</v>
      </c>
      <c r="J154" s="78" t="s">
        <v>1823</v>
      </c>
    </row>
    <row r="155" spans="1:11">
      <c r="A155" s="79" t="s">
        <v>1829</v>
      </c>
      <c r="B155" s="67" t="s">
        <v>2018</v>
      </c>
      <c r="C155" s="80" t="s">
        <v>2006</v>
      </c>
      <c r="D155" s="80" t="s">
        <v>806</v>
      </c>
      <c r="E155" s="80" t="s">
        <v>2007</v>
      </c>
      <c r="F155" s="81">
        <v>1</v>
      </c>
      <c r="G155" s="86" t="s">
        <v>1822</v>
      </c>
      <c r="H155" s="78" t="s">
        <v>1823</v>
      </c>
      <c r="I155" s="78" t="s">
        <v>1823</v>
      </c>
      <c r="J155" s="78" t="s">
        <v>1823</v>
      </c>
    </row>
    <row r="156" spans="1:11">
      <c r="A156" s="79" t="s">
        <v>1829</v>
      </c>
      <c r="B156" s="67" t="s">
        <v>2019</v>
      </c>
      <c r="C156" s="80" t="s">
        <v>2006</v>
      </c>
      <c r="D156" s="80" t="s">
        <v>806</v>
      </c>
      <c r="E156" s="80" t="s">
        <v>2007</v>
      </c>
      <c r="F156" s="81">
        <v>1</v>
      </c>
      <c r="G156" s="86" t="s">
        <v>1822</v>
      </c>
      <c r="H156" s="78" t="s">
        <v>1823</v>
      </c>
      <c r="I156" s="78" t="s">
        <v>1823</v>
      </c>
      <c r="J156" s="78" t="s">
        <v>1823</v>
      </c>
    </row>
    <row r="157" spans="1:11">
      <c r="A157" s="79" t="s">
        <v>1829</v>
      </c>
      <c r="B157" s="67" t="s">
        <v>2020</v>
      </c>
      <c r="C157" s="80" t="s">
        <v>2006</v>
      </c>
      <c r="D157" s="80" t="s">
        <v>813</v>
      </c>
      <c r="E157" s="80" t="s">
        <v>2011</v>
      </c>
      <c r="F157" s="81">
        <v>1</v>
      </c>
      <c r="G157" s="86" t="s">
        <v>1822</v>
      </c>
      <c r="H157" s="78" t="s">
        <v>1823</v>
      </c>
      <c r="I157" s="78" t="s">
        <v>1823</v>
      </c>
      <c r="J157" s="78" t="s">
        <v>1823</v>
      </c>
    </row>
    <row r="158" spans="1:11">
      <c r="A158" s="79" t="s">
        <v>1829</v>
      </c>
      <c r="B158" s="67" t="s">
        <v>2021</v>
      </c>
      <c r="C158" s="80" t="s">
        <v>2006</v>
      </c>
      <c r="D158" s="80" t="s">
        <v>801</v>
      </c>
      <c r="E158" s="80" t="s">
        <v>2007</v>
      </c>
      <c r="F158" s="81">
        <v>1</v>
      </c>
      <c r="G158" s="88" t="s">
        <v>775</v>
      </c>
      <c r="H158" s="78" t="s">
        <v>758</v>
      </c>
      <c r="I158" s="78" t="s">
        <v>1833</v>
      </c>
      <c r="J158" s="71" t="s">
        <v>2022</v>
      </c>
      <c r="K158" s="78" t="s">
        <v>26</v>
      </c>
    </row>
    <row r="159" spans="1:11">
      <c r="A159" s="79" t="s">
        <v>1829</v>
      </c>
      <c r="B159" s="67" t="s">
        <v>2023</v>
      </c>
      <c r="C159" s="80" t="s">
        <v>2006</v>
      </c>
      <c r="D159" s="80" t="s">
        <v>801</v>
      </c>
      <c r="E159" s="80" t="s">
        <v>2007</v>
      </c>
      <c r="F159" s="81">
        <v>1</v>
      </c>
      <c r="G159" s="88" t="s">
        <v>775</v>
      </c>
      <c r="H159" s="78" t="s">
        <v>758</v>
      </c>
      <c r="I159" s="78" t="s">
        <v>1833</v>
      </c>
      <c r="J159" s="71" t="s">
        <v>2022</v>
      </c>
      <c r="K159" s="78" t="s">
        <v>26</v>
      </c>
    </row>
    <row r="160" spans="1:11">
      <c r="A160" s="79" t="s">
        <v>1829</v>
      </c>
      <c r="B160" s="69" t="s">
        <v>2024</v>
      </c>
      <c r="C160" s="80" t="s">
        <v>2025</v>
      </c>
      <c r="D160" s="80" t="s">
        <v>861</v>
      </c>
      <c r="E160" s="80" t="s">
        <v>1377</v>
      </c>
      <c r="F160" s="81">
        <v>0</v>
      </c>
      <c r="G160" s="96" t="s">
        <v>1822</v>
      </c>
      <c r="H160" s="78" t="s">
        <v>1823</v>
      </c>
      <c r="I160" s="78" t="s">
        <v>1823</v>
      </c>
      <c r="J160" s="78" t="s">
        <v>1823</v>
      </c>
    </row>
    <row r="161" spans="1:11">
      <c r="A161" s="79" t="s">
        <v>1829</v>
      </c>
      <c r="B161" s="67" t="s">
        <v>2026</v>
      </c>
      <c r="C161" s="80" t="s">
        <v>2027</v>
      </c>
      <c r="D161" s="80" t="s">
        <v>946</v>
      </c>
      <c r="E161" s="80" t="s">
        <v>1363</v>
      </c>
      <c r="F161" s="81">
        <v>1</v>
      </c>
      <c r="G161" s="100" t="s">
        <v>372</v>
      </c>
      <c r="H161" s="78" t="s">
        <v>1847</v>
      </c>
      <c r="I161" s="78" t="s">
        <v>1733</v>
      </c>
      <c r="J161" s="71" t="s">
        <v>2028</v>
      </c>
      <c r="K161" s="78" t="s">
        <v>2029</v>
      </c>
    </row>
    <row r="162" spans="1:11">
      <c r="A162" s="79" t="s">
        <v>1829</v>
      </c>
      <c r="B162" s="67" t="s">
        <v>2030</v>
      </c>
      <c r="C162" s="80" t="s">
        <v>2027</v>
      </c>
      <c r="D162" s="80" t="s">
        <v>946</v>
      </c>
      <c r="E162" s="80" t="s">
        <v>1363</v>
      </c>
      <c r="F162" s="81">
        <v>1</v>
      </c>
      <c r="G162" s="100" t="s">
        <v>372</v>
      </c>
      <c r="H162" s="78" t="s">
        <v>1847</v>
      </c>
      <c r="I162" s="78" t="s">
        <v>1733</v>
      </c>
      <c r="J162" s="71" t="s">
        <v>2031</v>
      </c>
      <c r="K162" s="78" t="s">
        <v>2029</v>
      </c>
    </row>
    <row r="163" spans="1:11">
      <c r="A163" s="79" t="s">
        <v>1829</v>
      </c>
      <c r="B163" s="69" t="s">
        <v>2032</v>
      </c>
      <c r="C163" s="80" t="s">
        <v>2025</v>
      </c>
      <c r="D163" s="80" t="s">
        <v>864</v>
      </c>
      <c r="E163" s="80" t="s">
        <v>1377</v>
      </c>
      <c r="F163" s="81">
        <v>0</v>
      </c>
      <c r="G163" s="96" t="s">
        <v>1822</v>
      </c>
      <c r="H163" s="78" t="s">
        <v>1823</v>
      </c>
      <c r="I163" s="78" t="s">
        <v>1823</v>
      </c>
      <c r="J163" s="78" t="s">
        <v>1823</v>
      </c>
    </row>
    <row r="164" spans="1:11">
      <c r="A164" s="79" t="s">
        <v>1829</v>
      </c>
      <c r="B164" s="67" t="s">
        <v>2033</v>
      </c>
      <c r="C164" s="80" t="s">
        <v>2034</v>
      </c>
      <c r="D164" s="80" t="s">
        <v>890</v>
      </c>
      <c r="E164" s="80" t="s">
        <v>1439</v>
      </c>
      <c r="F164" s="81">
        <v>1</v>
      </c>
      <c r="G164" s="88" t="s">
        <v>775</v>
      </c>
      <c r="H164" s="78" t="s">
        <v>1847</v>
      </c>
      <c r="I164" s="78" t="s">
        <v>1733</v>
      </c>
      <c r="J164" s="71" t="s">
        <v>1834</v>
      </c>
      <c r="K164" s="78" t="s">
        <v>26</v>
      </c>
    </row>
    <row r="165" spans="1:11">
      <c r="A165" s="79" t="s">
        <v>1829</v>
      </c>
      <c r="B165" s="67" t="s">
        <v>2035</v>
      </c>
      <c r="C165" s="80" t="s">
        <v>2034</v>
      </c>
      <c r="D165" s="80" t="s">
        <v>890</v>
      </c>
      <c r="E165" s="80" t="s">
        <v>1439</v>
      </c>
      <c r="F165" s="81">
        <v>1</v>
      </c>
      <c r="G165" s="88" t="s">
        <v>775</v>
      </c>
      <c r="H165" s="78" t="s">
        <v>1847</v>
      </c>
      <c r="I165" s="78" t="s">
        <v>1733</v>
      </c>
      <c r="J165" s="71" t="s">
        <v>1834</v>
      </c>
      <c r="K165" s="78" t="s">
        <v>26</v>
      </c>
    </row>
    <row r="166" spans="1:11">
      <c r="A166" s="79" t="s">
        <v>1829</v>
      </c>
      <c r="B166" s="67" t="s">
        <v>2036</v>
      </c>
      <c r="C166" s="80" t="s">
        <v>2034</v>
      </c>
      <c r="D166" s="80" t="s">
        <v>881</v>
      </c>
      <c r="E166" s="80" t="s">
        <v>1497</v>
      </c>
      <c r="F166" s="81">
        <v>1</v>
      </c>
      <c r="G166" s="88" t="s">
        <v>775</v>
      </c>
      <c r="H166" s="78" t="s">
        <v>1832</v>
      </c>
      <c r="I166" s="78" t="s">
        <v>2037</v>
      </c>
      <c r="J166" s="71" t="s">
        <v>1834</v>
      </c>
      <c r="K166" s="78" t="s">
        <v>26</v>
      </c>
    </row>
    <row r="167" spans="1:11">
      <c r="A167" s="79" t="s">
        <v>1829</v>
      </c>
      <c r="B167" s="67" t="s">
        <v>2038</v>
      </c>
      <c r="C167" s="80" t="s">
        <v>2034</v>
      </c>
      <c r="D167" s="80" t="s">
        <v>881</v>
      </c>
      <c r="E167" s="80" t="s">
        <v>1497</v>
      </c>
      <c r="F167" s="81">
        <v>1</v>
      </c>
      <c r="G167" s="88" t="s">
        <v>775</v>
      </c>
      <c r="H167" s="78" t="s">
        <v>1832</v>
      </c>
      <c r="I167" s="78" t="s">
        <v>2037</v>
      </c>
      <c r="J167" s="71" t="s">
        <v>1834</v>
      </c>
      <c r="K167" s="78" t="s">
        <v>26</v>
      </c>
    </row>
    <row r="168" spans="1:11">
      <c r="A168" s="79" t="s">
        <v>1829</v>
      </c>
      <c r="B168" s="67" t="s">
        <v>2039</v>
      </c>
      <c r="C168" s="80" t="s">
        <v>2034</v>
      </c>
      <c r="D168" s="80" t="s">
        <v>881</v>
      </c>
      <c r="E168" s="80" t="s">
        <v>1497</v>
      </c>
      <c r="F168" s="81">
        <v>1</v>
      </c>
      <c r="G168" s="88" t="s">
        <v>775</v>
      </c>
      <c r="H168" s="78" t="s">
        <v>1832</v>
      </c>
      <c r="I168" s="78" t="s">
        <v>2037</v>
      </c>
      <c r="J168" s="71" t="s">
        <v>1834</v>
      </c>
      <c r="K168" s="78" t="s">
        <v>26</v>
      </c>
    </row>
    <row r="169" spans="1:11">
      <c r="A169" s="79" t="s">
        <v>1829</v>
      </c>
      <c r="B169" s="67" t="s">
        <v>2040</v>
      </c>
      <c r="C169" s="80" t="s">
        <v>2034</v>
      </c>
      <c r="D169" s="80" t="s">
        <v>881</v>
      </c>
      <c r="E169" s="80" t="s">
        <v>1497</v>
      </c>
      <c r="F169" s="81">
        <v>1</v>
      </c>
      <c r="G169" s="88" t="s">
        <v>775</v>
      </c>
      <c r="H169" s="78" t="s">
        <v>1832</v>
      </c>
      <c r="I169" s="78" t="s">
        <v>2037</v>
      </c>
      <c r="J169" s="71" t="s">
        <v>1834</v>
      </c>
      <c r="K169" s="78" t="s">
        <v>26</v>
      </c>
    </row>
    <row r="170" spans="1:11">
      <c r="A170" s="79" t="s">
        <v>1829</v>
      </c>
      <c r="B170" s="67" t="s">
        <v>2041</v>
      </c>
      <c r="C170" s="80" t="s">
        <v>2042</v>
      </c>
      <c r="D170" s="80" t="s">
        <v>895</v>
      </c>
      <c r="E170" s="80" t="s">
        <v>1491</v>
      </c>
      <c r="F170" s="81">
        <v>1</v>
      </c>
      <c r="G170" s="88" t="s">
        <v>372</v>
      </c>
      <c r="H170" s="78" t="s">
        <v>1847</v>
      </c>
      <c r="I170" s="78" t="s">
        <v>1733</v>
      </c>
      <c r="J170" s="71" t="s">
        <v>2043</v>
      </c>
      <c r="K170" s="78" t="s">
        <v>26</v>
      </c>
    </row>
    <row r="171" spans="1:11">
      <c r="A171" s="79" t="s">
        <v>1829</v>
      </c>
      <c r="B171" s="67" t="s">
        <v>2044</v>
      </c>
      <c r="C171" s="80" t="s">
        <v>2042</v>
      </c>
      <c r="D171" s="80" t="s">
        <v>900</v>
      </c>
      <c r="E171" s="80" t="s">
        <v>1491</v>
      </c>
      <c r="F171" s="81">
        <v>1</v>
      </c>
      <c r="G171" s="88" t="s">
        <v>372</v>
      </c>
      <c r="H171" s="78" t="s">
        <v>1847</v>
      </c>
      <c r="I171" s="78" t="s">
        <v>1733</v>
      </c>
      <c r="J171" s="71" t="s">
        <v>2043</v>
      </c>
      <c r="K171" s="78" t="s">
        <v>26</v>
      </c>
    </row>
    <row r="172" spans="1:11">
      <c r="A172" s="79" t="s">
        <v>1829</v>
      </c>
      <c r="B172" s="67" t="s">
        <v>2045</v>
      </c>
      <c r="C172" s="80" t="s">
        <v>2042</v>
      </c>
      <c r="D172" s="80" t="s">
        <v>903</v>
      </c>
      <c r="E172" s="80" t="s">
        <v>1903</v>
      </c>
      <c r="F172" s="81">
        <v>1</v>
      </c>
      <c r="G172" s="88" t="s">
        <v>372</v>
      </c>
      <c r="H172" s="78" t="s">
        <v>1847</v>
      </c>
      <c r="I172" s="78" t="s">
        <v>1733</v>
      </c>
      <c r="J172" s="71" t="s">
        <v>2046</v>
      </c>
      <c r="K172" s="78" t="s">
        <v>26</v>
      </c>
    </row>
    <row r="173" spans="1:11">
      <c r="A173" s="79" t="s">
        <v>1829</v>
      </c>
      <c r="B173" s="69" t="s">
        <v>2047</v>
      </c>
      <c r="C173" s="80" t="s">
        <v>2048</v>
      </c>
      <c r="D173" s="80" t="s">
        <v>906</v>
      </c>
      <c r="E173" s="80" t="s">
        <v>1840</v>
      </c>
      <c r="F173" s="81">
        <v>0</v>
      </c>
      <c r="G173" s="96" t="s">
        <v>372</v>
      </c>
      <c r="H173" s="78" t="s">
        <v>1847</v>
      </c>
      <c r="I173" s="78" t="s">
        <v>1733</v>
      </c>
      <c r="J173" s="71" t="s">
        <v>1919</v>
      </c>
      <c r="K173" s="78" t="s">
        <v>26</v>
      </c>
    </row>
    <row r="174" spans="1:11">
      <c r="A174" s="79" t="s">
        <v>1829</v>
      </c>
      <c r="B174" s="69" t="s">
        <v>2049</v>
      </c>
      <c r="C174" s="80" t="s">
        <v>2048</v>
      </c>
      <c r="D174" s="80" t="s">
        <v>910</v>
      </c>
      <c r="E174" s="80" t="s">
        <v>102</v>
      </c>
      <c r="F174" s="81">
        <v>0</v>
      </c>
      <c r="G174" s="96" t="s">
        <v>372</v>
      </c>
      <c r="H174" s="78" t="s">
        <v>1847</v>
      </c>
      <c r="I174" s="78" t="s">
        <v>1733</v>
      </c>
      <c r="J174" s="71" t="s">
        <v>2050</v>
      </c>
      <c r="K174" s="78" t="s">
        <v>26</v>
      </c>
    </row>
    <row r="175" spans="1:11">
      <c r="A175" s="79" t="s">
        <v>1829</v>
      </c>
      <c r="B175" s="69" t="s">
        <v>2051</v>
      </c>
      <c r="C175" s="85" t="s">
        <v>1762</v>
      </c>
      <c r="D175" s="80" t="s">
        <v>873</v>
      </c>
      <c r="E175" s="80" t="s">
        <v>1888</v>
      </c>
      <c r="F175" s="81">
        <v>1</v>
      </c>
      <c r="G175" s="96" t="s">
        <v>775</v>
      </c>
      <c r="H175" s="78" t="s">
        <v>1847</v>
      </c>
      <c r="I175" s="78" t="s">
        <v>1733</v>
      </c>
      <c r="J175" s="71" t="s">
        <v>1834</v>
      </c>
      <c r="K175" s="78" t="s">
        <v>32</v>
      </c>
    </row>
    <row r="176" spans="1:11">
      <c r="A176" s="79" t="s">
        <v>1829</v>
      </c>
      <c r="B176" s="69" t="s">
        <v>2052</v>
      </c>
      <c r="C176" s="80" t="s">
        <v>2053</v>
      </c>
      <c r="D176" s="80" t="s">
        <v>867</v>
      </c>
      <c r="E176" s="80" t="s">
        <v>1888</v>
      </c>
      <c r="F176" s="81">
        <v>1</v>
      </c>
      <c r="G176" s="96" t="s">
        <v>775</v>
      </c>
      <c r="H176" s="78" t="s">
        <v>1832</v>
      </c>
      <c r="I176" s="78" t="s">
        <v>2037</v>
      </c>
      <c r="J176" s="71" t="s">
        <v>1834</v>
      </c>
      <c r="K176" s="78" t="s">
        <v>26</v>
      </c>
    </row>
    <row r="177" spans="1:13">
      <c r="A177" s="79" t="s">
        <v>1829</v>
      </c>
      <c r="B177" s="69" t="s">
        <v>2054</v>
      </c>
      <c r="C177" s="80" t="s">
        <v>2053</v>
      </c>
      <c r="D177" s="80" t="s">
        <v>867</v>
      </c>
      <c r="E177" s="80" t="s">
        <v>1888</v>
      </c>
      <c r="F177" s="81">
        <v>1</v>
      </c>
      <c r="G177" s="96" t="s">
        <v>775</v>
      </c>
      <c r="H177" s="78" t="s">
        <v>1832</v>
      </c>
      <c r="I177" s="78" t="s">
        <v>2037</v>
      </c>
      <c r="J177" s="71" t="s">
        <v>1834</v>
      </c>
      <c r="K177" s="78" t="s">
        <v>26</v>
      </c>
    </row>
    <row r="178" spans="1:13">
      <c r="A178" s="79" t="s">
        <v>1829</v>
      </c>
      <c r="B178" s="69" t="s">
        <v>2055</v>
      </c>
      <c r="C178" s="80" t="s">
        <v>2056</v>
      </c>
      <c r="D178" s="80" t="s">
        <v>876</v>
      </c>
      <c r="E178" s="80" t="s">
        <v>1840</v>
      </c>
      <c r="F178" s="81">
        <v>0</v>
      </c>
      <c r="G178" s="96" t="s">
        <v>775</v>
      </c>
      <c r="H178" s="78" t="s">
        <v>1847</v>
      </c>
      <c r="I178" s="78" t="s">
        <v>1733</v>
      </c>
      <c r="J178" s="71" t="s">
        <v>1834</v>
      </c>
      <c r="K178" s="78" t="s">
        <v>26</v>
      </c>
    </row>
    <row r="179" spans="1:13">
      <c r="A179" s="79" t="s">
        <v>1829</v>
      </c>
      <c r="B179" s="69" t="s">
        <v>2057</v>
      </c>
      <c r="C179" s="80" t="s">
        <v>2056</v>
      </c>
      <c r="D179" s="80" t="s">
        <v>876</v>
      </c>
      <c r="E179" s="80" t="s">
        <v>102</v>
      </c>
      <c r="F179" s="81">
        <v>0</v>
      </c>
      <c r="G179" s="96" t="s">
        <v>775</v>
      </c>
      <c r="H179" s="78" t="s">
        <v>1847</v>
      </c>
      <c r="I179" s="78" t="s">
        <v>1733</v>
      </c>
      <c r="J179" s="71" t="s">
        <v>1834</v>
      </c>
      <c r="K179" s="78" t="s">
        <v>26</v>
      </c>
    </row>
    <row r="180" spans="1:13">
      <c r="A180" s="79" t="s">
        <v>1829</v>
      </c>
      <c r="B180" s="67" t="s">
        <v>2058</v>
      </c>
      <c r="C180" s="80" t="s">
        <v>2059</v>
      </c>
      <c r="D180" s="80" t="s">
        <v>935</v>
      </c>
      <c r="E180" s="80" t="s">
        <v>1494</v>
      </c>
      <c r="F180" s="81">
        <v>1</v>
      </c>
      <c r="G180" s="88" t="s">
        <v>775</v>
      </c>
      <c r="H180" s="78" t="s">
        <v>1832</v>
      </c>
      <c r="I180" s="78" t="s">
        <v>2037</v>
      </c>
      <c r="J180" s="71" t="s">
        <v>1834</v>
      </c>
      <c r="K180" s="78" t="s">
        <v>26</v>
      </c>
    </row>
    <row r="181" spans="1:13">
      <c r="A181" s="79" t="s">
        <v>1829</v>
      </c>
      <c r="B181" s="67" t="s">
        <v>2060</v>
      </c>
      <c r="C181" s="80" t="s">
        <v>2059</v>
      </c>
      <c r="D181" s="80" t="s">
        <v>935</v>
      </c>
      <c r="E181" s="80" t="s">
        <v>1494</v>
      </c>
      <c r="F181" s="81">
        <v>1</v>
      </c>
      <c r="G181" s="88" t="s">
        <v>775</v>
      </c>
      <c r="H181" s="78" t="s">
        <v>1832</v>
      </c>
      <c r="I181" s="78" t="s">
        <v>2037</v>
      </c>
      <c r="J181" s="71" t="s">
        <v>1834</v>
      </c>
      <c r="K181" s="78" t="s">
        <v>26</v>
      </c>
    </row>
    <row r="182" spans="1:13">
      <c r="A182" s="79" t="s">
        <v>1829</v>
      </c>
      <c r="B182" s="67" t="s">
        <v>2061</v>
      </c>
      <c r="C182" s="80" t="s">
        <v>2062</v>
      </c>
      <c r="D182" s="80" t="s">
        <v>940</v>
      </c>
      <c r="E182" s="80" t="s">
        <v>1840</v>
      </c>
      <c r="F182" s="81">
        <v>1</v>
      </c>
      <c r="G182" s="88" t="s">
        <v>775</v>
      </c>
      <c r="H182" s="78" t="s">
        <v>1847</v>
      </c>
      <c r="I182" s="78" t="s">
        <v>1733</v>
      </c>
      <c r="J182" s="71" t="s">
        <v>1834</v>
      </c>
      <c r="K182" s="78" t="s">
        <v>26</v>
      </c>
    </row>
    <row r="183" spans="1:13">
      <c r="A183" s="79" t="s">
        <v>1829</v>
      </c>
      <c r="B183" s="67" t="s">
        <v>2063</v>
      </c>
      <c r="C183" s="80" t="s">
        <v>2062</v>
      </c>
      <c r="D183" s="80" t="s">
        <v>940</v>
      </c>
      <c r="E183" s="80" t="s">
        <v>102</v>
      </c>
      <c r="F183" s="81">
        <v>1</v>
      </c>
      <c r="G183" s="88" t="s">
        <v>775</v>
      </c>
      <c r="H183" s="78" t="s">
        <v>1847</v>
      </c>
      <c r="I183" s="78" t="s">
        <v>1733</v>
      </c>
      <c r="J183" s="71" t="s">
        <v>1834</v>
      </c>
      <c r="K183" s="78" t="s">
        <v>26</v>
      </c>
    </row>
    <row r="184" spans="1:13">
      <c r="A184" s="79" t="s">
        <v>1829</v>
      </c>
      <c r="B184" s="69" t="s">
        <v>1612</v>
      </c>
      <c r="C184" s="80" t="s">
        <v>2064</v>
      </c>
      <c r="D184" s="80" t="s">
        <v>1503</v>
      </c>
      <c r="E184" s="80" t="s">
        <v>102</v>
      </c>
      <c r="F184" s="81">
        <v>0</v>
      </c>
      <c r="G184" s="96" t="s">
        <v>775</v>
      </c>
      <c r="H184" s="78" t="s">
        <v>1847</v>
      </c>
      <c r="I184" s="78" t="s">
        <v>1733</v>
      </c>
      <c r="J184" s="71" t="s">
        <v>1834</v>
      </c>
      <c r="K184" s="78" t="s">
        <v>26</v>
      </c>
    </row>
    <row r="185" ht="14.25" spans="1:13">
      <c r="A185" s="79" t="s">
        <v>1829</v>
      </c>
      <c r="B185" s="67" t="s">
        <v>2065</v>
      </c>
      <c r="C185" s="80" t="s">
        <v>2066</v>
      </c>
      <c r="D185" s="80" t="s">
        <v>2067</v>
      </c>
      <c r="E185" s="80" t="s">
        <v>1491</v>
      </c>
      <c r="F185" s="81">
        <v>1</v>
      </c>
      <c r="G185" s="88" t="s">
        <v>372</v>
      </c>
      <c r="H185" s="78" t="s">
        <v>1847</v>
      </c>
      <c r="I185" s="78" t="s">
        <v>1733</v>
      </c>
      <c r="J185" s="71" t="s">
        <v>2068</v>
      </c>
      <c r="K185" s="78" t="s">
        <v>26</v>
      </c>
      <c r="M185" s="83" t="s">
        <v>2069</v>
      </c>
    </row>
    <row r="186" spans="1:13">
      <c r="A186" s="79" t="s">
        <v>1829</v>
      </c>
      <c r="B186" s="67" t="s">
        <v>2070</v>
      </c>
      <c r="C186" s="80" t="s">
        <v>2066</v>
      </c>
      <c r="D186" s="80" t="s">
        <v>2071</v>
      </c>
      <c r="E186" s="80" t="s">
        <v>1494</v>
      </c>
      <c r="F186" s="81">
        <v>1</v>
      </c>
      <c r="G186" s="88" t="s">
        <v>775</v>
      </c>
      <c r="H186" s="78" t="s">
        <v>1832</v>
      </c>
      <c r="I186" s="78" t="s">
        <v>2037</v>
      </c>
      <c r="J186" s="71" t="s">
        <v>1834</v>
      </c>
      <c r="K186" s="78" t="s">
        <v>26</v>
      </c>
    </row>
    <row r="187" spans="1:13">
      <c r="A187" s="79" t="s">
        <v>1829</v>
      </c>
      <c r="B187" s="67" t="s">
        <v>2072</v>
      </c>
      <c r="C187" s="80" t="s">
        <v>2066</v>
      </c>
      <c r="D187" s="80" t="s">
        <v>2071</v>
      </c>
      <c r="E187" s="80" t="s">
        <v>1497</v>
      </c>
      <c r="F187" s="81">
        <v>1</v>
      </c>
      <c r="G187" s="88" t="s">
        <v>775</v>
      </c>
      <c r="H187" s="78" t="s">
        <v>1832</v>
      </c>
      <c r="I187" s="78" t="s">
        <v>2037</v>
      </c>
      <c r="J187" s="71" t="s">
        <v>1834</v>
      </c>
      <c r="K187" s="78" t="s">
        <v>26</v>
      </c>
    </row>
    <row r="188" spans="1:13">
      <c r="A188" s="79" t="s">
        <v>1829</v>
      </c>
      <c r="B188" s="69" t="s">
        <v>2073</v>
      </c>
      <c r="C188" s="80" t="s">
        <v>2074</v>
      </c>
      <c r="D188" s="80" t="s">
        <v>930</v>
      </c>
      <c r="E188" s="80" t="s">
        <v>2075</v>
      </c>
      <c r="F188" s="81">
        <v>0</v>
      </c>
      <c r="G188" s="96" t="s">
        <v>775</v>
      </c>
      <c r="H188" s="78" t="s">
        <v>1847</v>
      </c>
      <c r="I188" s="78" t="s">
        <v>1733</v>
      </c>
    </row>
    <row r="189" spans="1:13">
      <c r="A189" s="79" t="s">
        <v>1829</v>
      </c>
      <c r="B189" s="67" t="s">
        <v>2076</v>
      </c>
      <c r="C189" s="85" t="s">
        <v>1762</v>
      </c>
      <c r="D189" s="80" t="s">
        <v>2077</v>
      </c>
      <c r="E189" s="80" t="s">
        <v>1989</v>
      </c>
      <c r="F189" s="81">
        <v>1</v>
      </c>
      <c r="G189" s="8" t="s">
        <v>775</v>
      </c>
      <c r="H189" s="78" t="s">
        <v>1847</v>
      </c>
      <c r="I189" s="78" t="s">
        <v>1733</v>
      </c>
      <c r="K189" s="78"/>
    </row>
    <row r="190" spans="1:13">
      <c r="A190" s="79" t="s">
        <v>2078</v>
      </c>
      <c r="B190" s="67" t="s">
        <v>2079</v>
      </c>
      <c r="C190" s="80" t="s">
        <v>2080</v>
      </c>
      <c r="D190" s="80" t="s">
        <v>968</v>
      </c>
      <c r="E190" s="80" t="s">
        <v>1750</v>
      </c>
      <c r="F190" s="81">
        <v>1</v>
      </c>
      <c r="G190" s="88" t="s">
        <v>775</v>
      </c>
      <c r="H190" s="78" t="s">
        <v>1847</v>
      </c>
      <c r="I190" s="78" t="s">
        <v>1733</v>
      </c>
      <c r="J190" s="71" t="s">
        <v>1834</v>
      </c>
      <c r="K190" s="78" t="s">
        <v>26</v>
      </c>
    </row>
    <row r="191" spans="1:13">
      <c r="A191" s="79" t="s">
        <v>2078</v>
      </c>
      <c r="B191" s="67" t="s">
        <v>2081</v>
      </c>
      <c r="C191" s="80" t="s">
        <v>2080</v>
      </c>
      <c r="D191" s="80" t="s">
        <v>968</v>
      </c>
      <c r="E191" s="80" t="s">
        <v>1750</v>
      </c>
      <c r="F191" s="81">
        <v>1</v>
      </c>
      <c r="G191" s="88" t="s">
        <v>775</v>
      </c>
      <c r="H191" s="78" t="s">
        <v>1847</v>
      </c>
      <c r="I191" s="78" t="s">
        <v>1733</v>
      </c>
      <c r="J191" s="71" t="s">
        <v>1834</v>
      </c>
      <c r="K191" s="78" t="s">
        <v>26</v>
      </c>
    </row>
    <row r="192" spans="1:13">
      <c r="A192" s="79" t="s">
        <v>2078</v>
      </c>
      <c r="B192" s="67" t="s">
        <v>2082</v>
      </c>
      <c r="C192" s="80" t="s">
        <v>2080</v>
      </c>
      <c r="D192" s="80" t="s">
        <v>968</v>
      </c>
      <c r="E192" s="80" t="s">
        <v>1491</v>
      </c>
      <c r="F192" s="81">
        <v>1</v>
      </c>
      <c r="G192" s="88" t="s">
        <v>775</v>
      </c>
      <c r="H192" s="78" t="s">
        <v>1847</v>
      </c>
      <c r="I192" s="78" t="s">
        <v>1733</v>
      </c>
      <c r="J192" s="71" t="s">
        <v>1834</v>
      </c>
      <c r="K192" s="78" t="s">
        <v>26</v>
      </c>
    </row>
    <row r="193" spans="1:13">
      <c r="A193" s="79" t="s">
        <v>2078</v>
      </c>
      <c r="B193" s="67" t="s">
        <v>2083</v>
      </c>
      <c r="C193" s="80" t="s">
        <v>2080</v>
      </c>
      <c r="D193" s="80" t="s">
        <v>968</v>
      </c>
      <c r="E193" s="80" t="s">
        <v>102</v>
      </c>
      <c r="F193" s="81">
        <v>1</v>
      </c>
      <c r="G193" s="88" t="s">
        <v>775</v>
      </c>
      <c r="H193" s="78" t="s">
        <v>1847</v>
      </c>
      <c r="I193" s="78" t="s">
        <v>1733</v>
      </c>
      <c r="J193" s="71" t="s">
        <v>1834</v>
      </c>
      <c r="K193" s="78" t="s">
        <v>26</v>
      </c>
    </row>
    <row r="194" spans="1:13">
      <c r="A194" s="79" t="s">
        <v>2078</v>
      </c>
      <c r="B194" s="67" t="s">
        <v>2084</v>
      </c>
      <c r="C194" s="80" t="s">
        <v>2080</v>
      </c>
      <c r="D194" s="80" t="s">
        <v>968</v>
      </c>
      <c r="E194" s="80" t="s">
        <v>102</v>
      </c>
      <c r="F194" s="81">
        <v>1</v>
      </c>
      <c r="G194" s="88" t="s">
        <v>775</v>
      </c>
      <c r="H194" s="78" t="s">
        <v>1847</v>
      </c>
      <c r="I194" s="78" t="s">
        <v>1733</v>
      </c>
      <c r="J194" s="71" t="s">
        <v>1834</v>
      </c>
      <c r="K194" s="78" t="s">
        <v>26</v>
      </c>
    </row>
    <row r="195" spans="1:13">
      <c r="A195" s="79" t="s">
        <v>2078</v>
      </c>
      <c r="B195" s="67" t="s">
        <v>2085</v>
      </c>
      <c r="C195" s="80" t="s">
        <v>2080</v>
      </c>
      <c r="D195" s="80" t="s">
        <v>968</v>
      </c>
      <c r="E195" s="80" t="s">
        <v>1840</v>
      </c>
      <c r="F195" s="81">
        <v>1</v>
      </c>
      <c r="G195" s="88" t="s">
        <v>775</v>
      </c>
      <c r="H195" s="78" t="s">
        <v>1847</v>
      </c>
      <c r="I195" s="78" t="s">
        <v>1733</v>
      </c>
      <c r="J195" s="71" t="s">
        <v>1834</v>
      </c>
      <c r="K195" s="78" t="s">
        <v>26</v>
      </c>
    </row>
    <row r="196" ht="14.25" spans="1:13">
      <c r="A196" s="79" t="s">
        <v>1974</v>
      </c>
      <c r="B196" s="67" t="s">
        <v>2086</v>
      </c>
      <c r="C196" s="80" t="s">
        <v>2087</v>
      </c>
      <c r="D196" s="80" t="s">
        <v>434</v>
      </c>
      <c r="E196" s="80" t="s">
        <v>1377</v>
      </c>
      <c r="F196" s="81">
        <v>1</v>
      </c>
      <c r="G196" s="88" t="s">
        <v>372</v>
      </c>
      <c r="H196" s="78" t="s">
        <v>1847</v>
      </c>
      <c r="I196" s="78" t="s">
        <v>1733</v>
      </c>
      <c r="J196" s="71" t="s">
        <v>1981</v>
      </c>
      <c r="K196" s="78" t="s">
        <v>26</v>
      </c>
      <c r="M196" s="83" t="s">
        <v>2088</v>
      </c>
    </row>
    <row r="197" ht="14.25" spans="1:13">
      <c r="A197" s="79" t="s">
        <v>1974</v>
      </c>
      <c r="B197" s="67" t="s">
        <v>2089</v>
      </c>
      <c r="C197" s="80" t="s">
        <v>2087</v>
      </c>
      <c r="D197" s="80" t="s">
        <v>434</v>
      </c>
      <c r="E197" s="80" t="s">
        <v>1377</v>
      </c>
      <c r="F197" s="81">
        <v>1</v>
      </c>
      <c r="G197" s="88" t="s">
        <v>372</v>
      </c>
      <c r="H197" s="78" t="s">
        <v>1847</v>
      </c>
      <c r="I197" s="78" t="s">
        <v>1733</v>
      </c>
      <c r="J197" s="71" t="s">
        <v>1981</v>
      </c>
      <c r="K197" s="78" t="s">
        <v>26</v>
      </c>
      <c r="M197" s="83" t="s">
        <v>2088</v>
      </c>
    </row>
    <row r="198" ht="14.25" spans="1:13">
      <c r="A198" s="79" t="s">
        <v>2078</v>
      </c>
      <c r="B198" s="67" t="s">
        <v>2090</v>
      </c>
      <c r="C198" s="80" t="s">
        <v>2091</v>
      </c>
      <c r="D198" s="80" t="s">
        <v>955</v>
      </c>
      <c r="E198" s="80" t="s">
        <v>102</v>
      </c>
      <c r="F198" s="81">
        <v>1</v>
      </c>
      <c r="G198" s="88" t="s">
        <v>775</v>
      </c>
      <c r="H198" s="78" t="s">
        <v>1847</v>
      </c>
      <c r="I198" s="78" t="s">
        <v>1733</v>
      </c>
      <c r="J198" s="78" t="s">
        <v>2092</v>
      </c>
      <c r="K198" s="78"/>
      <c r="M198" s="83" t="s">
        <v>1982</v>
      </c>
    </row>
    <row r="199" ht="14.25" spans="1:13">
      <c r="A199" s="79" t="s">
        <v>2078</v>
      </c>
      <c r="B199" s="67" t="s">
        <v>2093</v>
      </c>
      <c r="C199" s="80" t="s">
        <v>2091</v>
      </c>
      <c r="D199" s="80" t="s">
        <v>955</v>
      </c>
      <c r="E199" s="80" t="s">
        <v>1840</v>
      </c>
      <c r="F199" s="81">
        <v>1</v>
      </c>
      <c r="G199" s="88" t="s">
        <v>775</v>
      </c>
      <c r="H199" s="78" t="s">
        <v>1847</v>
      </c>
      <c r="I199" s="78" t="s">
        <v>1733</v>
      </c>
      <c r="J199" s="78" t="s">
        <v>2094</v>
      </c>
      <c r="K199" s="78"/>
      <c r="M199" s="83" t="s">
        <v>1982</v>
      </c>
    </row>
    <row r="200" spans="1:13">
      <c r="A200" s="79" t="s">
        <v>2078</v>
      </c>
      <c r="B200" s="67" t="s">
        <v>2095</v>
      </c>
      <c r="C200" s="80" t="s">
        <v>2096</v>
      </c>
      <c r="D200" s="80" t="s">
        <v>963</v>
      </c>
      <c r="E200" s="80" t="s">
        <v>1363</v>
      </c>
      <c r="F200" s="81">
        <v>1</v>
      </c>
      <c r="G200" s="100" t="s">
        <v>1969</v>
      </c>
      <c r="H200" s="78" t="s">
        <v>1847</v>
      </c>
      <c r="I200" s="78" t="s">
        <v>1733</v>
      </c>
      <c r="J200" s="71" t="s">
        <v>2097</v>
      </c>
      <c r="K200" s="78" t="s">
        <v>32</v>
      </c>
    </row>
    <row r="201" spans="1:13">
      <c r="A201" s="79" t="s">
        <v>2078</v>
      </c>
      <c r="B201" s="67" t="s">
        <v>2098</v>
      </c>
      <c r="C201" s="80" t="s">
        <v>2096</v>
      </c>
      <c r="D201" s="80" t="s">
        <v>963</v>
      </c>
      <c r="E201" s="80" t="s">
        <v>1363</v>
      </c>
      <c r="F201" s="81">
        <v>1</v>
      </c>
      <c r="G201" s="100" t="s">
        <v>1969</v>
      </c>
      <c r="H201" s="78" t="s">
        <v>1847</v>
      </c>
      <c r="I201" s="78" t="s">
        <v>1733</v>
      </c>
      <c r="J201" s="71" t="s">
        <v>2031</v>
      </c>
      <c r="K201" s="78" t="s">
        <v>32</v>
      </c>
    </row>
    <row r="202" spans="1:13">
      <c r="A202" s="79" t="s">
        <v>2099</v>
      </c>
      <c r="B202" s="69" t="s">
        <v>1620</v>
      </c>
      <c r="C202" s="80" t="s">
        <v>2100</v>
      </c>
      <c r="D202" s="80" t="s">
        <v>1707</v>
      </c>
      <c r="E202" s="80" t="s">
        <v>1840</v>
      </c>
      <c r="F202" s="81">
        <v>0</v>
      </c>
      <c r="G202" s="96" t="s">
        <v>775</v>
      </c>
      <c r="H202" s="78" t="s">
        <v>1847</v>
      </c>
      <c r="I202" s="78" t="s">
        <v>1733</v>
      </c>
      <c r="J202" s="71" t="s">
        <v>2101</v>
      </c>
      <c r="K202" s="78" t="s">
        <v>26</v>
      </c>
    </row>
    <row r="203" spans="1:13">
      <c r="A203" s="79" t="s">
        <v>2099</v>
      </c>
      <c r="B203" s="69" t="s">
        <v>2102</v>
      </c>
      <c r="C203" s="85" t="s">
        <v>1762</v>
      </c>
      <c r="D203" s="80" t="s">
        <v>2103</v>
      </c>
      <c r="E203" s="80" t="s">
        <v>1764</v>
      </c>
      <c r="F203" s="81">
        <v>1</v>
      </c>
      <c r="G203" s="96" t="s">
        <v>1822</v>
      </c>
      <c r="H203" s="78" t="s">
        <v>1823</v>
      </c>
      <c r="I203" s="78" t="s">
        <v>1823</v>
      </c>
      <c r="J203" s="78" t="s">
        <v>1823</v>
      </c>
    </row>
    <row r="204" spans="1:13">
      <c r="A204" s="79" t="s">
        <v>2099</v>
      </c>
      <c r="B204" s="69" t="s">
        <v>2104</v>
      </c>
      <c r="C204" s="85" t="s">
        <v>1762</v>
      </c>
      <c r="D204" s="80" t="s">
        <v>2103</v>
      </c>
      <c r="E204" s="80" t="s">
        <v>1764</v>
      </c>
      <c r="F204" s="81">
        <v>1</v>
      </c>
      <c r="G204" s="96" t="s">
        <v>1822</v>
      </c>
      <c r="H204" s="78" t="s">
        <v>1823</v>
      </c>
      <c r="I204" s="78" t="s">
        <v>1823</v>
      </c>
      <c r="J204" s="78" t="s">
        <v>1823</v>
      </c>
    </row>
    <row r="205" spans="1:13">
      <c r="A205" s="79" t="s">
        <v>2099</v>
      </c>
      <c r="B205" s="69" t="s">
        <v>2105</v>
      </c>
      <c r="C205" s="85" t="s">
        <v>1762</v>
      </c>
      <c r="D205" s="80" t="s">
        <v>2103</v>
      </c>
      <c r="E205" s="80" t="s">
        <v>1764</v>
      </c>
      <c r="F205" s="81">
        <v>1</v>
      </c>
      <c r="G205" s="96" t="s">
        <v>1822</v>
      </c>
      <c r="H205" s="78" t="s">
        <v>1823</v>
      </c>
      <c r="I205" s="78" t="s">
        <v>1823</v>
      </c>
      <c r="J205" s="78" t="s">
        <v>1823</v>
      </c>
    </row>
    <row r="206" spans="1:13">
      <c r="A206" s="79" t="s">
        <v>2099</v>
      </c>
      <c r="B206" s="69" t="s">
        <v>2106</v>
      </c>
      <c r="C206" s="85" t="s">
        <v>1762</v>
      </c>
      <c r="D206" s="80" t="s">
        <v>2103</v>
      </c>
      <c r="E206" s="80" t="s">
        <v>1764</v>
      </c>
      <c r="F206" s="81">
        <v>1</v>
      </c>
      <c r="G206" s="96" t="s">
        <v>1822</v>
      </c>
      <c r="H206" s="78" t="s">
        <v>1823</v>
      </c>
      <c r="I206" s="78" t="s">
        <v>1823</v>
      </c>
      <c r="J206" s="78" t="s">
        <v>1823</v>
      </c>
    </row>
    <row r="207" spans="1:13">
      <c r="A207" s="79" t="s">
        <v>2099</v>
      </c>
      <c r="B207" s="69" t="s">
        <v>2107</v>
      </c>
      <c r="C207" s="85" t="s">
        <v>1762</v>
      </c>
      <c r="D207" s="80" t="s">
        <v>2103</v>
      </c>
      <c r="E207" s="80" t="s">
        <v>1764</v>
      </c>
      <c r="F207" s="81">
        <v>1</v>
      </c>
      <c r="G207" s="96" t="s">
        <v>1822</v>
      </c>
      <c r="H207" s="78" t="s">
        <v>1823</v>
      </c>
      <c r="I207" s="78" t="s">
        <v>1823</v>
      </c>
      <c r="J207" s="78" t="s">
        <v>1823</v>
      </c>
    </row>
    <row r="208" spans="1:13">
      <c r="A208" s="79" t="s">
        <v>2099</v>
      </c>
      <c r="B208" s="69" t="s">
        <v>2108</v>
      </c>
      <c r="C208" s="85" t="s">
        <v>1762</v>
      </c>
      <c r="D208" s="80" t="s">
        <v>2103</v>
      </c>
      <c r="E208" s="80" t="s">
        <v>1764</v>
      </c>
      <c r="F208" s="81">
        <v>1</v>
      </c>
      <c r="G208" s="96" t="s">
        <v>1822</v>
      </c>
      <c r="H208" s="78" t="s">
        <v>1823</v>
      </c>
      <c r="I208" s="78" t="s">
        <v>1823</v>
      </c>
      <c r="J208" s="78" t="s">
        <v>1823</v>
      </c>
    </row>
    <row r="209" spans="1:11">
      <c r="A209" s="79" t="s">
        <v>2099</v>
      </c>
      <c r="B209" s="69" t="s">
        <v>2109</v>
      </c>
      <c r="C209" s="85" t="s">
        <v>1762</v>
      </c>
      <c r="D209" s="80" t="s">
        <v>2103</v>
      </c>
      <c r="E209" s="80" t="s">
        <v>1764</v>
      </c>
      <c r="F209" s="81">
        <v>1</v>
      </c>
      <c r="G209" s="96" t="s">
        <v>1822</v>
      </c>
      <c r="H209" s="78" t="s">
        <v>1823</v>
      </c>
      <c r="I209" s="78" t="s">
        <v>1823</v>
      </c>
      <c r="J209" s="78" t="s">
        <v>1823</v>
      </c>
    </row>
    <row r="210" spans="1:11">
      <c r="A210" s="79" t="s">
        <v>2099</v>
      </c>
      <c r="B210" s="69" t="s">
        <v>2110</v>
      </c>
      <c r="C210" s="85" t="s">
        <v>1762</v>
      </c>
      <c r="D210" s="80" t="s">
        <v>2103</v>
      </c>
      <c r="E210" s="80" t="s">
        <v>1764</v>
      </c>
      <c r="F210" s="81">
        <v>1</v>
      </c>
      <c r="G210" s="96" t="s">
        <v>1822</v>
      </c>
      <c r="H210" s="78" t="s">
        <v>1823</v>
      </c>
      <c r="I210" s="78" t="s">
        <v>1823</v>
      </c>
      <c r="J210" s="78" t="s">
        <v>1823</v>
      </c>
    </row>
    <row r="211" spans="1:11">
      <c r="A211" s="79" t="s">
        <v>2099</v>
      </c>
      <c r="B211" s="69" t="s">
        <v>2111</v>
      </c>
      <c r="C211" s="85" t="s">
        <v>1762</v>
      </c>
      <c r="D211" s="80" t="s">
        <v>2103</v>
      </c>
      <c r="E211" s="80" t="s">
        <v>1879</v>
      </c>
      <c r="F211" s="81">
        <v>1</v>
      </c>
      <c r="G211" s="96" t="s">
        <v>1822</v>
      </c>
      <c r="H211" s="78" t="s">
        <v>1823</v>
      </c>
      <c r="I211" s="78" t="s">
        <v>1823</v>
      </c>
      <c r="J211" s="78" t="s">
        <v>1823</v>
      </c>
    </row>
    <row r="212" spans="1:11">
      <c r="A212" s="79" t="s">
        <v>2099</v>
      </c>
      <c r="B212" s="69" t="s">
        <v>2112</v>
      </c>
      <c r="C212" s="85" t="s">
        <v>1762</v>
      </c>
      <c r="D212" s="80" t="s">
        <v>2103</v>
      </c>
      <c r="E212" s="80" t="s">
        <v>1879</v>
      </c>
      <c r="F212" s="81">
        <v>1</v>
      </c>
      <c r="G212" s="96" t="s">
        <v>1822</v>
      </c>
      <c r="H212" s="78" t="s">
        <v>1823</v>
      </c>
      <c r="I212" s="78" t="s">
        <v>1823</v>
      </c>
      <c r="J212" s="78" t="s">
        <v>1823</v>
      </c>
    </row>
    <row r="213" spans="1:11">
      <c r="A213" s="79" t="s">
        <v>2099</v>
      </c>
      <c r="B213" s="69" t="s">
        <v>2113</v>
      </c>
      <c r="C213" s="85" t="s">
        <v>1762</v>
      </c>
      <c r="D213" s="80" t="s">
        <v>2103</v>
      </c>
      <c r="E213" s="80" t="s">
        <v>1879</v>
      </c>
      <c r="F213" s="81">
        <v>1</v>
      </c>
      <c r="G213" s="96" t="s">
        <v>1822</v>
      </c>
      <c r="H213" s="78" t="s">
        <v>1823</v>
      </c>
      <c r="I213" s="78" t="s">
        <v>1823</v>
      </c>
      <c r="J213" s="78" t="s">
        <v>1823</v>
      </c>
    </row>
    <row r="214" spans="1:11">
      <c r="A214" s="79" t="s">
        <v>2099</v>
      </c>
      <c r="B214" s="69" t="s">
        <v>2114</v>
      </c>
      <c r="C214" s="85" t="s">
        <v>1762</v>
      </c>
      <c r="D214" s="80" t="s">
        <v>2103</v>
      </c>
      <c r="E214" s="80" t="s">
        <v>1879</v>
      </c>
      <c r="F214" s="81">
        <v>1</v>
      </c>
      <c r="G214" s="96" t="s">
        <v>1822</v>
      </c>
      <c r="H214" s="78" t="s">
        <v>1823</v>
      </c>
      <c r="I214" s="78" t="s">
        <v>1823</v>
      </c>
      <c r="J214" s="78" t="s">
        <v>1823</v>
      </c>
    </row>
    <row r="215" spans="1:11">
      <c r="A215" s="79" t="s">
        <v>2099</v>
      </c>
      <c r="B215" s="69" t="s">
        <v>2115</v>
      </c>
      <c r="C215" s="85" t="s">
        <v>1762</v>
      </c>
      <c r="D215" s="80" t="s">
        <v>2103</v>
      </c>
      <c r="E215" s="80" t="s">
        <v>1445</v>
      </c>
      <c r="F215" s="81">
        <v>1</v>
      </c>
      <c r="G215" s="96" t="s">
        <v>1822</v>
      </c>
      <c r="H215" s="78" t="s">
        <v>1823</v>
      </c>
      <c r="I215" s="78" t="s">
        <v>1823</v>
      </c>
      <c r="J215" s="78" t="s">
        <v>1823</v>
      </c>
    </row>
    <row r="216" spans="1:11">
      <c r="A216" s="79" t="s">
        <v>2099</v>
      </c>
      <c r="B216" s="69" t="s">
        <v>2116</v>
      </c>
      <c r="C216" s="85" t="s">
        <v>1762</v>
      </c>
      <c r="D216" s="80" t="s">
        <v>2103</v>
      </c>
      <c r="E216" s="80" t="s">
        <v>1445</v>
      </c>
      <c r="F216" s="81">
        <v>1</v>
      </c>
      <c r="G216" s="96" t="s">
        <v>1822</v>
      </c>
      <c r="H216" s="78" t="s">
        <v>1823</v>
      </c>
      <c r="I216" s="78" t="s">
        <v>1823</v>
      </c>
      <c r="J216" s="78" t="s">
        <v>1823</v>
      </c>
    </row>
    <row r="217" spans="1:11">
      <c r="A217" s="79" t="s">
        <v>2099</v>
      </c>
      <c r="B217" s="69" t="s">
        <v>2117</v>
      </c>
      <c r="C217" s="85" t="s">
        <v>1762</v>
      </c>
      <c r="D217" s="80" t="s">
        <v>2103</v>
      </c>
      <c r="E217" s="80" t="s">
        <v>1445</v>
      </c>
      <c r="F217" s="81">
        <v>1</v>
      </c>
      <c r="G217" s="96" t="s">
        <v>1822</v>
      </c>
      <c r="H217" s="78" t="s">
        <v>1823</v>
      </c>
      <c r="I217" s="78" t="s">
        <v>1823</v>
      </c>
      <c r="J217" s="78" t="s">
        <v>1823</v>
      </c>
    </row>
    <row r="218" spans="1:11">
      <c r="A218" s="79" t="s">
        <v>2099</v>
      </c>
      <c r="B218" s="69" t="s">
        <v>2118</v>
      </c>
      <c r="C218" s="85" t="s">
        <v>1762</v>
      </c>
      <c r="D218" s="80" t="s">
        <v>2103</v>
      </c>
      <c r="E218" s="80" t="s">
        <v>1445</v>
      </c>
      <c r="F218" s="81">
        <v>1</v>
      </c>
      <c r="G218" s="96" t="s">
        <v>1822</v>
      </c>
      <c r="H218" s="78" t="s">
        <v>1823</v>
      </c>
      <c r="I218" s="78" t="s">
        <v>1823</v>
      </c>
      <c r="J218" s="78" t="s">
        <v>1823</v>
      </c>
    </row>
    <row r="219" spans="1:11">
      <c r="A219" s="79" t="s">
        <v>2119</v>
      </c>
      <c r="B219" s="67" t="s">
        <v>2120</v>
      </c>
      <c r="C219" s="80" t="s">
        <v>2121</v>
      </c>
      <c r="D219" s="80" t="s">
        <v>983</v>
      </c>
      <c r="E219" s="80" t="s">
        <v>102</v>
      </c>
      <c r="F219" s="81">
        <v>1</v>
      </c>
      <c r="G219" s="88" t="s">
        <v>775</v>
      </c>
      <c r="H219" s="78" t="s">
        <v>758</v>
      </c>
      <c r="I219" s="78" t="s">
        <v>1833</v>
      </c>
      <c r="J219" s="71" t="s">
        <v>2122</v>
      </c>
      <c r="K219" s="78" t="s">
        <v>26</v>
      </c>
    </row>
    <row r="220" spans="1:11">
      <c r="A220" s="79" t="s">
        <v>2119</v>
      </c>
      <c r="B220" s="67" t="s">
        <v>2123</v>
      </c>
      <c r="C220" s="80" t="s">
        <v>2121</v>
      </c>
      <c r="D220" s="80" t="s">
        <v>983</v>
      </c>
      <c r="E220" s="80" t="s">
        <v>102</v>
      </c>
      <c r="F220" s="81">
        <v>1</v>
      </c>
      <c r="G220" s="88" t="s">
        <v>775</v>
      </c>
      <c r="H220" s="78" t="s">
        <v>758</v>
      </c>
      <c r="I220" s="78" t="s">
        <v>1833</v>
      </c>
      <c r="J220" s="71" t="s">
        <v>2122</v>
      </c>
      <c r="K220" s="78" t="s">
        <v>26</v>
      </c>
    </row>
    <row r="221" spans="1:11">
      <c r="A221" s="79" t="s">
        <v>2119</v>
      </c>
      <c r="B221" s="67" t="s">
        <v>2124</v>
      </c>
      <c r="C221" s="80" t="s">
        <v>2125</v>
      </c>
      <c r="D221" s="80" t="s">
        <v>988</v>
      </c>
      <c r="E221" s="80" t="s">
        <v>1497</v>
      </c>
      <c r="F221" s="81">
        <v>1</v>
      </c>
      <c r="G221" s="86" t="s">
        <v>1822</v>
      </c>
      <c r="H221" s="78" t="s">
        <v>1823</v>
      </c>
      <c r="I221" s="78" t="s">
        <v>1823</v>
      </c>
      <c r="J221" s="78" t="s">
        <v>1823</v>
      </c>
      <c r="K221" s="78"/>
    </row>
    <row r="222" spans="1:11">
      <c r="A222" s="79" t="s">
        <v>2119</v>
      </c>
      <c r="B222" s="69" t="s">
        <v>2126</v>
      </c>
      <c r="C222" s="80" t="s">
        <v>2125</v>
      </c>
      <c r="D222" s="80" t="s">
        <v>2127</v>
      </c>
      <c r="E222" s="80" t="s">
        <v>1863</v>
      </c>
      <c r="F222" s="81">
        <v>0</v>
      </c>
      <c r="G222" s="96"/>
      <c r="H222" s="78" t="s">
        <v>758</v>
      </c>
      <c r="I222" s="78" t="s">
        <v>1833</v>
      </c>
      <c r="J222" s="78"/>
      <c r="K222" s="78"/>
    </row>
    <row r="223" spans="1:11">
      <c r="A223" s="79" t="s">
        <v>2119</v>
      </c>
      <c r="B223" s="67" t="s">
        <v>1611</v>
      </c>
      <c r="C223" s="80" t="s">
        <v>2128</v>
      </c>
      <c r="D223" s="80" t="s">
        <v>992</v>
      </c>
      <c r="E223" s="80" t="s">
        <v>102</v>
      </c>
      <c r="F223" s="81">
        <v>1</v>
      </c>
      <c r="G223" s="88" t="s">
        <v>775</v>
      </c>
      <c r="H223" s="78" t="s">
        <v>1847</v>
      </c>
      <c r="I223" s="78" t="s">
        <v>1733</v>
      </c>
      <c r="J223" s="78" t="s">
        <v>2129</v>
      </c>
      <c r="K223" s="78"/>
    </row>
    <row r="224" spans="1:11">
      <c r="A224" s="79" t="s">
        <v>2119</v>
      </c>
      <c r="B224" s="69" t="s">
        <v>2130</v>
      </c>
      <c r="C224" s="80" t="s">
        <v>2128</v>
      </c>
      <c r="D224" s="80" t="s">
        <v>1535</v>
      </c>
      <c r="E224" s="80" t="s">
        <v>1491</v>
      </c>
      <c r="F224" s="81">
        <v>0</v>
      </c>
      <c r="G224" s="96" t="s">
        <v>775</v>
      </c>
      <c r="H224" s="78" t="s">
        <v>1847</v>
      </c>
      <c r="I224" s="78" t="s">
        <v>1733</v>
      </c>
      <c r="J224" s="71" t="s">
        <v>1834</v>
      </c>
      <c r="K224" s="78" t="s">
        <v>32</v>
      </c>
    </row>
    <row r="225" spans="1:11">
      <c r="A225" s="79" t="s">
        <v>2119</v>
      </c>
      <c r="B225" s="67" t="s">
        <v>2131</v>
      </c>
      <c r="C225" s="80" t="s">
        <v>2132</v>
      </c>
      <c r="D225" s="80" t="s">
        <v>1001</v>
      </c>
      <c r="E225" s="80" t="s">
        <v>1888</v>
      </c>
      <c r="F225" s="81">
        <v>1</v>
      </c>
      <c r="G225" s="86" t="s">
        <v>1822</v>
      </c>
      <c r="H225" s="78" t="s">
        <v>1823</v>
      </c>
      <c r="I225" s="78" t="s">
        <v>1823</v>
      </c>
      <c r="J225" s="78" t="s">
        <v>1823</v>
      </c>
    </row>
    <row r="226" spans="1:11">
      <c r="A226" s="79" t="s">
        <v>2119</v>
      </c>
      <c r="B226" s="67" t="s">
        <v>2133</v>
      </c>
      <c r="C226" s="80" t="s">
        <v>2132</v>
      </c>
      <c r="D226" s="80" t="s">
        <v>1004</v>
      </c>
      <c r="E226" s="80" t="s">
        <v>1497</v>
      </c>
      <c r="F226" s="81">
        <v>1</v>
      </c>
      <c r="G226" s="86" t="s">
        <v>1822</v>
      </c>
      <c r="H226" s="78" t="s">
        <v>1823</v>
      </c>
      <c r="I226" s="78" t="s">
        <v>1823</v>
      </c>
      <c r="J226" s="78" t="s">
        <v>1823</v>
      </c>
    </row>
    <row r="227" spans="1:11">
      <c r="A227" s="79" t="s">
        <v>2119</v>
      </c>
      <c r="B227" s="67" t="s">
        <v>2134</v>
      </c>
      <c r="C227" s="80" t="s">
        <v>2132</v>
      </c>
      <c r="D227" s="80" t="s">
        <v>1007</v>
      </c>
      <c r="E227" s="80" t="s">
        <v>2135</v>
      </c>
      <c r="F227" s="81">
        <v>1</v>
      </c>
      <c r="G227" s="86" t="s">
        <v>1822</v>
      </c>
      <c r="H227" s="78" t="s">
        <v>1823</v>
      </c>
      <c r="I227" s="78" t="s">
        <v>1823</v>
      </c>
      <c r="J227" s="78" t="s">
        <v>1823</v>
      </c>
    </row>
    <row r="228" spans="1:11">
      <c r="A228" s="79" t="s">
        <v>2119</v>
      </c>
      <c r="B228" s="67" t="s">
        <v>2136</v>
      </c>
      <c r="C228" s="80" t="s">
        <v>2132</v>
      </c>
      <c r="D228" s="80" t="s">
        <v>1010</v>
      </c>
      <c r="E228" s="80" t="s">
        <v>1494</v>
      </c>
      <c r="F228" s="81">
        <v>1</v>
      </c>
      <c r="G228" s="86" t="s">
        <v>1822</v>
      </c>
      <c r="H228" s="78" t="s">
        <v>1823</v>
      </c>
      <c r="I228" s="78" t="s">
        <v>1823</v>
      </c>
      <c r="J228" s="78" t="s">
        <v>1823</v>
      </c>
    </row>
    <row r="229" spans="1:11">
      <c r="A229" s="79" t="s">
        <v>2119</v>
      </c>
      <c r="B229" s="67" t="s">
        <v>2137</v>
      </c>
      <c r="C229" s="80" t="s">
        <v>2132</v>
      </c>
      <c r="D229" s="80" t="s">
        <v>1013</v>
      </c>
      <c r="E229" s="80" t="s">
        <v>1494</v>
      </c>
      <c r="F229" s="81">
        <v>1</v>
      </c>
      <c r="G229" s="86" t="s">
        <v>1822</v>
      </c>
      <c r="H229" s="78" t="s">
        <v>1823</v>
      </c>
      <c r="I229" s="78" t="s">
        <v>1823</v>
      </c>
      <c r="J229" s="78" t="s">
        <v>1823</v>
      </c>
    </row>
    <row r="230" spans="1:11">
      <c r="A230" s="79" t="s">
        <v>2119</v>
      </c>
      <c r="B230" s="67" t="s">
        <v>2138</v>
      </c>
      <c r="C230" s="80" t="s">
        <v>2132</v>
      </c>
      <c r="D230" s="80" t="s">
        <v>1032</v>
      </c>
      <c r="E230" s="80" t="s">
        <v>2007</v>
      </c>
      <c r="F230" s="81">
        <v>1</v>
      </c>
      <c r="G230" s="86" t="s">
        <v>1822</v>
      </c>
      <c r="H230" s="78" t="s">
        <v>1823</v>
      </c>
      <c r="I230" s="78" t="s">
        <v>1823</v>
      </c>
      <c r="J230" s="78" t="s">
        <v>1823</v>
      </c>
    </row>
    <row r="231" spans="1:11">
      <c r="A231" s="79" t="s">
        <v>2119</v>
      </c>
      <c r="B231" s="67" t="s">
        <v>2139</v>
      </c>
      <c r="C231" s="80" t="s">
        <v>2132</v>
      </c>
      <c r="D231" s="80" t="s">
        <v>1035</v>
      </c>
      <c r="E231" s="80" t="s">
        <v>1494</v>
      </c>
      <c r="F231" s="81">
        <v>1</v>
      </c>
      <c r="G231" s="86" t="s">
        <v>1822</v>
      </c>
      <c r="H231" s="78" t="s">
        <v>1823</v>
      </c>
      <c r="I231" s="78" t="s">
        <v>1823</v>
      </c>
      <c r="J231" s="78" t="s">
        <v>1823</v>
      </c>
    </row>
    <row r="232" spans="1:11">
      <c r="A232" s="79" t="s">
        <v>2119</v>
      </c>
      <c r="B232" s="67" t="s">
        <v>2140</v>
      </c>
      <c r="C232" s="80" t="s">
        <v>2132</v>
      </c>
      <c r="D232" s="80" t="s">
        <v>1038</v>
      </c>
      <c r="E232" s="80" t="s">
        <v>1497</v>
      </c>
      <c r="F232" s="81">
        <v>1</v>
      </c>
      <c r="G232" s="86" t="s">
        <v>1822</v>
      </c>
      <c r="H232" s="78" t="s">
        <v>1823</v>
      </c>
      <c r="I232" s="78" t="s">
        <v>1823</v>
      </c>
      <c r="J232" s="78" t="s">
        <v>1823</v>
      </c>
      <c r="K232" s="78"/>
    </row>
    <row r="233" spans="1:11">
      <c r="A233" s="79" t="s">
        <v>2119</v>
      </c>
      <c r="B233" s="67" t="s">
        <v>2141</v>
      </c>
      <c r="C233" s="80" t="s">
        <v>2132</v>
      </c>
      <c r="D233" s="80" t="s">
        <v>1041</v>
      </c>
      <c r="E233" s="80" t="s">
        <v>1497</v>
      </c>
      <c r="F233" s="81">
        <v>1</v>
      </c>
      <c r="G233" s="86" t="s">
        <v>1822</v>
      </c>
      <c r="H233" s="78" t="s">
        <v>1823</v>
      </c>
      <c r="I233" s="78" t="s">
        <v>1823</v>
      </c>
      <c r="J233" s="78" t="s">
        <v>1823</v>
      </c>
    </row>
    <row r="234" spans="1:11">
      <c r="A234" s="79" t="s">
        <v>2142</v>
      </c>
      <c r="B234" s="69" t="s">
        <v>2143</v>
      </c>
      <c r="C234" s="80" t="s">
        <v>2144</v>
      </c>
      <c r="D234" s="80" t="s">
        <v>1217</v>
      </c>
      <c r="E234" s="80" t="s">
        <v>1863</v>
      </c>
      <c r="F234" s="81">
        <v>0</v>
      </c>
      <c r="G234" s="96" t="s">
        <v>372</v>
      </c>
      <c r="H234" s="71" t="s">
        <v>758</v>
      </c>
      <c r="I234" s="78" t="s">
        <v>1833</v>
      </c>
      <c r="J234" s="71" t="s">
        <v>2145</v>
      </c>
      <c r="K234" s="78" t="s">
        <v>32</v>
      </c>
    </row>
    <row r="235" spans="1:11">
      <c r="A235" s="79" t="s">
        <v>2142</v>
      </c>
      <c r="B235" s="69" t="s">
        <v>2146</v>
      </c>
      <c r="C235" s="80" t="s">
        <v>2144</v>
      </c>
      <c r="D235" s="80" t="s">
        <v>1220</v>
      </c>
      <c r="E235" s="80" t="s">
        <v>1863</v>
      </c>
      <c r="F235" s="81">
        <v>0</v>
      </c>
      <c r="G235" s="96" t="s">
        <v>372</v>
      </c>
      <c r="H235" s="71" t="s">
        <v>758</v>
      </c>
      <c r="I235" s="78" t="s">
        <v>1833</v>
      </c>
      <c r="J235" s="71" t="s">
        <v>2145</v>
      </c>
      <c r="K235" s="78" t="s">
        <v>32</v>
      </c>
    </row>
    <row r="236" spans="1:11">
      <c r="A236" s="79" t="s">
        <v>2142</v>
      </c>
      <c r="B236" s="69" t="s">
        <v>2147</v>
      </c>
      <c r="C236" s="80" t="s">
        <v>2144</v>
      </c>
      <c r="D236" s="80" t="s">
        <v>1217</v>
      </c>
      <c r="E236" s="80" t="s">
        <v>1863</v>
      </c>
      <c r="F236" s="81">
        <v>0</v>
      </c>
      <c r="G236" s="96" t="s">
        <v>372</v>
      </c>
      <c r="H236" s="71" t="s">
        <v>758</v>
      </c>
      <c r="I236" s="78" t="s">
        <v>1833</v>
      </c>
      <c r="J236" s="71" t="s">
        <v>2145</v>
      </c>
      <c r="K236" s="78" t="s">
        <v>32</v>
      </c>
    </row>
    <row r="237" spans="1:11">
      <c r="A237" s="79" t="s">
        <v>2142</v>
      </c>
      <c r="B237" s="69" t="s">
        <v>2148</v>
      </c>
      <c r="C237" s="80" t="s">
        <v>2144</v>
      </c>
      <c r="D237" s="80" t="s">
        <v>1220</v>
      </c>
      <c r="E237" s="80" t="s">
        <v>1863</v>
      </c>
      <c r="F237" s="81">
        <v>0</v>
      </c>
      <c r="G237" s="96" t="s">
        <v>372</v>
      </c>
      <c r="H237" s="71" t="s">
        <v>758</v>
      </c>
      <c r="I237" s="78" t="s">
        <v>1833</v>
      </c>
      <c r="J237" s="71" t="s">
        <v>2145</v>
      </c>
      <c r="K237" s="78" t="s">
        <v>32</v>
      </c>
    </row>
    <row r="238" spans="1:11">
      <c r="A238" s="79" t="s">
        <v>2142</v>
      </c>
      <c r="B238" s="69" t="s">
        <v>2149</v>
      </c>
      <c r="C238" s="80" t="s">
        <v>2150</v>
      </c>
      <c r="D238" s="80" t="s">
        <v>1227</v>
      </c>
      <c r="E238" s="80" t="s">
        <v>1750</v>
      </c>
      <c r="F238" s="81">
        <v>0</v>
      </c>
      <c r="G238" s="96" t="s">
        <v>775</v>
      </c>
      <c r="H238" s="78" t="s">
        <v>1847</v>
      </c>
      <c r="I238" s="78" t="s">
        <v>1733</v>
      </c>
      <c r="J238" s="71" t="s">
        <v>2151</v>
      </c>
      <c r="K238" s="78" t="s">
        <v>26</v>
      </c>
    </row>
    <row r="239" ht="14.25" spans="1:11">
      <c r="A239" s="79" t="s">
        <v>2152</v>
      </c>
      <c r="B239" s="69" t="s">
        <v>2153</v>
      </c>
      <c r="C239" s="85" t="s">
        <v>1762</v>
      </c>
      <c r="D239" s="80" t="s">
        <v>1294</v>
      </c>
      <c r="E239" s="80" t="s">
        <v>1448</v>
      </c>
      <c r="F239" s="81">
        <v>0</v>
      </c>
      <c r="G239" s="102" t="s">
        <v>775</v>
      </c>
      <c r="H239" s="103" t="s">
        <v>2154</v>
      </c>
      <c r="I239" s="104" t="s">
        <v>2155</v>
      </c>
      <c r="J239" s="105" t="s">
        <v>1297</v>
      </c>
      <c r="K239" s="106" t="s">
        <v>26</v>
      </c>
    </row>
    <row r="240" ht="14.25" spans="1:11">
      <c r="A240" s="79" t="s">
        <v>2152</v>
      </c>
      <c r="B240" s="69" t="s">
        <v>2156</v>
      </c>
      <c r="C240" s="85" t="s">
        <v>1762</v>
      </c>
      <c r="D240" s="80" t="s">
        <v>1297</v>
      </c>
      <c r="E240" s="80" t="s">
        <v>1448</v>
      </c>
      <c r="F240" s="81">
        <v>0</v>
      </c>
      <c r="G240" s="102" t="s">
        <v>775</v>
      </c>
      <c r="H240" s="103" t="s">
        <v>2154</v>
      </c>
      <c r="I240" s="104" t="s">
        <v>2155</v>
      </c>
      <c r="J240" s="105" t="s">
        <v>2157</v>
      </c>
      <c r="K240" s="106" t="s">
        <v>26</v>
      </c>
    </row>
    <row r="241" ht="14.25" spans="1:11">
      <c r="A241" s="79" t="s">
        <v>2152</v>
      </c>
      <c r="B241" s="69" t="s">
        <v>1290</v>
      </c>
      <c r="C241" s="85" t="s">
        <v>1762</v>
      </c>
      <c r="D241" s="80" t="s">
        <v>2158</v>
      </c>
      <c r="E241" s="80" t="s">
        <v>102</v>
      </c>
      <c r="F241" s="81">
        <v>0</v>
      </c>
      <c r="G241" s="107" t="s">
        <v>775</v>
      </c>
      <c r="H241" s="103" t="s">
        <v>2154</v>
      </c>
      <c r="I241" s="104" t="s">
        <v>2155</v>
      </c>
      <c r="J241" s="105" t="s">
        <v>2159</v>
      </c>
      <c r="K241" s="106" t="s">
        <v>26</v>
      </c>
    </row>
    <row r="242" spans="1:11">
      <c r="A242" s="79" t="s">
        <v>2152</v>
      </c>
      <c r="B242" s="69" t="s">
        <v>2160</v>
      </c>
      <c r="C242" s="85" t="s">
        <v>1762</v>
      </c>
      <c r="D242" s="80" t="s">
        <v>2161</v>
      </c>
      <c r="E242" s="80" t="s">
        <v>102</v>
      </c>
      <c r="F242" s="81">
        <v>0</v>
      </c>
      <c r="G242" s="96" t="s">
        <v>1822</v>
      </c>
      <c r="H242" s="108"/>
      <c r="I242" s="93"/>
      <c r="J242" s="109"/>
      <c r="K242" s="110"/>
    </row>
    <row r="243" spans="1:11">
      <c r="A243" s="79" t="s">
        <v>2152</v>
      </c>
      <c r="B243" s="69" t="s">
        <v>2162</v>
      </c>
      <c r="C243" s="85" t="s">
        <v>1762</v>
      </c>
      <c r="D243" s="80" t="s">
        <v>2163</v>
      </c>
      <c r="E243" s="80" t="s">
        <v>1448</v>
      </c>
      <c r="F243" s="81">
        <v>0</v>
      </c>
      <c r="G243" s="96" t="s">
        <v>1822</v>
      </c>
      <c r="H243" s="108"/>
      <c r="I243" s="93"/>
      <c r="J243" s="109"/>
      <c r="K243" s="110"/>
    </row>
    <row r="244" spans="1:11">
      <c r="A244" s="111" t="s">
        <v>2152</v>
      </c>
      <c r="B244" s="69" t="s">
        <v>2164</v>
      </c>
      <c r="C244" s="85" t="s">
        <v>1762</v>
      </c>
      <c r="D244" s="80" t="s">
        <v>2165</v>
      </c>
      <c r="E244" s="80" t="s">
        <v>1448</v>
      </c>
      <c r="F244" s="81">
        <v>0</v>
      </c>
      <c r="G244" s="96" t="s">
        <v>1822</v>
      </c>
      <c r="H244" s="108"/>
      <c r="I244" s="93"/>
      <c r="J244" s="109"/>
      <c r="K244" s="110"/>
    </row>
    <row r="245" spans="1:11">
      <c r="A245" s="111" t="s">
        <v>2152</v>
      </c>
      <c r="B245" s="69" t="s">
        <v>2166</v>
      </c>
      <c r="C245" s="85" t="s">
        <v>1762</v>
      </c>
      <c r="D245" s="80" t="s">
        <v>2167</v>
      </c>
      <c r="E245" s="80" t="s">
        <v>1448</v>
      </c>
      <c r="F245" s="81">
        <v>0</v>
      </c>
      <c r="G245" s="96" t="s">
        <v>1822</v>
      </c>
      <c r="H245" s="108"/>
      <c r="I245" s="93"/>
      <c r="J245" s="109"/>
      <c r="K245" s="110"/>
    </row>
    <row r="246" spans="1:11">
      <c r="A246" s="79" t="s">
        <v>2152</v>
      </c>
      <c r="B246" s="69" t="s">
        <v>2168</v>
      </c>
      <c r="C246" s="85" t="s">
        <v>1762</v>
      </c>
      <c r="D246" s="80" t="s">
        <v>2169</v>
      </c>
      <c r="E246" s="80" t="s">
        <v>1448</v>
      </c>
      <c r="F246" s="81">
        <v>0</v>
      </c>
      <c r="G246" s="96" t="s">
        <v>1822</v>
      </c>
      <c r="H246" s="108"/>
      <c r="I246" s="93"/>
      <c r="J246" s="109"/>
      <c r="K246" s="110"/>
    </row>
    <row r="247" ht="14.25" spans="1:11">
      <c r="A247" s="79" t="s">
        <v>2152</v>
      </c>
      <c r="B247" s="69" t="s">
        <v>2170</v>
      </c>
      <c r="C247" s="85" t="s">
        <v>1762</v>
      </c>
      <c r="D247" s="80" t="s">
        <v>1685</v>
      </c>
      <c r="E247" s="80" t="s">
        <v>1491</v>
      </c>
      <c r="F247" s="81">
        <v>0</v>
      </c>
      <c r="G247" s="102" t="s">
        <v>372</v>
      </c>
      <c r="H247" s="103" t="s">
        <v>2154</v>
      </c>
      <c r="I247" s="104" t="s">
        <v>2155</v>
      </c>
      <c r="J247" s="112" t="s">
        <v>2171</v>
      </c>
      <c r="K247" s="106" t="s">
        <v>32</v>
      </c>
    </row>
    <row r="248" ht="14.25" spans="1:11">
      <c r="A248" s="79" t="s">
        <v>2152</v>
      </c>
      <c r="B248" s="69" t="s">
        <v>2172</v>
      </c>
      <c r="C248" s="85" t="s">
        <v>1762</v>
      </c>
      <c r="D248" s="80" t="s">
        <v>1685</v>
      </c>
      <c r="E248" s="80" t="s">
        <v>1840</v>
      </c>
      <c r="F248" s="81">
        <v>0</v>
      </c>
      <c r="G248" s="102" t="s">
        <v>372</v>
      </c>
      <c r="H248" s="103" t="s">
        <v>2154</v>
      </c>
      <c r="I248" s="104" t="s">
        <v>2155</v>
      </c>
      <c r="J248" s="112" t="s">
        <v>2171</v>
      </c>
      <c r="K248" s="106" t="s">
        <v>32</v>
      </c>
    </row>
    <row r="249" ht="14.25" spans="1:11">
      <c r="A249" s="79" t="s">
        <v>2152</v>
      </c>
      <c r="B249" s="69" t="s">
        <v>2173</v>
      </c>
      <c r="C249" s="85" t="s">
        <v>1762</v>
      </c>
      <c r="D249" s="80" t="s">
        <v>1685</v>
      </c>
      <c r="E249" s="80" t="s">
        <v>1863</v>
      </c>
      <c r="F249" s="81">
        <v>0</v>
      </c>
      <c r="G249" s="102" t="s">
        <v>372</v>
      </c>
      <c r="H249" s="103" t="s">
        <v>2154</v>
      </c>
      <c r="I249" s="104" t="s">
        <v>2155</v>
      </c>
      <c r="J249" s="112" t="s">
        <v>2171</v>
      </c>
      <c r="K249" s="106" t="s">
        <v>32</v>
      </c>
    </row>
    <row r="250" ht="14.25" spans="1:11">
      <c r="A250" s="79" t="s">
        <v>2152</v>
      </c>
      <c r="B250" s="69" t="s">
        <v>2174</v>
      </c>
      <c r="C250" s="85" t="s">
        <v>1762</v>
      </c>
      <c r="D250" s="80" t="s">
        <v>1685</v>
      </c>
      <c r="E250" s="80" t="s">
        <v>1363</v>
      </c>
      <c r="F250" s="81">
        <v>0</v>
      </c>
      <c r="G250" s="102" t="s">
        <v>372</v>
      </c>
      <c r="H250" s="103" t="s">
        <v>2154</v>
      </c>
      <c r="I250" s="104" t="s">
        <v>2155</v>
      </c>
      <c r="J250" s="112" t="s">
        <v>2171</v>
      </c>
      <c r="K250" s="106" t="s">
        <v>32</v>
      </c>
    </row>
    <row r="251" ht="14.25" spans="1:11">
      <c r="A251" s="79" t="s">
        <v>2152</v>
      </c>
      <c r="B251" s="69" t="s">
        <v>2175</v>
      </c>
      <c r="C251" s="85" t="s">
        <v>1762</v>
      </c>
      <c r="D251" s="80" t="s">
        <v>1685</v>
      </c>
      <c r="E251" s="80" t="s">
        <v>1363</v>
      </c>
      <c r="F251" s="81">
        <v>0</v>
      </c>
      <c r="G251" s="102" t="s">
        <v>372</v>
      </c>
      <c r="H251" s="103" t="s">
        <v>2154</v>
      </c>
      <c r="I251" s="104" t="s">
        <v>2155</v>
      </c>
      <c r="J251" s="112" t="s">
        <v>2171</v>
      </c>
      <c r="K251" s="106" t="s">
        <v>32</v>
      </c>
    </row>
    <row r="252" ht="14.25" spans="1:11">
      <c r="A252" s="79" t="s">
        <v>2152</v>
      </c>
      <c r="B252" s="69" t="s">
        <v>2176</v>
      </c>
      <c r="C252" s="85" t="s">
        <v>1762</v>
      </c>
      <c r="D252" s="80" t="s">
        <v>2177</v>
      </c>
      <c r="E252" s="80" t="s">
        <v>1448</v>
      </c>
      <c r="F252" s="81">
        <v>0</v>
      </c>
      <c r="G252" s="102" t="s">
        <v>372</v>
      </c>
      <c r="H252" s="103" t="s">
        <v>2154</v>
      </c>
      <c r="I252" s="104" t="s">
        <v>2155</v>
      </c>
      <c r="J252" s="112" t="s">
        <v>2171</v>
      </c>
      <c r="K252" s="106" t="s">
        <v>32</v>
      </c>
    </row>
    <row r="253" spans="1:11">
      <c r="A253" s="79" t="s">
        <v>2152</v>
      </c>
      <c r="B253" s="69" t="s">
        <v>2178</v>
      </c>
      <c r="C253" s="85" t="s">
        <v>1762</v>
      </c>
      <c r="D253" s="80" t="s">
        <v>1310</v>
      </c>
      <c r="E253" s="80" t="s">
        <v>102</v>
      </c>
      <c r="F253" s="81">
        <v>0</v>
      </c>
      <c r="G253" s="102" t="s">
        <v>372</v>
      </c>
      <c r="H253" s="103" t="s">
        <v>1847</v>
      </c>
      <c r="I253" s="93"/>
      <c r="J253" s="105" t="s">
        <v>2179</v>
      </c>
      <c r="K253" s="106" t="s">
        <v>32</v>
      </c>
    </row>
    <row r="254" spans="1:11">
      <c r="A254" s="79" t="s">
        <v>2152</v>
      </c>
      <c r="B254" s="69" t="s">
        <v>2180</v>
      </c>
      <c r="C254" s="85" t="s">
        <v>1762</v>
      </c>
      <c r="D254" s="80" t="s">
        <v>1310</v>
      </c>
      <c r="E254" s="80" t="s">
        <v>1840</v>
      </c>
      <c r="F254" s="81">
        <v>0</v>
      </c>
      <c r="G254" s="102" t="s">
        <v>372</v>
      </c>
      <c r="H254" s="103" t="s">
        <v>1847</v>
      </c>
      <c r="I254" s="93"/>
      <c r="J254" s="105" t="s">
        <v>2179</v>
      </c>
      <c r="K254" s="106" t="s">
        <v>32</v>
      </c>
    </row>
    <row r="255" spans="1:11">
      <c r="A255" s="79" t="s">
        <v>2152</v>
      </c>
      <c r="B255" s="69" t="s">
        <v>2181</v>
      </c>
      <c r="C255" s="85" t="s">
        <v>1762</v>
      </c>
      <c r="D255" s="80" t="s">
        <v>1319</v>
      </c>
      <c r="E255" s="80" t="s">
        <v>1377</v>
      </c>
      <c r="F255" s="81">
        <v>0</v>
      </c>
      <c r="G255" s="96" t="s">
        <v>1822</v>
      </c>
      <c r="H255" s="108"/>
      <c r="I255" s="93"/>
      <c r="J255" s="109"/>
      <c r="K255" s="110"/>
    </row>
    <row r="256" spans="1:11">
      <c r="A256" s="79" t="s">
        <v>2152</v>
      </c>
      <c r="B256" s="69" t="s">
        <v>2182</v>
      </c>
      <c r="C256" s="85" t="s">
        <v>1762</v>
      </c>
      <c r="D256" s="80" t="s">
        <v>1316</v>
      </c>
      <c r="E256" s="80" t="s">
        <v>1363</v>
      </c>
      <c r="F256" s="81">
        <v>0</v>
      </c>
      <c r="G256" s="96" t="s">
        <v>1822</v>
      </c>
      <c r="H256" s="108"/>
      <c r="I256" s="93"/>
      <c r="J256" s="109"/>
      <c r="K256" s="110"/>
    </row>
    <row r="257" spans="1:11">
      <c r="A257" s="79" t="s">
        <v>2152</v>
      </c>
      <c r="B257" s="69" t="s">
        <v>2183</v>
      </c>
      <c r="C257" s="85" t="s">
        <v>1762</v>
      </c>
      <c r="D257" s="80" t="s">
        <v>1322</v>
      </c>
      <c r="E257" s="80" t="s">
        <v>1377</v>
      </c>
      <c r="F257" s="81">
        <v>0</v>
      </c>
      <c r="G257" s="96" t="s">
        <v>1822</v>
      </c>
      <c r="H257" s="108"/>
      <c r="I257" s="93"/>
      <c r="J257" s="109"/>
      <c r="K257" s="110"/>
    </row>
    <row r="258" spans="1:11">
      <c r="A258" s="79" t="s">
        <v>2152</v>
      </c>
      <c r="B258" s="69" t="s">
        <v>2184</v>
      </c>
      <c r="C258" s="85" t="s">
        <v>1762</v>
      </c>
      <c r="D258" s="80" t="s">
        <v>2185</v>
      </c>
      <c r="E258" s="80" t="s">
        <v>1840</v>
      </c>
      <c r="F258" s="81">
        <v>0</v>
      </c>
      <c r="G258" s="96" t="s">
        <v>1822</v>
      </c>
      <c r="H258" s="108"/>
      <c r="I258" s="93"/>
      <c r="J258" s="109"/>
      <c r="K258" s="110"/>
    </row>
    <row r="259" spans="1:11">
      <c r="A259" s="79" t="s">
        <v>2152</v>
      </c>
      <c r="B259" s="69" t="s">
        <v>1291</v>
      </c>
      <c r="C259" s="85" t="s">
        <v>1762</v>
      </c>
      <c r="D259" s="80" t="s">
        <v>2186</v>
      </c>
      <c r="E259" s="80" t="s">
        <v>1363</v>
      </c>
      <c r="F259" s="81">
        <v>0</v>
      </c>
      <c r="G259" s="96" t="s">
        <v>1822</v>
      </c>
      <c r="H259" s="108"/>
      <c r="I259" s="93"/>
      <c r="J259" s="109"/>
      <c r="K259" s="110"/>
    </row>
    <row r="260" ht="14.25" spans="1:11">
      <c r="A260" s="79" t="s">
        <v>2152</v>
      </c>
      <c r="B260" s="69" t="s">
        <v>2187</v>
      </c>
      <c r="C260" s="80" t="s">
        <v>2188</v>
      </c>
      <c r="D260" s="80" t="s">
        <v>2189</v>
      </c>
      <c r="E260" s="80" t="s">
        <v>102</v>
      </c>
      <c r="F260" s="81">
        <v>0</v>
      </c>
      <c r="G260" s="102" t="s">
        <v>775</v>
      </c>
      <c r="H260" s="103" t="s">
        <v>2154</v>
      </c>
      <c r="I260" s="104" t="s">
        <v>2155</v>
      </c>
      <c r="J260" s="105" t="s">
        <v>2190</v>
      </c>
      <c r="K260" s="106" t="s">
        <v>26</v>
      </c>
    </row>
    <row r="261" ht="14.25" spans="1:11">
      <c r="A261" s="79" t="s">
        <v>2152</v>
      </c>
      <c r="B261" s="69" t="s">
        <v>2191</v>
      </c>
      <c r="C261" s="80" t="s">
        <v>2188</v>
      </c>
      <c r="D261" s="80" t="s">
        <v>2189</v>
      </c>
      <c r="E261" s="80" t="s">
        <v>102</v>
      </c>
      <c r="F261" s="81">
        <v>0</v>
      </c>
      <c r="G261" s="102" t="s">
        <v>775</v>
      </c>
      <c r="H261" s="103" t="s">
        <v>2154</v>
      </c>
      <c r="I261" s="104" t="s">
        <v>2155</v>
      </c>
      <c r="J261" s="109" t="s">
        <v>2192</v>
      </c>
      <c r="K261" s="106" t="s">
        <v>26</v>
      </c>
    </row>
    <row r="262" spans="1:11">
      <c r="A262" s="79" t="s">
        <v>2193</v>
      </c>
      <c r="B262" s="69" t="s">
        <v>2194</v>
      </c>
      <c r="C262" s="85" t="s">
        <v>1762</v>
      </c>
      <c r="D262" s="80" t="s">
        <v>2195</v>
      </c>
      <c r="E262" s="80" t="s">
        <v>1764</v>
      </c>
      <c r="F262" s="81">
        <v>0</v>
      </c>
      <c r="G262" s="96" t="s">
        <v>1822</v>
      </c>
    </row>
    <row r="263" spans="1:11">
      <c r="A263" s="79" t="s">
        <v>2193</v>
      </c>
      <c r="B263" s="69" t="s">
        <v>2196</v>
      </c>
      <c r="C263" s="85" t="s">
        <v>1762</v>
      </c>
      <c r="D263" s="80" t="s">
        <v>2197</v>
      </c>
      <c r="E263" s="80" t="s">
        <v>1764</v>
      </c>
      <c r="F263" s="81">
        <v>0</v>
      </c>
      <c r="G263" s="96" t="s">
        <v>1822</v>
      </c>
    </row>
    <row r="264" spans="1:11">
      <c r="A264" s="79" t="s">
        <v>2193</v>
      </c>
      <c r="B264" s="69" t="s">
        <v>2198</v>
      </c>
      <c r="C264" s="85" t="s">
        <v>1762</v>
      </c>
      <c r="D264" s="80" t="s">
        <v>2199</v>
      </c>
      <c r="E264" s="80" t="s">
        <v>1764</v>
      </c>
      <c r="F264" s="81">
        <v>0</v>
      </c>
      <c r="G264" s="96" t="s">
        <v>1822</v>
      </c>
    </row>
    <row r="265" spans="1:11">
      <c r="A265" s="79" t="s">
        <v>2193</v>
      </c>
      <c r="B265" s="69" t="s">
        <v>2200</v>
      </c>
      <c r="C265" s="85" t="s">
        <v>1762</v>
      </c>
      <c r="D265" s="80" t="s">
        <v>2201</v>
      </c>
      <c r="E265" s="80" t="s">
        <v>1764</v>
      </c>
      <c r="F265" s="81">
        <v>0</v>
      </c>
      <c r="G265" s="96" t="s">
        <v>1822</v>
      </c>
    </row>
    <row r="266" spans="1:11">
      <c r="A266" s="79" t="s">
        <v>2193</v>
      </c>
      <c r="B266" s="69" t="s">
        <v>2202</v>
      </c>
      <c r="C266" s="85" t="s">
        <v>1762</v>
      </c>
      <c r="D266" s="80" t="s">
        <v>2203</v>
      </c>
      <c r="E266" s="80" t="s">
        <v>1764</v>
      </c>
      <c r="F266" s="81">
        <v>0</v>
      </c>
      <c r="G266" s="96" t="s">
        <v>1822</v>
      </c>
    </row>
    <row r="267" spans="1:11">
      <c r="A267" s="79" t="s">
        <v>2193</v>
      </c>
      <c r="B267" s="69" t="s">
        <v>2204</v>
      </c>
      <c r="C267" s="85" t="s">
        <v>1762</v>
      </c>
      <c r="D267" s="80" t="s">
        <v>2205</v>
      </c>
      <c r="E267" s="80" t="s">
        <v>1764</v>
      </c>
      <c r="F267" s="81">
        <v>0</v>
      </c>
      <c r="G267" s="96" t="s">
        <v>1822</v>
      </c>
    </row>
    <row r="268" spans="1:11">
      <c r="A268" s="79" t="s">
        <v>2193</v>
      </c>
      <c r="B268" s="69" t="s">
        <v>2206</v>
      </c>
      <c r="C268" s="85" t="s">
        <v>1762</v>
      </c>
      <c r="D268" s="80" t="s">
        <v>2207</v>
      </c>
      <c r="E268" s="80" t="s">
        <v>1764</v>
      </c>
      <c r="F268" s="81">
        <v>0</v>
      </c>
      <c r="G268" s="96" t="s">
        <v>372</v>
      </c>
      <c r="I268" s="78" t="s">
        <v>1833</v>
      </c>
      <c r="J268" s="78" t="s">
        <v>2208</v>
      </c>
      <c r="K268" s="78" t="s">
        <v>32</v>
      </c>
    </row>
    <row r="269" spans="1:11">
      <c r="A269" s="79" t="s">
        <v>2193</v>
      </c>
      <c r="B269" s="69" t="s">
        <v>2209</v>
      </c>
      <c r="C269" s="85" t="s">
        <v>1762</v>
      </c>
      <c r="D269" s="80" t="s">
        <v>2210</v>
      </c>
      <c r="E269" s="80" t="s">
        <v>1764</v>
      </c>
      <c r="F269" s="81">
        <v>0</v>
      </c>
      <c r="G269" s="96" t="s">
        <v>372</v>
      </c>
      <c r="I269" s="78" t="s">
        <v>1833</v>
      </c>
      <c r="J269" s="78" t="s">
        <v>2211</v>
      </c>
      <c r="K269" s="78" t="s">
        <v>32</v>
      </c>
    </row>
    <row r="270" spans="1:11">
      <c r="A270" s="79" t="s">
        <v>2193</v>
      </c>
      <c r="B270" s="69" t="s">
        <v>2212</v>
      </c>
      <c r="C270" s="80" t="s">
        <v>2213</v>
      </c>
      <c r="D270" s="80" t="s">
        <v>404</v>
      </c>
      <c r="E270" s="80" t="s">
        <v>1439</v>
      </c>
      <c r="F270" s="81">
        <v>1</v>
      </c>
      <c r="G270" s="96" t="s">
        <v>372</v>
      </c>
      <c r="I270" s="78" t="s">
        <v>1833</v>
      </c>
      <c r="J270" s="78" t="s">
        <v>2214</v>
      </c>
      <c r="K270" s="78" t="s">
        <v>32</v>
      </c>
    </row>
    <row r="271" spans="1:11">
      <c r="A271" s="79" t="s">
        <v>2193</v>
      </c>
      <c r="B271" s="69" t="s">
        <v>2215</v>
      </c>
      <c r="C271" s="80" t="s">
        <v>2213</v>
      </c>
      <c r="D271" s="80" t="s">
        <v>408</v>
      </c>
      <c r="E271" s="80" t="s">
        <v>1439</v>
      </c>
      <c r="F271" s="81">
        <v>1</v>
      </c>
      <c r="G271" s="96" t="s">
        <v>372</v>
      </c>
      <c r="I271" s="78" t="s">
        <v>1833</v>
      </c>
      <c r="J271" s="78" t="s">
        <v>2214</v>
      </c>
      <c r="K271" s="78" t="s">
        <v>32</v>
      </c>
    </row>
    <row r="272" spans="1:11">
      <c r="A272" s="79" t="s">
        <v>2193</v>
      </c>
      <c r="B272" s="69" t="s">
        <v>2216</v>
      </c>
      <c r="C272" s="80" t="s">
        <v>2213</v>
      </c>
      <c r="D272" s="80" t="s">
        <v>411</v>
      </c>
      <c r="E272" s="80" t="s">
        <v>2011</v>
      </c>
      <c r="F272" s="81">
        <v>0</v>
      </c>
      <c r="G272" s="96" t="s">
        <v>1822</v>
      </c>
    </row>
    <row r="273" spans="1:13">
      <c r="A273" s="79" t="s">
        <v>2193</v>
      </c>
      <c r="B273" s="69" t="s">
        <v>2217</v>
      </c>
      <c r="C273" s="80" t="s">
        <v>2218</v>
      </c>
      <c r="D273" s="80" t="s">
        <v>367</v>
      </c>
      <c r="E273" s="80" t="s">
        <v>1491</v>
      </c>
      <c r="F273" s="81">
        <v>0</v>
      </c>
      <c r="G273" s="96" t="s">
        <v>372</v>
      </c>
      <c r="I273" s="78" t="s">
        <v>1833</v>
      </c>
      <c r="J273" s="78" t="s">
        <v>2219</v>
      </c>
      <c r="K273" s="113" t="s">
        <v>32</v>
      </c>
    </row>
    <row r="274" spans="1:13">
      <c r="A274" s="79" t="s">
        <v>2193</v>
      </c>
      <c r="B274" s="69" t="s">
        <v>2220</v>
      </c>
      <c r="C274" s="80" t="s">
        <v>2218</v>
      </c>
      <c r="D274" s="80" t="s">
        <v>374</v>
      </c>
      <c r="E274" s="80" t="s">
        <v>1750</v>
      </c>
      <c r="F274" s="81">
        <v>0</v>
      </c>
      <c r="G274" s="96" t="s">
        <v>372</v>
      </c>
      <c r="I274" s="78" t="s">
        <v>1833</v>
      </c>
      <c r="J274" s="78" t="s">
        <v>2221</v>
      </c>
      <c r="K274" s="78" t="s">
        <v>32</v>
      </c>
    </row>
    <row r="275" spans="1:13">
      <c r="A275" s="79" t="s">
        <v>2193</v>
      </c>
      <c r="B275" s="69" t="s">
        <v>2222</v>
      </c>
      <c r="C275" s="80" t="s">
        <v>2223</v>
      </c>
      <c r="D275" s="80" t="s">
        <v>386</v>
      </c>
      <c r="E275" s="80" t="s">
        <v>1989</v>
      </c>
      <c r="F275" s="81">
        <v>1</v>
      </c>
      <c r="G275" s="96" t="s">
        <v>372</v>
      </c>
      <c r="I275" s="78" t="s">
        <v>1833</v>
      </c>
      <c r="J275" s="78" t="s">
        <v>2214</v>
      </c>
      <c r="K275" s="78" t="s">
        <v>32</v>
      </c>
    </row>
    <row r="276" spans="1:13">
      <c r="A276" s="79" t="s">
        <v>2193</v>
      </c>
      <c r="B276" s="69" t="s">
        <v>2224</v>
      </c>
      <c r="C276" s="80" t="s">
        <v>2223</v>
      </c>
      <c r="D276" s="80" t="s">
        <v>391</v>
      </c>
      <c r="E276" s="80" t="s">
        <v>1989</v>
      </c>
      <c r="F276" s="81">
        <v>1</v>
      </c>
      <c r="G276" s="96" t="s">
        <v>372</v>
      </c>
      <c r="I276" s="78" t="s">
        <v>1833</v>
      </c>
      <c r="J276" s="78" t="s">
        <v>2214</v>
      </c>
      <c r="K276" s="78" t="s">
        <v>32</v>
      </c>
    </row>
    <row r="277" spans="1:13">
      <c r="A277" s="79" t="s">
        <v>2193</v>
      </c>
      <c r="B277" s="69" t="s">
        <v>2225</v>
      </c>
      <c r="C277" s="80" t="s">
        <v>2226</v>
      </c>
      <c r="D277" s="114" t="s">
        <v>2227</v>
      </c>
      <c r="E277" s="80" t="s">
        <v>1989</v>
      </c>
      <c r="F277" s="81">
        <v>0</v>
      </c>
      <c r="G277" s="96" t="s">
        <v>1822</v>
      </c>
    </row>
    <row r="278" spans="1:13">
      <c r="A278" s="79" t="s">
        <v>2193</v>
      </c>
      <c r="B278" s="69" t="s">
        <v>2228</v>
      </c>
      <c r="C278" s="80" t="s">
        <v>2226</v>
      </c>
      <c r="D278" s="114" t="s">
        <v>2229</v>
      </c>
      <c r="E278" s="80" t="s">
        <v>2011</v>
      </c>
      <c r="F278" s="81">
        <v>0</v>
      </c>
      <c r="G278" s="96" t="s">
        <v>1822</v>
      </c>
    </row>
    <row r="279" spans="1:13">
      <c r="A279" s="79" t="s">
        <v>2193</v>
      </c>
      <c r="B279" s="69" t="s">
        <v>2230</v>
      </c>
      <c r="C279" s="80" t="s">
        <v>2226</v>
      </c>
      <c r="D279" s="114" t="s">
        <v>2229</v>
      </c>
      <c r="E279" s="80" t="s">
        <v>2011</v>
      </c>
      <c r="F279" s="81">
        <v>0</v>
      </c>
      <c r="G279" s="96" t="s">
        <v>1822</v>
      </c>
    </row>
    <row r="280" spans="1:13">
      <c r="A280" s="79" t="s">
        <v>2193</v>
      </c>
      <c r="B280" s="67" t="s">
        <v>1374</v>
      </c>
      <c r="C280" s="85" t="s">
        <v>1762</v>
      </c>
      <c r="D280" s="114" t="s">
        <v>1375</v>
      </c>
      <c r="E280" s="80" t="s">
        <v>1377</v>
      </c>
      <c r="F280" s="81">
        <v>1</v>
      </c>
      <c r="G280" s="86" t="s">
        <v>1822</v>
      </c>
    </row>
    <row r="281" spans="1:13">
      <c r="A281" s="79" t="s">
        <v>2193</v>
      </c>
      <c r="B281" s="67" t="s">
        <v>2231</v>
      </c>
      <c r="C281" s="85" t="s">
        <v>1762</v>
      </c>
      <c r="D281" s="114" t="s">
        <v>414</v>
      </c>
      <c r="E281" s="80" t="s">
        <v>1377</v>
      </c>
      <c r="F281" s="81">
        <v>1</v>
      </c>
      <c r="G281" s="86" t="s">
        <v>1822</v>
      </c>
    </row>
    <row r="282" spans="1:13">
      <c r="A282" s="79" t="s">
        <v>2193</v>
      </c>
      <c r="B282" s="67" t="s">
        <v>2232</v>
      </c>
      <c r="C282" s="85" t="s">
        <v>1762</v>
      </c>
      <c r="D282" s="114" t="s">
        <v>418</v>
      </c>
      <c r="E282" s="80" t="s">
        <v>1377</v>
      </c>
      <c r="F282" s="81">
        <v>1</v>
      </c>
      <c r="G282" s="86" t="s">
        <v>1822</v>
      </c>
    </row>
    <row r="283" ht="40.5" spans="1:13">
      <c r="A283" s="79" t="s">
        <v>2233</v>
      </c>
      <c r="B283" s="69" t="s">
        <v>2234</v>
      </c>
      <c r="C283" s="80" t="s">
        <v>2235</v>
      </c>
      <c r="D283" s="80" t="s">
        <v>1539</v>
      </c>
      <c r="E283" s="80" t="s">
        <v>1491</v>
      </c>
      <c r="F283" s="81">
        <v>0</v>
      </c>
      <c r="G283" s="89" t="s">
        <v>372</v>
      </c>
      <c r="H283" s="82" t="s">
        <v>1907</v>
      </c>
      <c r="I283" s="71" t="s">
        <v>1733</v>
      </c>
      <c r="K283" s="71" t="s">
        <v>26</v>
      </c>
      <c r="M283" s="83" t="s">
        <v>2236</v>
      </c>
    </row>
    <row r="284" spans="1:13">
      <c r="A284" s="79" t="s">
        <v>2233</v>
      </c>
      <c r="B284" s="69" t="s">
        <v>2237</v>
      </c>
      <c r="C284" s="85" t="s">
        <v>1762</v>
      </c>
      <c r="D284" s="80" t="s">
        <v>1543</v>
      </c>
      <c r="E284" s="80" t="s">
        <v>2238</v>
      </c>
      <c r="F284" s="81">
        <v>0</v>
      </c>
      <c r="G284" s="89" t="s">
        <v>775</v>
      </c>
      <c r="H284" s="78" t="s">
        <v>1921</v>
      </c>
      <c r="I284" s="71" t="s">
        <v>1733</v>
      </c>
      <c r="K284" s="71" t="s">
        <v>26</v>
      </c>
    </row>
    <row r="285" spans="1:13">
      <c r="A285" s="79" t="s">
        <v>2233</v>
      </c>
      <c r="B285" s="69" t="s">
        <v>2239</v>
      </c>
      <c r="C285" s="85" t="s">
        <v>1762</v>
      </c>
      <c r="D285" s="80" t="s">
        <v>1547</v>
      </c>
      <c r="E285" s="80" t="s">
        <v>2238</v>
      </c>
      <c r="F285" s="81">
        <v>0</v>
      </c>
      <c r="G285" s="89" t="s">
        <v>775</v>
      </c>
      <c r="H285" s="78" t="s">
        <v>1921</v>
      </c>
      <c r="I285" s="71" t="s">
        <v>1733</v>
      </c>
      <c r="K285" s="71" t="s">
        <v>26</v>
      </c>
    </row>
    <row r="286" spans="1:13">
      <c r="A286" s="79" t="s">
        <v>2233</v>
      </c>
      <c r="B286" s="69" t="s">
        <v>2240</v>
      </c>
      <c r="C286" s="85" t="s">
        <v>1762</v>
      </c>
      <c r="D286" s="80" t="s">
        <v>1550</v>
      </c>
      <c r="E286" s="80" t="s">
        <v>2238</v>
      </c>
      <c r="F286" s="81">
        <v>0</v>
      </c>
      <c r="G286" s="89" t="s">
        <v>775</v>
      </c>
      <c r="H286" s="78" t="s">
        <v>1921</v>
      </c>
      <c r="I286" s="71" t="s">
        <v>1733</v>
      </c>
      <c r="K286" s="71" t="s">
        <v>26</v>
      </c>
    </row>
    <row r="287" spans="1:13">
      <c r="A287" s="79" t="s">
        <v>2233</v>
      </c>
      <c r="B287" s="69" t="s">
        <v>2241</v>
      </c>
      <c r="C287" s="85" t="s">
        <v>1762</v>
      </c>
      <c r="D287" s="80" t="s">
        <v>2242</v>
      </c>
      <c r="E287" s="80" t="s">
        <v>2238</v>
      </c>
      <c r="F287" s="81">
        <v>0</v>
      </c>
      <c r="G287" s="89" t="s">
        <v>775</v>
      </c>
      <c r="H287" s="78" t="s">
        <v>1921</v>
      </c>
      <c r="I287" s="71" t="s">
        <v>1733</v>
      </c>
      <c r="K287" s="71" t="s">
        <v>26</v>
      </c>
    </row>
    <row r="288" spans="1:13">
      <c r="A288" s="79" t="s">
        <v>2233</v>
      </c>
      <c r="B288" s="69" t="s">
        <v>2243</v>
      </c>
      <c r="C288" s="85" t="s">
        <v>1762</v>
      </c>
      <c r="D288" s="80" t="s">
        <v>1556</v>
      </c>
      <c r="E288" s="80" t="s">
        <v>2238</v>
      </c>
      <c r="F288" s="81">
        <v>0</v>
      </c>
      <c r="G288" s="89" t="s">
        <v>775</v>
      </c>
      <c r="H288" s="78" t="s">
        <v>1921</v>
      </c>
      <c r="I288" s="71" t="s">
        <v>1733</v>
      </c>
      <c r="K288" s="71" t="s">
        <v>26</v>
      </c>
    </row>
    <row r="289" spans="1:11">
      <c r="A289" s="79" t="s">
        <v>2233</v>
      </c>
      <c r="B289" s="69" t="s">
        <v>2244</v>
      </c>
      <c r="C289" s="85" t="s">
        <v>1762</v>
      </c>
      <c r="D289" s="80" t="s">
        <v>1559</v>
      </c>
      <c r="E289" s="80" t="s">
        <v>2238</v>
      </c>
      <c r="F289" s="81">
        <v>0</v>
      </c>
      <c r="G289" s="89" t="s">
        <v>775</v>
      </c>
      <c r="H289" s="78" t="s">
        <v>1921</v>
      </c>
      <c r="I289" s="71" t="s">
        <v>1733</v>
      </c>
      <c r="K289" s="71" t="s">
        <v>26</v>
      </c>
    </row>
    <row r="290" spans="1:11">
      <c r="A290" s="79" t="s">
        <v>2233</v>
      </c>
      <c r="B290" s="69" t="s">
        <v>2245</v>
      </c>
      <c r="C290" s="80" t="s">
        <v>2246</v>
      </c>
      <c r="D290" s="80" t="s">
        <v>1562</v>
      </c>
      <c r="E290" s="80" t="s">
        <v>1491</v>
      </c>
      <c r="F290" s="81">
        <v>0</v>
      </c>
      <c r="G290" s="89" t="s">
        <v>775</v>
      </c>
      <c r="H290" s="71" t="s">
        <v>1921</v>
      </c>
      <c r="I290" s="71" t="s">
        <v>1733</v>
      </c>
      <c r="K290" s="71" t="s">
        <v>26</v>
      </c>
    </row>
    <row r="291" ht="14.25" spans="1:11">
      <c r="A291" s="79" t="s">
        <v>2247</v>
      </c>
      <c r="B291" s="67" t="s">
        <v>2248</v>
      </c>
      <c r="C291" s="80" t="s">
        <v>2249</v>
      </c>
      <c r="D291" s="80" t="s">
        <v>2250</v>
      </c>
      <c r="E291" s="80" t="s">
        <v>1356</v>
      </c>
      <c r="F291" s="81">
        <v>1</v>
      </c>
      <c r="G291" s="8" t="s">
        <v>775</v>
      </c>
      <c r="H291" s="115" t="s">
        <v>2251</v>
      </c>
      <c r="I291" s="83" t="s">
        <v>2252</v>
      </c>
    </row>
    <row r="292" ht="14.25" spans="1:11">
      <c r="A292" s="79" t="s">
        <v>2247</v>
      </c>
      <c r="B292" s="67" t="s">
        <v>2253</v>
      </c>
      <c r="C292" s="80" t="s">
        <v>2254</v>
      </c>
      <c r="D292" s="80" t="s">
        <v>2255</v>
      </c>
      <c r="E292" s="80" t="s">
        <v>1356</v>
      </c>
      <c r="F292" s="81">
        <v>1</v>
      </c>
      <c r="G292" s="8" t="s">
        <v>775</v>
      </c>
      <c r="H292" s="115" t="s">
        <v>2251</v>
      </c>
      <c r="I292" s="83" t="s">
        <v>2252</v>
      </c>
    </row>
    <row r="293" ht="14.25" spans="1:11">
      <c r="A293" s="79" t="s">
        <v>2247</v>
      </c>
      <c r="B293" s="67" t="s">
        <v>2256</v>
      </c>
      <c r="C293" s="84" t="s">
        <v>2257</v>
      </c>
      <c r="D293" s="84" t="s">
        <v>465</v>
      </c>
      <c r="E293" s="80" t="s">
        <v>1356</v>
      </c>
      <c r="F293" s="81">
        <v>1</v>
      </c>
      <c r="G293" s="8" t="s">
        <v>775</v>
      </c>
      <c r="H293" s="115" t="s">
        <v>2258</v>
      </c>
      <c r="I293" s="83" t="s">
        <v>2252</v>
      </c>
    </row>
    <row r="294" ht="14.25" spans="1:11">
      <c r="A294" s="79" t="s">
        <v>2247</v>
      </c>
      <c r="B294" s="67" t="s">
        <v>2259</v>
      </c>
      <c r="C294" s="84" t="s">
        <v>2257</v>
      </c>
      <c r="D294" s="84" t="s">
        <v>468</v>
      </c>
      <c r="E294" s="80" t="s">
        <v>1356</v>
      </c>
      <c r="F294" s="81">
        <v>1</v>
      </c>
      <c r="G294" s="8" t="s">
        <v>775</v>
      </c>
      <c r="H294" s="115" t="s">
        <v>2258</v>
      </c>
      <c r="I294" s="83" t="s">
        <v>2252</v>
      </c>
    </row>
    <row r="295" ht="14.25" spans="1:11">
      <c r="A295" s="79" t="s">
        <v>2247</v>
      </c>
      <c r="B295" s="67" t="s">
        <v>2260</v>
      </c>
      <c r="C295" s="84" t="s">
        <v>2257</v>
      </c>
      <c r="D295" s="84" t="s">
        <v>2261</v>
      </c>
      <c r="E295" s="80" t="s">
        <v>1356</v>
      </c>
      <c r="F295" s="81">
        <v>1</v>
      </c>
      <c r="G295" s="8" t="s">
        <v>775</v>
      </c>
      <c r="H295" s="115" t="s">
        <v>2251</v>
      </c>
      <c r="I295" s="83" t="s">
        <v>2252</v>
      </c>
    </row>
    <row r="296" ht="14.25" spans="1:11">
      <c r="A296" s="79" t="s">
        <v>2247</v>
      </c>
      <c r="B296" s="67" t="s">
        <v>2262</v>
      </c>
      <c r="C296" s="84" t="s">
        <v>2257</v>
      </c>
      <c r="D296" s="84" t="s">
        <v>2261</v>
      </c>
      <c r="E296" s="80" t="s">
        <v>1356</v>
      </c>
      <c r="F296" s="81">
        <v>1</v>
      </c>
      <c r="G296" s="8" t="s">
        <v>775</v>
      </c>
      <c r="H296" s="115" t="s">
        <v>2251</v>
      </c>
      <c r="I296" s="83" t="s">
        <v>2252</v>
      </c>
    </row>
    <row r="297" ht="14.25" spans="1:11">
      <c r="A297" s="79" t="s">
        <v>2247</v>
      </c>
      <c r="B297" s="67" t="s">
        <v>2263</v>
      </c>
      <c r="C297" s="84" t="s">
        <v>2257</v>
      </c>
      <c r="D297" s="84" t="s">
        <v>2264</v>
      </c>
      <c r="E297" s="80" t="s">
        <v>1356</v>
      </c>
      <c r="F297" s="81">
        <v>1</v>
      </c>
      <c r="G297" s="8" t="s">
        <v>775</v>
      </c>
      <c r="H297" s="115" t="s">
        <v>2251</v>
      </c>
      <c r="I297" s="83" t="s">
        <v>2252</v>
      </c>
    </row>
    <row r="298" ht="14.25" spans="1:11">
      <c r="A298" s="79" t="s">
        <v>2247</v>
      </c>
      <c r="B298" s="67" t="s">
        <v>2265</v>
      </c>
      <c r="C298" s="84" t="s">
        <v>2257</v>
      </c>
      <c r="D298" s="84" t="s">
        <v>2266</v>
      </c>
      <c r="E298" s="80" t="s">
        <v>1356</v>
      </c>
      <c r="F298" s="81">
        <v>1</v>
      </c>
      <c r="G298" s="8" t="s">
        <v>775</v>
      </c>
      <c r="H298" s="115" t="s">
        <v>2251</v>
      </c>
      <c r="I298" s="83" t="s">
        <v>2252</v>
      </c>
    </row>
    <row r="299" ht="14.25" spans="1:11">
      <c r="A299" s="79" t="s">
        <v>2247</v>
      </c>
      <c r="B299" s="67" t="s">
        <v>2267</v>
      </c>
      <c r="C299" s="84" t="s">
        <v>2257</v>
      </c>
      <c r="D299" s="84" t="s">
        <v>2268</v>
      </c>
      <c r="E299" s="80" t="s">
        <v>1356</v>
      </c>
      <c r="F299" s="81">
        <v>1</v>
      </c>
      <c r="G299" s="8" t="s">
        <v>775</v>
      </c>
      <c r="H299" s="115" t="s">
        <v>2251</v>
      </c>
      <c r="I299" s="83" t="s">
        <v>2252</v>
      </c>
    </row>
    <row r="300" ht="14.25" spans="1:11">
      <c r="A300" s="79" t="s">
        <v>2247</v>
      </c>
      <c r="B300" s="67" t="s">
        <v>2269</v>
      </c>
      <c r="C300" s="84" t="s">
        <v>2257</v>
      </c>
      <c r="D300" s="84" t="s">
        <v>2268</v>
      </c>
      <c r="E300" s="80" t="s">
        <v>1356</v>
      </c>
      <c r="F300" s="81">
        <v>1</v>
      </c>
      <c r="G300" s="8" t="s">
        <v>775</v>
      </c>
      <c r="H300" s="115" t="s">
        <v>2251</v>
      </c>
      <c r="I300" s="83" t="s">
        <v>2252</v>
      </c>
    </row>
    <row r="301" ht="14.25" spans="1:11">
      <c r="A301" s="79" t="s">
        <v>2247</v>
      </c>
      <c r="B301" s="67" t="s">
        <v>2270</v>
      </c>
      <c r="C301" s="84" t="s">
        <v>2257</v>
      </c>
      <c r="D301" s="84" t="s">
        <v>2268</v>
      </c>
      <c r="E301" s="80" t="s">
        <v>1356</v>
      </c>
      <c r="F301" s="81">
        <v>1</v>
      </c>
      <c r="G301" s="8" t="s">
        <v>775</v>
      </c>
      <c r="H301" s="115" t="s">
        <v>2251</v>
      </c>
      <c r="I301" s="83" t="s">
        <v>2252</v>
      </c>
    </row>
    <row r="302" ht="14.25" spans="1:11">
      <c r="A302" s="79" t="s">
        <v>2247</v>
      </c>
      <c r="B302" s="67" t="s">
        <v>2271</v>
      </c>
      <c r="C302" s="84" t="s">
        <v>2257</v>
      </c>
      <c r="D302" s="84" t="s">
        <v>2268</v>
      </c>
      <c r="E302" s="80" t="s">
        <v>1356</v>
      </c>
      <c r="F302" s="81">
        <v>1</v>
      </c>
      <c r="G302" s="8" t="s">
        <v>775</v>
      </c>
      <c r="H302" s="115" t="s">
        <v>2251</v>
      </c>
      <c r="I302" s="83" t="s">
        <v>2252</v>
      </c>
    </row>
    <row r="303" ht="14.25" spans="1:11">
      <c r="A303" s="79" t="s">
        <v>2247</v>
      </c>
      <c r="B303" s="69" t="s">
        <v>2272</v>
      </c>
      <c r="C303" s="84" t="s">
        <v>2257</v>
      </c>
      <c r="D303" s="84" t="s">
        <v>499</v>
      </c>
      <c r="E303" s="80" t="s">
        <v>1356</v>
      </c>
      <c r="F303" s="81">
        <v>0</v>
      </c>
      <c r="G303" s="8" t="s">
        <v>775</v>
      </c>
      <c r="H303" s="115" t="s">
        <v>2251</v>
      </c>
      <c r="I303" s="83" t="s">
        <v>2273</v>
      </c>
    </row>
    <row r="304" ht="14.25" spans="1:11">
      <c r="A304" s="79" t="s">
        <v>2247</v>
      </c>
      <c r="B304" s="69" t="s">
        <v>2274</v>
      </c>
      <c r="C304" s="84" t="s">
        <v>2257</v>
      </c>
      <c r="D304" s="84" t="s">
        <v>499</v>
      </c>
      <c r="E304" s="80" t="s">
        <v>1356</v>
      </c>
      <c r="F304" s="81">
        <v>0</v>
      </c>
      <c r="G304" s="8" t="s">
        <v>775</v>
      </c>
      <c r="H304" s="115" t="s">
        <v>2251</v>
      </c>
      <c r="I304" s="83" t="s">
        <v>2273</v>
      </c>
    </row>
    <row r="305" spans="1:11">
      <c r="A305" s="79" t="s">
        <v>2247</v>
      </c>
      <c r="B305" s="69" t="s">
        <v>2275</v>
      </c>
      <c r="C305" s="84" t="s">
        <v>2276</v>
      </c>
      <c r="D305" s="84" t="s">
        <v>553</v>
      </c>
      <c r="E305" s="80" t="s">
        <v>1356</v>
      </c>
      <c r="F305" s="81">
        <v>0</v>
      </c>
      <c r="G305" s="8" t="s">
        <v>775</v>
      </c>
      <c r="H305" s="71" t="s">
        <v>2251</v>
      </c>
      <c r="I305" s="71" t="s">
        <v>1833</v>
      </c>
    </row>
    <row r="306" spans="1:11">
      <c r="A306" s="79" t="s">
        <v>2247</v>
      </c>
      <c r="B306" s="69" t="s">
        <v>2277</v>
      </c>
      <c r="C306" s="84" t="s">
        <v>2276</v>
      </c>
      <c r="D306" s="84" t="s">
        <v>553</v>
      </c>
      <c r="E306" s="80" t="s">
        <v>1356</v>
      </c>
      <c r="F306" s="81">
        <v>0</v>
      </c>
      <c r="G306" s="8" t="s">
        <v>775</v>
      </c>
      <c r="H306" s="71" t="s">
        <v>2251</v>
      </c>
      <c r="I306" s="71" t="s">
        <v>1833</v>
      </c>
    </row>
    <row r="307" ht="14.25" spans="1:11">
      <c r="A307" s="79" t="s">
        <v>2247</v>
      </c>
      <c r="B307" s="69" t="s">
        <v>2278</v>
      </c>
      <c r="C307" s="84" t="s">
        <v>2257</v>
      </c>
      <c r="D307" s="84" t="s">
        <v>509</v>
      </c>
      <c r="E307" s="80" t="s">
        <v>1356</v>
      </c>
      <c r="F307" s="81">
        <v>0</v>
      </c>
      <c r="G307" s="8" t="s">
        <v>775</v>
      </c>
      <c r="H307" s="115" t="s">
        <v>2258</v>
      </c>
      <c r="I307" s="83" t="s">
        <v>2279</v>
      </c>
    </row>
    <row r="308" ht="14.25" spans="1:11">
      <c r="A308" s="79" t="s">
        <v>2247</v>
      </c>
      <c r="B308" s="69" t="s">
        <v>2280</v>
      </c>
      <c r="C308" s="84" t="s">
        <v>2257</v>
      </c>
      <c r="D308" s="84" t="s">
        <v>512</v>
      </c>
      <c r="E308" s="80" t="s">
        <v>1356</v>
      </c>
      <c r="F308" s="81">
        <v>0</v>
      </c>
      <c r="G308" s="96" t="s">
        <v>775</v>
      </c>
      <c r="H308" s="115" t="s">
        <v>2258</v>
      </c>
      <c r="I308" s="83" t="s">
        <v>2279</v>
      </c>
    </row>
    <row r="309" ht="14.25" spans="1:11">
      <c r="A309" s="79" t="s">
        <v>2247</v>
      </c>
      <c r="B309" s="67" t="s">
        <v>2281</v>
      </c>
      <c r="C309" s="84" t="s">
        <v>2282</v>
      </c>
      <c r="D309" s="84" t="s">
        <v>515</v>
      </c>
      <c r="E309" s="80" t="s">
        <v>1437</v>
      </c>
      <c r="F309" s="81">
        <v>1</v>
      </c>
      <c r="G309" s="86" t="s">
        <v>381</v>
      </c>
      <c r="H309" s="115" t="s">
        <v>2258</v>
      </c>
      <c r="I309" s="83" t="s">
        <v>2252</v>
      </c>
    </row>
    <row r="310" ht="14.25" spans="1:11">
      <c r="A310" s="79" t="s">
        <v>2247</v>
      </c>
      <c r="B310" s="116" t="s">
        <v>2283</v>
      </c>
      <c r="C310" s="84" t="s">
        <v>2282</v>
      </c>
      <c r="D310" s="84" t="s">
        <v>523</v>
      </c>
      <c r="E310" s="80" t="s">
        <v>1437</v>
      </c>
      <c r="F310" s="81">
        <v>1</v>
      </c>
      <c r="G310" s="86" t="s">
        <v>381</v>
      </c>
      <c r="H310" s="115" t="s">
        <v>2258</v>
      </c>
      <c r="I310" s="83" t="s">
        <v>2252</v>
      </c>
    </row>
    <row r="311" ht="14.25" spans="1:11">
      <c r="A311" s="79" t="s">
        <v>2247</v>
      </c>
      <c r="B311" s="116" t="s">
        <v>2284</v>
      </c>
      <c r="C311" s="84" t="s">
        <v>2282</v>
      </c>
      <c r="D311" s="84" t="s">
        <v>526</v>
      </c>
      <c r="E311" s="80" t="s">
        <v>1437</v>
      </c>
      <c r="F311" s="81">
        <v>1</v>
      </c>
      <c r="G311" s="86" t="s">
        <v>381</v>
      </c>
      <c r="H311" s="115" t="s">
        <v>2258</v>
      </c>
      <c r="I311" s="83" t="s">
        <v>2252</v>
      </c>
    </row>
    <row r="312" ht="14.25" spans="1:11">
      <c r="A312" s="79" t="s">
        <v>2247</v>
      </c>
      <c r="B312" s="116" t="s">
        <v>2285</v>
      </c>
      <c r="C312" s="84" t="s">
        <v>2282</v>
      </c>
      <c r="D312" s="84" t="s">
        <v>533</v>
      </c>
      <c r="E312" s="80" t="s">
        <v>1437</v>
      </c>
      <c r="F312" s="81">
        <v>1</v>
      </c>
      <c r="G312" s="86" t="s">
        <v>381</v>
      </c>
      <c r="H312" s="115" t="s">
        <v>2258</v>
      </c>
      <c r="I312" s="83" t="s">
        <v>2252</v>
      </c>
    </row>
    <row r="313" ht="14.25" spans="1:11">
      <c r="A313" s="79" t="s">
        <v>2247</v>
      </c>
      <c r="B313" s="69" t="s">
        <v>2286</v>
      </c>
      <c r="C313" s="84" t="s">
        <v>2282</v>
      </c>
      <c r="D313" s="84" t="s">
        <v>536</v>
      </c>
      <c r="E313" s="80" t="s">
        <v>1437</v>
      </c>
      <c r="F313" s="81">
        <v>0</v>
      </c>
      <c r="G313" s="96" t="s">
        <v>775</v>
      </c>
      <c r="H313" s="115" t="s">
        <v>2258</v>
      </c>
      <c r="I313" s="83" t="s">
        <v>2273</v>
      </c>
    </row>
    <row r="314" ht="14.25" spans="1:11">
      <c r="A314" s="79" t="s">
        <v>2247</v>
      </c>
      <c r="B314" s="69" t="s">
        <v>2287</v>
      </c>
      <c r="C314" s="84" t="s">
        <v>2282</v>
      </c>
      <c r="D314" s="84" t="s">
        <v>539</v>
      </c>
      <c r="E314" s="80" t="s">
        <v>1437</v>
      </c>
      <c r="F314" s="81">
        <v>0</v>
      </c>
      <c r="G314" s="96" t="s">
        <v>775</v>
      </c>
      <c r="H314" s="115" t="s">
        <v>2258</v>
      </c>
      <c r="I314" s="83" t="s">
        <v>2273</v>
      </c>
    </row>
    <row r="315" ht="14.25" spans="1:11">
      <c r="A315" s="79" t="s">
        <v>2247</v>
      </c>
      <c r="B315" s="117" t="s">
        <v>2288</v>
      </c>
      <c r="C315" s="84" t="s">
        <v>2282</v>
      </c>
      <c r="D315" s="84" t="s">
        <v>542</v>
      </c>
      <c r="E315" s="80" t="s">
        <v>1437</v>
      </c>
      <c r="F315" s="81">
        <v>0</v>
      </c>
      <c r="G315" s="96" t="s">
        <v>775</v>
      </c>
      <c r="H315" s="115" t="s">
        <v>2251</v>
      </c>
      <c r="I315" s="83" t="s">
        <v>1733</v>
      </c>
    </row>
    <row r="316" spans="1:11">
      <c r="A316" s="79" t="s">
        <v>2247</v>
      </c>
      <c r="B316" s="69" t="s">
        <v>2289</v>
      </c>
      <c r="C316" s="84" t="s">
        <v>2276</v>
      </c>
      <c r="D316" s="84" t="s">
        <v>558</v>
      </c>
      <c r="E316" s="80" t="s">
        <v>1439</v>
      </c>
      <c r="F316" s="81">
        <v>0</v>
      </c>
      <c r="G316" s="96" t="s">
        <v>372</v>
      </c>
      <c r="H316" s="71" t="s">
        <v>2251</v>
      </c>
      <c r="I316" s="71" t="s">
        <v>1833</v>
      </c>
    </row>
    <row r="317" ht="14.25" spans="1:11">
      <c r="A317" s="79" t="s">
        <v>2247</v>
      </c>
      <c r="B317" s="69" t="s">
        <v>2290</v>
      </c>
      <c r="C317" s="84" t="s">
        <v>2276</v>
      </c>
      <c r="D317" s="84" t="s">
        <v>550</v>
      </c>
      <c r="E317" s="84" t="s">
        <v>1439</v>
      </c>
      <c r="F317" s="81">
        <v>0</v>
      </c>
      <c r="G317" s="96" t="s">
        <v>372</v>
      </c>
      <c r="H317" s="115" t="s">
        <v>2251</v>
      </c>
      <c r="I317" s="83" t="s">
        <v>1733</v>
      </c>
      <c r="J317" s="71" t="s">
        <v>2291</v>
      </c>
      <c r="K317" s="78" t="s">
        <v>26</v>
      </c>
    </row>
    <row r="318" ht="14.25" spans="1:11">
      <c r="A318" s="79" t="s">
        <v>2247</v>
      </c>
      <c r="B318" s="69" t="s">
        <v>2292</v>
      </c>
      <c r="C318" s="85" t="s">
        <v>1762</v>
      </c>
      <c r="D318" s="84" t="s">
        <v>545</v>
      </c>
      <c r="E318" s="80" t="s">
        <v>1903</v>
      </c>
      <c r="F318" s="81">
        <v>0</v>
      </c>
      <c r="G318" s="96" t="s">
        <v>372</v>
      </c>
      <c r="H318" s="115" t="s">
        <v>2251</v>
      </c>
      <c r="I318" s="83" t="s">
        <v>1733</v>
      </c>
      <c r="J318" s="71" t="s">
        <v>2293</v>
      </c>
      <c r="K318" s="78" t="s">
        <v>26</v>
      </c>
    </row>
    <row r="319" ht="14.25" spans="1:11">
      <c r="A319" s="79" t="s">
        <v>2247</v>
      </c>
      <c r="B319" s="69" t="s">
        <v>2294</v>
      </c>
      <c r="C319" s="85" t="s">
        <v>1762</v>
      </c>
      <c r="D319" s="84" t="s">
        <v>545</v>
      </c>
      <c r="E319" s="80" t="s">
        <v>1903</v>
      </c>
      <c r="F319" s="81">
        <v>0</v>
      </c>
      <c r="G319" s="96" t="s">
        <v>372</v>
      </c>
      <c r="H319" s="115" t="s">
        <v>2251</v>
      </c>
      <c r="I319" s="83" t="s">
        <v>1733</v>
      </c>
      <c r="J319" s="71" t="s">
        <v>2293</v>
      </c>
      <c r="K319" s="78" t="s">
        <v>26</v>
      </c>
    </row>
    <row r="320" ht="14.25" spans="1:11">
      <c r="A320" s="79" t="s">
        <v>2247</v>
      </c>
      <c r="B320" s="69" t="s">
        <v>2295</v>
      </c>
      <c r="C320" s="84" t="s">
        <v>2296</v>
      </c>
      <c r="D320" s="84" t="s">
        <v>673</v>
      </c>
      <c r="E320" s="80" t="s">
        <v>1437</v>
      </c>
      <c r="F320" s="81">
        <v>1</v>
      </c>
      <c r="G320" s="96" t="s">
        <v>775</v>
      </c>
      <c r="H320" s="115" t="s">
        <v>2258</v>
      </c>
      <c r="I320" s="83" t="s">
        <v>2252</v>
      </c>
      <c r="K320" s="78"/>
    </row>
    <row r="321" ht="14.25" spans="1:11">
      <c r="A321" s="79" t="s">
        <v>2247</v>
      </c>
      <c r="B321" s="69" t="s">
        <v>2297</v>
      </c>
      <c r="C321" s="84" t="s">
        <v>2296</v>
      </c>
      <c r="D321" s="84" t="s">
        <v>673</v>
      </c>
      <c r="E321" s="80" t="s">
        <v>1437</v>
      </c>
      <c r="F321" s="81">
        <v>1</v>
      </c>
      <c r="G321" s="96" t="s">
        <v>775</v>
      </c>
      <c r="H321" s="115" t="s">
        <v>2258</v>
      </c>
      <c r="I321" s="83" t="s">
        <v>2252</v>
      </c>
    </row>
    <row r="322" ht="14.25" spans="1:11">
      <c r="A322" s="79" t="s">
        <v>2247</v>
      </c>
      <c r="B322" s="67" t="s">
        <v>2298</v>
      </c>
      <c r="C322" s="84" t="s">
        <v>2296</v>
      </c>
      <c r="D322" s="84" t="s">
        <v>678</v>
      </c>
      <c r="E322" s="80" t="s">
        <v>1491</v>
      </c>
      <c r="F322" s="81">
        <v>1</v>
      </c>
      <c r="G322" s="8" t="s">
        <v>775</v>
      </c>
      <c r="H322" s="118" t="s">
        <v>2299</v>
      </c>
      <c r="I322" s="78" t="s">
        <v>1733</v>
      </c>
      <c r="J322" s="78" t="s">
        <v>2300</v>
      </c>
      <c r="K322" s="71" t="s">
        <v>26</v>
      </c>
    </row>
    <row r="323" ht="14.25" spans="1:11">
      <c r="A323" s="79" t="s">
        <v>2247</v>
      </c>
      <c r="B323" s="67" t="s">
        <v>2301</v>
      </c>
      <c r="C323" s="84" t="s">
        <v>2296</v>
      </c>
      <c r="D323" s="84" t="s">
        <v>678</v>
      </c>
      <c r="E323" s="80" t="s">
        <v>102</v>
      </c>
      <c r="F323" s="81">
        <v>1</v>
      </c>
      <c r="G323" s="8" t="s">
        <v>775</v>
      </c>
      <c r="H323" s="118" t="s">
        <v>2299</v>
      </c>
      <c r="I323" s="78" t="s">
        <v>1733</v>
      </c>
      <c r="J323" s="78" t="s">
        <v>2302</v>
      </c>
      <c r="K323" s="71" t="s">
        <v>26</v>
      </c>
    </row>
    <row r="324" ht="14.25" spans="1:11">
      <c r="A324" s="79" t="s">
        <v>2247</v>
      </c>
      <c r="B324" s="69" t="s">
        <v>2303</v>
      </c>
      <c r="C324" s="84" t="s">
        <v>2304</v>
      </c>
      <c r="D324" s="84" t="s">
        <v>658</v>
      </c>
      <c r="E324" s="80" t="s">
        <v>1860</v>
      </c>
      <c r="F324" s="81">
        <v>0</v>
      </c>
      <c r="G324" s="8" t="s">
        <v>775</v>
      </c>
      <c r="H324" s="118" t="s">
        <v>2305</v>
      </c>
      <c r="I324" s="78" t="s">
        <v>1733</v>
      </c>
      <c r="J324" s="119" t="s">
        <v>2306</v>
      </c>
      <c r="K324" s="71" t="s">
        <v>26</v>
      </c>
    </row>
    <row r="325" ht="14.25" spans="1:11">
      <c r="A325" s="79" t="s">
        <v>2247</v>
      </c>
      <c r="B325" s="69" t="s">
        <v>2307</v>
      </c>
      <c r="C325" s="84" t="s">
        <v>2304</v>
      </c>
      <c r="D325" s="84" t="s">
        <v>661</v>
      </c>
      <c r="E325" s="80" t="s">
        <v>1860</v>
      </c>
      <c r="F325" s="81">
        <v>0</v>
      </c>
      <c r="G325" s="8" t="s">
        <v>775</v>
      </c>
      <c r="H325" s="118" t="s">
        <v>2305</v>
      </c>
      <c r="I325" s="78" t="s">
        <v>1733</v>
      </c>
      <c r="J325" s="71" t="s">
        <v>2308</v>
      </c>
      <c r="K325" s="71" t="s">
        <v>26</v>
      </c>
    </row>
    <row r="326" spans="1:11">
      <c r="A326" s="79" t="s">
        <v>2247</v>
      </c>
      <c r="B326" s="67" t="s">
        <v>2309</v>
      </c>
      <c r="C326" s="84" t="s">
        <v>2304</v>
      </c>
      <c r="D326" s="84" t="s">
        <v>664</v>
      </c>
      <c r="E326" s="80" t="s">
        <v>1439</v>
      </c>
      <c r="F326" s="81">
        <v>1</v>
      </c>
      <c r="G326" s="8" t="s">
        <v>372</v>
      </c>
      <c r="H326" s="78" t="s">
        <v>2310</v>
      </c>
      <c r="I326" s="78" t="s">
        <v>1733</v>
      </c>
      <c r="J326" s="78" t="s">
        <v>2311</v>
      </c>
      <c r="K326" s="78" t="s">
        <v>26</v>
      </c>
    </row>
    <row r="327" spans="1:11">
      <c r="A327" s="79" t="s">
        <v>2247</v>
      </c>
      <c r="B327" s="69" t="s">
        <v>2312</v>
      </c>
      <c r="C327" s="84" t="s">
        <v>2313</v>
      </c>
      <c r="D327" s="84" t="s">
        <v>570</v>
      </c>
      <c r="E327" s="80" t="s">
        <v>1377</v>
      </c>
      <c r="F327" s="81">
        <v>0</v>
      </c>
      <c r="G327" s="89"/>
    </row>
    <row r="328" spans="1:11">
      <c r="A328" s="79" t="s">
        <v>2247</v>
      </c>
      <c r="B328" s="69" t="s">
        <v>2314</v>
      </c>
      <c r="C328" s="84" t="s">
        <v>2313</v>
      </c>
      <c r="D328" s="84" t="s">
        <v>570</v>
      </c>
      <c r="E328" s="80" t="s">
        <v>1377</v>
      </c>
      <c r="F328" s="81">
        <v>0</v>
      </c>
      <c r="G328" s="89"/>
    </row>
    <row r="329" spans="1:11">
      <c r="A329" s="79" t="s">
        <v>2247</v>
      </c>
      <c r="B329" s="69" t="s">
        <v>2315</v>
      </c>
      <c r="C329" s="84" t="s">
        <v>2313</v>
      </c>
      <c r="D329" s="84" t="s">
        <v>570</v>
      </c>
      <c r="E329" s="80" t="s">
        <v>1377</v>
      </c>
      <c r="F329" s="81">
        <v>0</v>
      </c>
      <c r="G329" s="89"/>
    </row>
    <row r="330" spans="1:11">
      <c r="A330" s="79" t="s">
        <v>2247</v>
      </c>
      <c r="B330" s="69" t="s">
        <v>2316</v>
      </c>
      <c r="C330" s="84" t="s">
        <v>2313</v>
      </c>
      <c r="D330" s="84" t="s">
        <v>570</v>
      </c>
      <c r="E330" s="80" t="s">
        <v>1377</v>
      </c>
      <c r="F330" s="81">
        <v>0</v>
      </c>
      <c r="G330" s="89"/>
    </row>
    <row r="331" spans="1:11">
      <c r="A331" s="79" t="s">
        <v>2247</v>
      </c>
      <c r="B331" s="67" t="s">
        <v>2317</v>
      </c>
      <c r="C331" s="85" t="s">
        <v>1762</v>
      </c>
      <c r="D331" s="84" t="s">
        <v>585</v>
      </c>
      <c r="E331" s="80" t="s">
        <v>1903</v>
      </c>
      <c r="F331" s="81">
        <v>1</v>
      </c>
      <c r="G331" s="96" t="s">
        <v>372</v>
      </c>
      <c r="H331" s="78" t="s">
        <v>2310</v>
      </c>
      <c r="I331" s="78" t="s">
        <v>1733</v>
      </c>
      <c r="J331" s="78" t="s">
        <v>2318</v>
      </c>
      <c r="K331" s="78" t="s">
        <v>26</v>
      </c>
    </row>
    <row r="332" spans="1:11">
      <c r="A332" s="79" t="s">
        <v>2247</v>
      </c>
      <c r="B332" s="67" t="s">
        <v>2319</v>
      </c>
      <c r="C332" s="85" t="s">
        <v>1762</v>
      </c>
      <c r="D332" s="84" t="s">
        <v>585</v>
      </c>
      <c r="E332" s="80" t="s">
        <v>1903</v>
      </c>
      <c r="F332" s="81">
        <v>1</v>
      </c>
      <c r="G332" s="96" t="s">
        <v>372</v>
      </c>
      <c r="H332" s="78" t="s">
        <v>2310</v>
      </c>
      <c r="I332" s="78" t="s">
        <v>1733</v>
      </c>
      <c r="J332" s="78" t="s">
        <v>2318</v>
      </c>
      <c r="K332" s="78" t="s">
        <v>26</v>
      </c>
    </row>
    <row r="333" spans="1:11">
      <c r="A333" s="79" t="s">
        <v>2247</v>
      </c>
      <c r="B333" s="67" t="s">
        <v>2320</v>
      </c>
      <c r="C333" s="85" t="s">
        <v>1762</v>
      </c>
      <c r="D333" s="84" t="s">
        <v>585</v>
      </c>
      <c r="E333" s="80" t="s">
        <v>1903</v>
      </c>
      <c r="F333" s="81">
        <v>1</v>
      </c>
      <c r="G333" s="96" t="s">
        <v>372</v>
      </c>
      <c r="H333" s="78" t="s">
        <v>2310</v>
      </c>
      <c r="I333" s="78" t="s">
        <v>1733</v>
      </c>
      <c r="J333" s="78" t="s">
        <v>2318</v>
      </c>
      <c r="K333" s="78" t="s">
        <v>26</v>
      </c>
    </row>
    <row r="334" spans="1:11">
      <c r="A334" s="79" t="s">
        <v>2247</v>
      </c>
      <c r="B334" s="67" t="s">
        <v>2321</v>
      </c>
      <c r="C334" s="85" t="s">
        <v>1762</v>
      </c>
      <c r="D334" s="84" t="s">
        <v>585</v>
      </c>
      <c r="E334" s="80" t="s">
        <v>1903</v>
      </c>
      <c r="F334" s="81">
        <v>1</v>
      </c>
      <c r="G334" s="96" t="s">
        <v>372</v>
      </c>
      <c r="H334" s="78" t="s">
        <v>2310</v>
      </c>
      <c r="I334" s="78" t="s">
        <v>1733</v>
      </c>
      <c r="J334" s="78" t="s">
        <v>2318</v>
      </c>
      <c r="K334" s="78" t="s">
        <v>26</v>
      </c>
    </row>
    <row r="335" ht="40.5" spans="1:11">
      <c r="A335" s="79" t="s">
        <v>2247</v>
      </c>
      <c r="B335" s="120" t="s">
        <v>2322</v>
      </c>
      <c r="C335" s="84" t="s">
        <v>2313</v>
      </c>
      <c r="D335" s="84" t="s">
        <v>579</v>
      </c>
      <c r="E335" s="80" t="s">
        <v>1491</v>
      </c>
      <c r="F335" s="81">
        <v>1</v>
      </c>
      <c r="G335" s="8" t="s">
        <v>775</v>
      </c>
      <c r="H335" s="118" t="s">
        <v>2299</v>
      </c>
      <c r="I335" s="78" t="s">
        <v>1733</v>
      </c>
      <c r="J335" s="82" t="s">
        <v>2323</v>
      </c>
      <c r="K335" s="78" t="s">
        <v>26</v>
      </c>
    </row>
    <row r="336" ht="14.25" spans="1:11">
      <c r="A336" s="79" t="s">
        <v>2247</v>
      </c>
      <c r="B336" s="67" t="s">
        <v>2324</v>
      </c>
      <c r="C336" s="84" t="s">
        <v>2313</v>
      </c>
      <c r="D336" s="84" t="s">
        <v>582</v>
      </c>
      <c r="E336" s="80" t="s">
        <v>1840</v>
      </c>
      <c r="F336" s="81">
        <v>1</v>
      </c>
      <c r="G336" s="8" t="s">
        <v>775</v>
      </c>
      <c r="H336" s="118" t="s">
        <v>2299</v>
      </c>
      <c r="I336" s="78" t="s">
        <v>1733</v>
      </c>
      <c r="J336" s="78" t="s">
        <v>2325</v>
      </c>
      <c r="K336" s="78" t="s">
        <v>26</v>
      </c>
    </row>
    <row r="337" ht="14.25" spans="1:9">
      <c r="A337" s="79" t="s">
        <v>2247</v>
      </c>
      <c r="B337" s="67" t="s">
        <v>2326</v>
      </c>
      <c r="C337" s="85" t="s">
        <v>1762</v>
      </c>
      <c r="D337" s="84" t="s">
        <v>2327</v>
      </c>
      <c r="E337" s="80" t="s">
        <v>1356</v>
      </c>
      <c r="F337" s="81">
        <v>1</v>
      </c>
      <c r="G337" s="8" t="s">
        <v>775</v>
      </c>
      <c r="H337" s="115" t="s">
        <v>2258</v>
      </c>
      <c r="I337" s="83" t="s">
        <v>2252</v>
      </c>
    </row>
    <row r="338" ht="14.25" spans="1:9">
      <c r="A338" s="79" t="s">
        <v>2247</v>
      </c>
      <c r="B338" s="67" t="s">
        <v>2328</v>
      </c>
      <c r="C338" s="85" t="s">
        <v>1762</v>
      </c>
      <c r="D338" s="84" t="s">
        <v>2327</v>
      </c>
      <c r="E338" s="80" t="s">
        <v>1356</v>
      </c>
      <c r="F338" s="81">
        <v>1</v>
      </c>
      <c r="G338" s="8" t="s">
        <v>775</v>
      </c>
      <c r="H338" s="115" t="s">
        <v>2258</v>
      </c>
      <c r="I338" s="83" t="s">
        <v>2252</v>
      </c>
    </row>
    <row r="339" ht="14.25" spans="1:9">
      <c r="A339" s="79" t="s">
        <v>2247</v>
      </c>
      <c r="B339" s="67" t="s">
        <v>2329</v>
      </c>
      <c r="C339" s="85" t="s">
        <v>1762</v>
      </c>
      <c r="D339" s="84" t="s">
        <v>2330</v>
      </c>
      <c r="E339" s="80" t="s">
        <v>1356</v>
      </c>
      <c r="F339" s="81">
        <v>1</v>
      </c>
      <c r="G339" s="8" t="s">
        <v>775</v>
      </c>
      <c r="H339" s="115" t="s">
        <v>2258</v>
      </c>
      <c r="I339" s="83" t="s">
        <v>2252</v>
      </c>
    </row>
    <row r="340" ht="14.25" spans="1:9">
      <c r="A340" s="79" t="s">
        <v>2247</v>
      </c>
      <c r="B340" s="67" t="s">
        <v>2331</v>
      </c>
      <c r="C340" s="85" t="s">
        <v>1762</v>
      </c>
      <c r="D340" s="84" t="s">
        <v>2330</v>
      </c>
      <c r="E340" s="80" t="s">
        <v>1356</v>
      </c>
      <c r="F340" s="81">
        <v>1</v>
      </c>
      <c r="G340" s="8" t="s">
        <v>775</v>
      </c>
      <c r="H340" s="115" t="s">
        <v>2258</v>
      </c>
      <c r="I340" s="83" t="s">
        <v>2252</v>
      </c>
    </row>
    <row r="341" ht="14.25" spans="1:9">
      <c r="A341" s="79" t="s">
        <v>2247</v>
      </c>
      <c r="B341" s="69" t="s">
        <v>2332</v>
      </c>
      <c r="C341" s="84" t="s">
        <v>2257</v>
      </c>
      <c r="D341" s="84" t="s">
        <v>504</v>
      </c>
      <c r="E341" s="80" t="s">
        <v>1356</v>
      </c>
      <c r="F341" s="81">
        <v>0</v>
      </c>
      <c r="G341" s="96" t="s">
        <v>775</v>
      </c>
      <c r="H341" s="115" t="s">
        <v>2251</v>
      </c>
      <c r="I341" s="83" t="s">
        <v>2273</v>
      </c>
    </row>
    <row r="342" ht="14.25" spans="1:9">
      <c r="A342" s="79" t="s">
        <v>2247</v>
      </c>
      <c r="B342" s="69" t="s">
        <v>2333</v>
      </c>
      <c r="C342" s="84" t="s">
        <v>2257</v>
      </c>
      <c r="D342" s="84" t="s">
        <v>504</v>
      </c>
      <c r="E342" s="80" t="s">
        <v>1356</v>
      </c>
      <c r="F342" s="81">
        <v>0</v>
      </c>
      <c r="G342" s="96" t="s">
        <v>775</v>
      </c>
      <c r="H342" s="115" t="s">
        <v>2251</v>
      </c>
      <c r="I342" s="83" t="s">
        <v>2273</v>
      </c>
    </row>
    <row r="343" ht="14.25" spans="1:9">
      <c r="A343" s="79" t="s">
        <v>2247</v>
      </c>
      <c r="B343" s="120" t="s">
        <v>2334</v>
      </c>
      <c r="C343" s="85" t="s">
        <v>1762</v>
      </c>
      <c r="D343" s="84" t="s">
        <v>673</v>
      </c>
      <c r="E343" s="80" t="s">
        <v>1356</v>
      </c>
      <c r="F343" s="81">
        <v>1</v>
      </c>
      <c r="G343" s="8" t="s">
        <v>775</v>
      </c>
      <c r="H343" s="115" t="s">
        <v>2258</v>
      </c>
      <c r="I343" s="83" t="s">
        <v>2252</v>
      </c>
    </row>
    <row r="344" ht="14.25" spans="1:9">
      <c r="A344" s="79" t="s">
        <v>2247</v>
      </c>
      <c r="B344" s="120" t="s">
        <v>2335</v>
      </c>
      <c r="C344" s="85" t="s">
        <v>1762</v>
      </c>
      <c r="D344" s="84" t="s">
        <v>673</v>
      </c>
      <c r="E344" s="80" t="s">
        <v>1356</v>
      </c>
      <c r="F344" s="81">
        <v>1</v>
      </c>
      <c r="G344" s="8" t="s">
        <v>775</v>
      </c>
      <c r="H344" s="115" t="s">
        <v>2258</v>
      </c>
      <c r="I344" s="83" t="s">
        <v>2252</v>
      </c>
    </row>
    <row r="345" ht="14.25" spans="1:9">
      <c r="A345" s="79" t="s">
        <v>2247</v>
      </c>
      <c r="B345" s="121" t="s">
        <v>2336</v>
      </c>
      <c r="C345" s="85" t="s">
        <v>1762</v>
      </c>
      <c r="D345" s="84" t="s">
        <v>673</v>
      </c>
      <c r="E345" s="80" t="s">
        <v>1356</v>
      </c>
      <c r="F345" s="81">
        <v>1</v>
      </c>
      <c r="G345" s="96" t="s">
        <v>775</v>
      </c>
      <c r="H345" s="115" t="s">
        <v>2258</v>
      </c>
      <c r="I345" s="83" t="s">
        <v>2252</v>
      </c>
    </row>
    <row r="346" ht="14.25" spans="1:9">
      <c r="A346" s="79" t="s">
        <v>2247</v>
      </c>
      <c r="B346" s="121" t="s">
        <v>2337</v>
      </c>
      <c r="C346" s="85" t="s">
        <v>1762</v>
      </c>
      <c r="D346" s="84" t="s">
        <v>673</v>
      </c>
      <c r="E346" s="80" t="s">
        <v>1356</v>
      </c>
      <c r="F346" s="81">
        <v>1</v>
      </c>
      <c r="G346" s="96" t="s">
        <v>775</v>
      </c>
      <c r="H346" s="115" t="s">
        <v>2258</v>
      </c>
      <c r="I346" s="83" t="s">
        <v>2252</v>
      </c>
    </row>
    <row r="347" ht="14.25" spans="1:9">
      <c r="A347" s="79" t="s">
        <v>2247</v>
      </c>
      <c r="B347" s="120" t="s">
        <v>2338</v>
      </c>
      <c r="C347" s="85" t="s">
        <v>1762</v>
      </c>
      <c r="D347" s="84" t="s">
        <v>673</v>
      </c>
      <c r="E347" s="80" t="s">
        <v>1356</v>
      </c>
      <c r="F347" s="81">
        <v>1</v>
      </c>
      <c r="G347" s="8" t="s">
        <v>775</v>
      </c>
      <c r="H347" s="115" t="s">
        <v>2258</v>
      </c>
      <c r="I347" s="83" t="s">
        <v>2252</v>
      </c>
    </row>
    <row r="348" ht="14.25" spans="1:9">
      <c r="A348" s="79" t="s">
        <v>2247</v>
      </c>
      <c r="B348" s="120" t="s">
        <v>2339</v>
      </c>
      <c r="C348" s="85" t="s">
        <v>1762</v>
      </c>
      <c r="D348" s="84" t="s">
        <v>673</v>
      </c>
      <c r="E348" s="80" t="s">
        <v>1356</v>
      </c>
      <c r="F348" s="81">
        <v>1</v>
      </c>
      <c r="G348" s="8" t="s">
        <v>775</v>
      </c>
      <c r="H348" s="115" t="s">
        <v>2258</v>
      </c>
      <c r="I348" s="83" t="s">
        <v>2252</v>
      </c>
    </row>
    <row r="349" ht="14.25" spans="1:9">
      <c r="A349" s="79" t="s">
        <v>2247</v>
      </c>
      <c r="B349" s="121" t="s">
        <v>2340</v>
      </c>
      <c r="C349" s="85" t="s">
        <v>1762</v>
      </c>
      <c r="D349" s="84" t="s">
        <v>673</v>
      </c>
      <c r="E349" s="80" t="s">
        <v>1356</v>
      </c>
      <c r="F349" s="81">
        <v>1</v>
      </c>
      <c r="G349" s="96" t="s">
        <v>775</v>
      </c>
      <c r="H349" s="115" t="s">
        <v>2258</v>
      </c>
      <c r="I349" s="83" t="s">
        <v>2252</v>
      </c>
    </row>
    <row r="350" ht="14.25" spans="1:9">
      <c r="A350" s="79" t="s">
        <v>2247</v>
      </c>
      <c r="B350" s="121" t="s">
        <v>2341</v>
      </c>
      <c r="C350" s="85" t="s">
        <v>1762</v>
      </c>
      <c r="D350" s="84" t="s">
        <v>673</v>
      </c>
      <c r="E350" s="80" t="s">
        <v>1356</v>
      </c>
      <c r="F350" s="81">
        <v>1</v>
      </c>
      <c r="G350" s="96" t="s">
        <v>775</v>
      </c>
      <c r="H350" s="115" t="s">
        <v>2258</v>
      </c>
      <c r="I350" s="83" t="s">
        <v>2252</v>
      </c>
    </row>
    <row r="351" ht="14.25" spans="1:9">
      <c r="A351" s="79" t="s">
        <v>2247</v>
      </c>
      <c r="B351" s="120" t="s">
        <v>2342</v>
      </c>
      <c r="C351" s="85" t="s">
        <v>1762</v>
      </c>
      <c r="D351" s="84" t="s">
        <v>673</v>
      </c>
      <c r="E351" s="80" t="s">
        <v>1437</v>
      </c>
      <c r="F351" s="81">
        <v>1</v>
      </c>
      <c r="G351" s="8" t="s">
        <v>775</v>
      </c>
      <c r="H351" s="115" t="s">
        <v>2258</v>
      </c>
      <c r="I351" s="83" t="s">
        <v>2252</v>
      </c>
    </row>
    <row r="352" ht="14.25" spans="1:9">
      <c r="A352" s="79" t="s">
        <v>2247</v>
      </c>
      <c r="B352" s="120" t="s">
        <v>2343</v>
      </c>
      <c r="C352" s="85" t="s">
        <v>1762</v>
      </c>
      <c r="D352" s="84" t="s">
        <v>673</v>
      </c>
      <c r="E352" s="80" t="s">
        <v>1437</v>
      </c>
      <c r="F352" s="81">
        <v>1</v>
      </c>
      <c r="G352" s="8" t="s">
        <v>775</v>
      </c>
      <c r="H352" s="115" t="s">
        <v>2258</v>
      </c>
      <c r="I352" s="83" t="s">
        <v>2252</v>
      </c>
    </row>
    <row r="353" ht="14.25" spans="1:11">
      <c r="A353" s="79" t="s">
        <v>2247</v>
      </c>
      <c r="B353" s="120" t="s">
        <v>2344</v>
      </c>
      <c r="C353" s="85" t="s">
        <v>1762</v>
      </c>
      <c r="D353" s="84" t="s">
        <v>673</v>
      </c>
      <c r="E353" s="80" t="s">
        <v>1437</v>
      </c>
      <c r="F353" s="81">
        <v>1</v>
      </c>
      <c r="G353" s="8" t="s">
        <v>775</v>
      </c>
      <c r="H353" s="115" t="s">
        <v>2258</v>
      </c>
      <c r="I353" s="83" t="s">
        <v>2252</v>
      </c>
    </row>
    <row r="354" ht="14.25" spans="1:11">
      <c r="A354" s="79" t="s">
        <v>2247</v>
      </c>
      <c r="B354" s="120" t="s">
        <v>2345</v>
      </c>
      <c r="C354" s="85" t="s">
        <v>1762</v>
      </c>
      <c r="D354" s="84" t="s">
        <v>673</v>
      </c>
      <c r="E354" s="80" t="s">
        <v>1437</v>
      </c>
      <c r="F354" s="81">
        <v>1</v>
      </c>
      <c r="G354" s="8" t="s">
        <v>775</v>
      </c>
      <c r="H354" s="115" t="s">
        <v>2258</v>
      </c>
      <c r="I354" s="83" t="s">
        <v>2252</v>
      </c>
    </row>
    <row r="355" spans="1:11">
      <c r="A355" s="79" t="s">
        <v>2247</v>
      </c>
      <c r="B355" s="69" t="s">
        <v>2346</v>
      </c>
      <c r="C355" s="67" t="s">
        <v>1817</v>
      </c>
      <c r="D355" s="84" t="s">
        <v>561</v>
      </c>
      <c r="E355" s="80" t="s">
        <v>1491</v>
      </c>
      <c r="F355" s="81">
        <v>0</v>
      </c>
      <c r="G355" s="89" t="s">
        <v>775</v>
      </c>
      <c r="H355" s="115" t="s">
        <v>2258</v>
      </c>
      <c r="I355" s="71" t="s">
        <v>1733</v>
      </c>
      <c r="J355" s="71" t="s">
        <v>2347</v>
      </c>
      <c r="K355" s="71" t="s">
        <v>26</v>
      </c>
    </row>
    <row r="356" spans="1:11">
      <c r="A356" s="79" t="s">
        <v>2247</v>
      </c>
      <c r="B356" s="69" t="s">
        <v>2348</v>
      </c>
      <c r="C356" s="67" t="s">
        <v>1817</v>
      </c>
      <c r="D356" s="84" t="s">
        <v>565</v>
      </c>
      <c r="E356" s="80" t="s">
        <v>1491</v>
      </c>
      <c r="F356" s="81">
        <v>0</v>
      </c>
      <c r="G356" s="89" t="s">
        <v>775</v>
      </c>
      <c r="H356" s="115" t="s">
        <v>2258</v>
      </c>
      <c r="I356" s="71" t="s">
        <v>1733</v>
      </c>
      <c r="J356" s="71" t="s">
        <v>2347</v>
      </c>
      <c r="K356" s="71" t="s">
        <v>26</v>
      </c>
    </row>
    <row r="357" spans="1:11">
      <c r="A357" s="79" t="s">
        <v>2247</v>
      </c>
      <c r="B357" s="69" t="s">
        <v>2349</v>
      </c>
      <c r="C357" s="67" t="s">
        <v>1817</v>
      </c>
      <c r="D357" s="84" t="s">
        <v>565</v>
      </c>
      <c r="E357" s="80" t="s">
        <v>1491</v>
      </c>
      <c r="F357" s="81">
        <v>0</v>
      </c>
      <c r="G357" s="89" t="s">
        <v>775</v>
      </c>
      <c r="H357" s="115" t="s">
        <v>2258</v>
      </c>
      <c r="I357" s="71" t="s">
        <v>1733</v>
      </c>
      <c r="J357" s="71" t="s">
        <v>2347</v>
      </c>
      <c r="K357" s="71" t="s">
        <v>26</v>
      </c>
    </row>
    <row r="358" ht="14.25" spans="1:11">
      <c r="A358" s="79" t="s">
        <v>2247</v>
      </c>
      <c r="B358" s="67" t="s">
        <v>2350</v>
      </c>
      <c r="C358" s="85" t="s">
        <v>1762</v>
      </c>
      <c r="D358" s="84" t="s">
        <v>667</v>
      </c>
      <c r="E358" s="80" t="s">
        <v>1437</v>
      </c>
      <c r="F358" s="81">
        <v>1</v>
      </c>
      <c r="G358" s="8" t="s">
        <v>775</v>
      </c>
      <c r="H358" s="118" t="s">
        <v>2351</v>
      </c>
      <c r="I358" s="83" t="s">
        <v>2252</v>
      </c>
      <c r="J358" s="78" t="s">
        <v>2352</v>
      </c>
      <c r="K358" s="78" t="s">
        <v>26</v>
      </c>
    </row>
    <row r="359" ht="14.25" spans="1:11">
      <c r="A359" s="79" t="s">
        <v>2247</v>
      </c>
      <c r="B359" s="67" t="s">
        <v>2353</v>
      </c>
      <c r="C359" s="85" t="s">
        <v>1762</v>
      </c>
      <c r="D359" s="84" t="s">
        <v>670</v>
      </c>
      <c r="E359" s="80" t="s">
        <v>1437</v>
      </c>
      <c r="F359" s="81">
        <v>1</v>
      </c>
      <c r="G359" s="8" t="s">
        <v>775</v>
      </c>
      <c r="H359" s="118" t="s">
        <v>2354</v>
      </c>
      <c r="I359" s="83" t="s">
        <v>2252</v>
      </c>
      <c r="J359" s="78" t="s">
        <v>2355</v>
      </c>
      <c r="K359" s="78" t="s">
        <v>26</v>
      </c>
    </row>
    <row r="360" ht="14.25" spans="1:11">
      <c r="A360" s="79" t="s">
        <v>2247</v>
      </c>
      <c r="B360" s="67" t="s">
        <v>2356</v>
      </c>
      <c r="C360" s="85" t="s">
        <v>1762</v>
      </c>
      <c r="D360" s="84" t="s">
        <v>603</v>
      </c>
      <c r="E360" s="80" t="s">
        <v>1356</v>
      </c>
      <c r="F360" s="81">
        <v>1</v>
      </c>
      <c r="G360" s="8" t="s">
        <v>775</v>
      </c>
      <c r="H360" s="115" t="s">
        <v>2258</v>
      </c>
      <c r="I360" s="83" t="s">
        <v>2252</v>
      </c>
    </row>
    <row r="361" ht="14.25" spans="1:11">
      <c r="A361" s="79" t="s">
        <v>2247</v>
      </c>
      <c r="B361" s="67" t="s">
        <v>2357</v>
      </c>
      <c r="C361" s="85" t="s">
        <v>1762</v>
      </c>
      <c r="D361" s="84" t="s">
        <v>603</v>
      </c>
      <c r="E361" s="80" t="s">
        <v>1356</v>
      </c>
      <c r="F361" s="81">
        <v>1</v>
      </c>
      <c r="G361" s="8" t="s">
        <v>775</v>
      </c>
      <c r="H361" s="115" t="s">
        <v>2258</v>
      </c>
      <c r="I361" s="83" t="s">
        <v>2252</v>
      </c>
    </row>
    <row r="362" ht="14.25" spans="1:11">
      <c r="A362" s="79" t="s">
        <v>2247</v>
      </c>
      <c r="B362" s="67" t="s">
        <v>2358</v>
      </c>
      <c r="C362" s="85" t="s">
        <v>1762</v>
      </c>
      <c r="D362" s="84" t="s">
        <v>603</v>
      </c>
      <c r="E362" s="80" t="s">
        <v>1356</v>
      </c>
      <c r="F362" s="81">
        <v>1</v>
      </c>
      <c r="G362" s="8" t="s">
        <v>775</v>
      </c>
      <c r="H362" s="115" t="s">
        <v>2258</v>
      </c>
      <c r="I362" s="83" t="s">
        <v>2252</v>
      </c>
    </row>
    <row r="363" ht="14.25" spans="1:11">
      <c r="A363" s="79" t="s">
        <v>2247</v>
      </c>
      <c r="B363" s="67" t="s">
        <v>2359</v>
      </c>
      <c r="C363" s="85" t="s">
        <v>1762</v>
      </c>
      <c r="D363" s="84" t="s">
        <v>603</v>
      </c>
      <c r="E363" s="80" t="s">
        <v>1356</v>
      </c>
      <c r="F363" s="81">
        <v>1</v>
      </c>
      <c r="G363" s="8" t="s">
        <v>775</v>
      </c>
      <c r="H363" s="115" t="s">
        <v>2258</v>
      </c>
      <c r="I363" s="83" t="s">
        <v>2252</v>
      </c>
    </row>
    <row r="364" ht="14.25" spans="1:11">
      <c r="A364" s="79" t="s">
        <v>2247</v>
      </c>
      <c r="B364" s="67" t="s">
        <v>2360</v>
      </c>
      <c r="C364" s="85" t="s">
        <v>1762</v>
      </c>
      <c r="D364" s="84" t="s">
        <v>621</v>
      </c>
      <c r="E364" s="80" t="s">
        <v>1437</v>
      </c>
      <c r="F364" s="81">
        <v>1</v>
      </c>
      <c r="G364" s="8" t="s">
        <v>775</v>
      </c>
      <c r="H364" s="115" t="s">
        <v>2258</v>
      </c>
      <c r="I364" s="83" t="s">
        <v>2252</v>
      </c>
    </row>
    <row r="365" ht="14.25" spans="1:11">
      <c r="A365" s="79" t="s">
        <v>2247</v>
      </c>
      <c r="B365" s="67" t="s">
        <v>2361</v>
      </c>
      <c r="C365" s="85" t="s">
        <v>1762</v>
      </c>
      <c r="D365" s="84" t="s">
        <v>621</v>
      </c>
      <c r="E365" s="80" t="s">
        <v>1437</v>
      </c>
      <c r="F365" s="81">
        <v>1</v>
      </c>
      <c r="G365" s="8" t="s">
        <v>775</v>
      </c>
      <c r="H365" s="115" t="s">
        <v>2258</v>
      </c>
      <c r="I365" s="83" t="s">
        <v>2252</v>
      </c>
    </row>
    <row r="366" ht="14.25" spans="1:11">
      <c r="A366" s="79" t="s">
        <v>2247</v>
      </c>
      <c r="B366" s="67" t="s">
        <v>2362</v>
      </c>
      <c r="C366" s="85" t="s">
        <v>1762</v>
      </c>
      <c r="D366" s="84" t="s">
        <v>594</v>
      </c>
      <c r="E366" s="80" t="s">
        <v>1356</v>
      </c>
      <c r="F366" s="81">
        <v>1</v>
      </c>
      <c r="G366" s="8" t="s">
        <v>775</v>
      </c>
      <c r="H366" s="115" t="s">
        <v>2258</v>
      </c>
      <c r="I366" s="83" t="s">
        <v>2252</v>
      </c>
    </row>
    <row r="367" ht="14.25" spans="1:11">
      <c r="A367" s="79" t="s">
        <v>2247</v>
      </c>
      <c r="B367" s="67" t="s">
        <v>2363</v>
      </c>
      <c r="C367" s="85" t="s">
        <v>1762</v>
      </c>
      <c r="D367" s="84" t="s">
        <v>594</v>
      </c>
      <c r="E367" s="80" t="s">
        <v>1356</v>
      </c>
      <c r="F367" s="81">
        <v>1</v>
      </c>
      <c r="G367" s="8" t="s">
        <v>775</v>
      </c>
      <c r="H367" s="115" t="s">
        <v>2258</v>
      </c>
      <c r="I367" s="83" t="s">
        <v>2252</v>
      </c>
    </row>
    <row r="368" ht="14.25" spans="1:11">
      <c r="A368" s="79" t="s">
        <v>2247</v>
      </c>
      <c r="B368" s="67" t="s">
        <v>2364</v>
      </c>
      <c r="C368" s="85" t="s">
        <v>1762</v>
      </c>
      <c r="D368" s="84" t="s">
        <v>594</v>
      </c>
      <c r="E368" s="80" t="s">
        <v>1356</v>
      </c>
      <c r="F368" s="81">
        <v>1</v>
      </c>
      <c r="G368" s="8" t="s">
        <v>775</v>
      </c>
      <c r="H368" s="115" t="s">
        <v>2258</v>
      </c>
      <c r="I368" s="83" t="s">
        <v>2252</v>
      </c>
    </row>
    <row r="369" ht="14.25" spans="1:11">
      <c r="A369" s="79" t="s">
        <v>2247</v>
      </c>
      <c r="B369" s="67" t="s">
        <v>2365</v>
      </c>
      <c r="C369" s="85" t="s">
        <v>1762</v>
      </c>
      <c r="D369" s="84" t="s">
        <v>594</v>
      </c>
      <c r="E369" s="80" t="s">
        <v>1356</v>
      </c>
      <c r="F369" s="81">
        <v>1</v>
      </c>
      <c r="G369" s="8" t="s">
        <v>775</v>
      </c>
      <c r="H369" s="115" t="s">
        <v>2258</v>
      </c>
      <c r="I369" s="83" t="s">
        <v>2252</v>
      </c>
    </row>
    <row r="370" ht="14.25" spans="1:11">
      <c r="A370" s="79" t="s">
        <v>2247</v>
      </c>
      <c r="B370" s="67" t="s">
        <v>2366</v>
      </c>
      <c r="C370" s="85" t="s">
        <v>1762</v>
      </c>
      <c r="D370" s="84" t="s">
        <v>631</v>
      </c>
      <c r="E370" s="80" t="s">
        <v>1356</v>
      </c>
      <c r="F370" s="81">
        <v>1</v>
      </c>
      <c r="G370" s="8" t="s">
        <v>775</v>
      </c>
      <c r="H370" s="115" t="s">
        <v>2367</v>
      </c>
      <c r="I370" s="83" t="s">
        <v>1833</v>
      </c>
      <c r="J370" s="71" t="s">
        <v>2368</v>
      </c>
    </row>
    <row r="371" ht="14.25" spans="1:11">
      <c r="A371" s="79" t="s">
        <v>2247</v>
      </c>
      <c r="B371" s="67" t="s">
        <v>2369</v>
      </c>
      <c r="C371" s="85" t="s">
        <v>1762</v>
      </c>
      <c r="D371" s="84" t="s">
        <v>631</v>
      </c>
      <c r="E371" s="80" t="s">
        <v>1356</v>
      </c>
      <c r="F371" s="81">
        <v>1</v>
      </c>
      <c r="G371" s="8" t="s">
        <v>775</v>
      </c>
      <c r="H371" s="115" t="s">
        <v>2367</v>
      </c>
      <c r="I371" s="83" t="s">
        <v>1833</v>
      </c>
      <c r="J371" s="71" t="s">
        <v>2368</v>
      </c>
    </row>
    <row r="372" ht="14.25" spans="1:11">
      <c r="A372" s="79" t="s">
        <v>2247</v>
      </c>
      <c r="B372" s="67" t="s">
        <v>2370</v>
      </c>
      <c r="C372" s="85" t="s">
        <v>1762</v>
      </c>
      <c r="D372" s="84" t="s">
        <v>631</v>
      </c>
      <c r="E372" s="80" t="s">
        <v>1356</v>
      </c>
      <c r="F372" s="81">
        <v>1</v>
      </c>
      <c r="G372" s="8" t="s">
        <v>775</v>
      </c>
      <c r="H372" s="115" t="s">
        <v>2367</v>
      </c>
      <c r="I372" s="83" t="s">
        <v>1833</v>
      </c>
      <c r="J372" s="71" t="s">
        <v>2368</v>
      </c>
    </row>
    <row r="373" ht="14.25" spans="1:11">
      <c r="A373" s="79" t="s">
        <v>2247</v>
      </c>
      <c r="B373" s="67" t="s">
        <v>2371</v>
      </c>
      <c r="C373" s="85" t="s">
        <v>1762</v>
      </c>
      <c r="D373" s="84" t="s">
        <v>631</v>
      </c>
      <c r="E373" s="80" t="s">
        <v>1356</v>
      </c>
      <c r="F373" s="81">
        <v>1</v>
      </c>
      <c r="G373" s="8" t="s">
        <v>775</v>
      </c>
      <c r="H373" s="115" t="s">
        <v>2367</v>
      </c>
      <c r="I373" s="83" t="s">
        <v>1833</v>
      </c>
      <c r="J373" s="71" t="s">
        <v>2368</v>
      </c>
    </row>
    <row r="374" ht="14.25" spans="1:11">
      <c r="A374" s="79" t="s">
        <v>2247</v>
      </c>
      <c r="B374" s="67" t="s">
        <v>2372</v>
      </c>
      <c r="C374" s="85" t="s">
        <v>1762</v>
      </c>
      <c r="D374" s="84" t="s">
        <v>640</v>
      </c>
      <c r="E374" s="80" t="s">
        <v>1356</v>
      </c>
      <c r="F374" s="81">
        <v>1</v>
      </c>
      <c r="G374" s="8" t="s">
        <v>775</v>
      </c>
      <c r="H374" s="115" t="s">
        <v>2367</v>
      </c>
      <c r="I374" s="83" t="s">
        <v>1833</v>
      </c>
      <c r="J374" s="71" t="s">
        <v>2368</v>
      </c>
    </row>
    <row r="375" ht="14.25" spans="1:11">
      <c r="A375" s="79" t="s">
        <v>2247</v>
      </c>
      <c r="B375" s="67" t="s">
        <v>2373</v>
      </c>
      <c r="C375" s="85" t="s">
        <v>1762</v>
      </c>
      <c r="D375" s="84" t="s">
        <v>640</v>
      </c>
      <c r="E375" s="80" t="s">
        <v>1356</v>
      </c>
      <c r="F375" s="81">
        <v>1</v>
      </c>
      <c r="G375" s="8" t="s">
        <v>775</v>
      </c>
      <c r="H375" s="115" t="s">
        <v>2367</v>
      </c>
      <c r="I375" s="83" t="s">
        <v>1833</v>
      </c>
      <c r="J375" s="71" t="s">
        <v>2368</v>
      </c>
    </row>
    <row r="376" ht="14.25" spans="1:11">
      <c r="A376" s="79" t="s">
        <v>2247</v>
      </c>
      <c r="B376" s="67" t="s">
        <v>2374</v>
      </c>
      <c r="C376" s="85" t="s">
        <v>1762</v>
      </c>
      <c r="D376" s="84" t="s">
        <v>640</v>
      </c>
      <c r="E376" s="80" t="s">
        <v>1356</v>
      </c>
      <c r="F376" s="81">
        <v>1</v>
      </c>
      <c r="G376" s="8" t="s">
        <v>775</v>
      </c>
      <c r="H376" s="115" t="s">
        <v>2367</v>
      </c>
      <c r="I376" s="83" t="s">
        <v>1833</v>
      </c>
      <c r="J376" s="71" t="s">
        <v>2368</v>
      </c>
    </row>
    <row r="377" ht="14.25" spans="1:11">
      <c r="A377" s="79" t="s">
        <v>2247</v>
      </c>
      <c r="B377" s="67" t="s">
        <v>2375</v>
      </c>
      <c r="C377" s="85" t="s">
        <v>1762</v>
      </c>
      <c r="D377" s="84" t="s">
        <v>640</v>
      </c>
      <c r="E377" s="80" t="s">
        <v>1356</v>
      </c>
      <c r="F377" s="81">
        <v>1</v>
      </c>
      <c r="G377" s="8" t="s">
        <v>775</v>
      </c>
      <c r="H377" s="115" t="s">
        <v>2367</v>
      </c>
      <c r="I377" s="83" t="s">
        <v>1833</v>
      </c>
      <c r="J377" s="71" t="s">
        <v>2368</v>
      </c>
    </row>
    <row r="378" ht="14.25" spans="1:11">
      <c r="A378" s="79" t="s">
        <v>2247</v>
      </c>
      <c r="B378" s="67" t="s">
        <v>2376</v>
      </c>
      <c r="C378" s="85" t="s">
        <v>1762</v>
      </c>
      <c r="D378" s="84" t="s">
        <v>649</v>
      </c>
      <c r="E378" s="80" t="s">
        <v>1356</v>
      </c>
      <c r="F378" s="81">
        <v>1</v>
      </c>
      <c r="G378" s="8" t="s">
        <v>775</v>
      </c>
      <c r="H378" s="115" t="s">
        <v>2367</v>
      </c>
      <c r="I378" s="83" t="s">
        <v>1662</v>
      </c>
      <c r="J378" s="83" t="s">
        <v>1662</v>
      </c>
    </row>
    <row r="379" ht="14.25" spans="1:11">
      <c r="A379" s="79" t="s">
        <v>2247</v>
      </c>
      <c r="B379" s="67" t="s">
        <v>2377</v>
      </c>
      <c r="C379" s="85" t="s">
        <v>1762</v>
      </c>
      <c r="D379" s="84" t="s">
        <v>649</v>
      </c>
      <c r="E379" s="80" t="s">
        <v>1356</v>
      </c>
      <c r="F379" s="81">
        <v>1</v>
      </c>
      <c r="G379" s="8" t="s">
        <v>775</v>
      </c>
      <c r="H379" s="115" t="s">
        <v>2367</v>
      </c>
      <c r="I379" s="83" t="s">
        <v>1662</v>
      </c>
      <c r="J379" s="83" t="s">
        <v>1662</v>
      </c>
    </row>
    <row r="380" ht="14.25" spans="1:11">
      <c r="A380" s="79" t="s">
        <v>2247</v>
      </c>
      <c r="B380" s="67" t="s">
        <v>2378</v>
      </c>
      <c r="C380" s="85" t="s">
        <v>1762</v>
      </c>
      <c r="D380" s="84" t="s">
        <v>649</v>
      </c>
      <c r="E380" s="80" t="s">
        <v>1356</v>
      </c>
      <c r="F380" s="81">
        <v>1</v>
      </c>
      <c r="G380" s="8" t="s">
        <v>775</v>
      </c>
      <c r="H380" s="115" t="s">
        <v>2367</v>
      </c>
      <c r="I380" s="83" t="s">
        <v>1662</v>
      </c>
      <c r="J380" s="83" t="s">
        <v>1662</v>
      </c>
    </row>
    <row r="381" ht="14.25" spans="1:11">
      <c r="A381" s="79" t="s">
        <v>2247</v>
      </c>
      <c r="B381" s="67" t="s">
        <v>2379</v>
      </c>
      <c r="C381" s="85" t="s">
        <v>1762</v>
      </c>
      <c r="D381" s="84" t="s">
        <v>649</v>
      </c>
      <c r="E381" s="80" t="s">
        <v>1356</v>
      </c>
      <c r="F381" s="81">
        <v>1</v>
      </c>
      <c r="G381" s="8" t="s">
        <v>775</v>
      </c>
      <c r="H381" s="115" t="s">
        <v>2367</v>
      </c>
      <c r="I381" s="83" t="s">
        <v>1662</v>
      </c>
      <c r="J381" s="83" t="s">
        <v>1662</v>
      </c>
    </row>
    <row r="382" spans="1:11">
      <c r="A382" s="79" t="s">
        <v>2247</v>
      </c>
      <c r="B382" s="67" t="s">
        <v>2380</v>
      </c>
      <c r="C382" s="67" t="s">
        <v>1817</v>
      </c>
      <c r="D382" s="80" t="s">
        <v>683</v>
      </c>
      <c r="E382" s="80" t="s">
        <v>683</v>
      </c>
      <c r="F382" s="81">
        <v>0</v>
      </c>
      <c r="G382" s="8"/>
      <c r="H382" s="115"/>
    </row>
    <row r="383" spans="1:11">
      <c r="A383" s="79" t="s">
        <v>2381</v>
      </c>
      <c r="B383" s="69" t="s">
        <v>2382</v>
      </c>
      <c r="C383" s="80" t="s">
        <v>2383</v>
      </c>
      <c r="D383" s="80" t="s">
        <v>181</v>
      </c>
      <c r="E383" s="80" t="s">
        <v>1860</v>
      </c>
      <c r="F383" s="81">
        <v>0</v>
      </c>
      <c r="G383" s="89"/>
    </row>
    <row r="384" ht="14.25" spans="1:11">
      <c r="A384" s="79" t="s">
        <v>2381</v>
      </c>
      <c r="B384" s="69" t="s">
        <v>2384</v>
      </c>
      <c r="C384" s="80" t="s">
        <v>2385</v>
      </c>
      <c r="D384" s="80" t="s">
        <v>172</v>
      </c>
      <c r="E384" s="80" t="s">
        <v>1860</v>
      </c>
      <c r="F384" s="81">
        <v>0</v>
      </c>
      <c r="G384" s="89" t="s">
        <v>775</v>
      </c>
      <c r="H384" s="78" t="s">
        <v>2386</v>
      </c>
      <c r="I384" s="83" t="s">
        <v>2387</v>
      </c>
      <c r="J384" s="78" t="s">
        <v>2388</v>
      </c>
      <c r="K384" s="78" t="s">
        <v>26</v>
      </c>
    </row>
    <row r="385" ht="14.25" spans="1:11">
      <c r="A385" s="79" t="s">
        <v>2381</v>
      </c>
      <c r="B385" s="69" t="s">
        <v>2389</v>
      </c>
      <c r="C385" s="80" t="s">
        <v>2390</v>
      </c>
      <c r="D385" s="80" t="s">
        <v>175</v>
      </c>
      <c r="E385" s="80" t="s">
        <v>1860</v>
      </c>
      <c r="F385" s="81">
        <v>0</v>
      </c>
      <c r="G385" s="89" t="s">
        <v>775</v>
      </c>
      <c r="H385" s="78" t="s">
        <v>2386</v>
      </c>
      <c r="I385" s="83" t="s">
        <v>2387</v>
      </c>
      <c r="J385" s="78" t="s">
        <v>2391</v>
      </c>
      <c r="K385" s="78" t="s">
        <v>26</v>
      </c>
    </row>
    <row r="386" ht="14.25" spans="1:11">
      <c r="A386" s="79" t="s">
        <v>2381</v>
      </c>
      <c r="B386" s="67" t="s">
        <v>2392</v>
      </c>
      <c r="C386" s="80" t="s">
        <v>2393</v>
      </c>
      <c r="D386" s="80" t="s">
        <v>178</v>
      </c>
      <c r="E386" s="80" t="s">
        <v>1860</v>
      </c>
      <c r="F386" s="81">
        <v>1</v>
      </c>
      <c r="G386" s="122" t="s">
        <v>775</v>
      </c>
      <c r="H386" s="78" t="s">
        <v>2386</v>
      </c>
      <c r="I386" s="83" t="s">
        <v>2387</v>
      </c>
      <c r="J386" s="78" t="s">
        <v>2391</v>
      </c>
      <c r="K386" s="78" t="s">
        <v>26</v>
      </c>
    </row>
    <row r="387" spans="1:11">
      <c r="A387" s="79" t="s">
        <v>2381</v>
      </c>
      <c r="B387" s="69" t="s">
        <v>2394</v>
      </c>
      <c r="C387" s="80" t="s">
        <v>2395</v>
      </c>
      <c r="D387" s="80" t="s">
        <v>184</v>
      </c>
      <c r="E387" s="80" t="s">
        <v>1377</v>
      </c>
      <c r="F387" s="81">
        <v>0</v>
      </c>
      <c r="G387" s="89"/>
    </row>
    <row r="388" spans="1:11">
      <c r="A388" s="79" t="s">
        <v>2381</v>
      </c>
      <c r="B388" s="69" t="s">
        <v>2396</v>
      </c>
      <c r="C388" s="80" t="s">
        <v>2397</v>
      </c>
      <c r="D388" s="80" t="s">
        <v>188</v>
      </c>
      <c r="E388" s="80" t="s">
        <v>1377</v>
      </c>
      <c r="F388" s="81">
        <v>0</v>
      </c>
      <c r="G388" s="89"/>
    </row>
    <row r="389" spans="1:11">
      <c r="A389" s="79" t="s">
        <v>2381</v>
      </c>
      <c r="B389" s="69" t="s">
        <v>2398</v>
      </c>
      <c r="C389" s="80" t="s">
        <v>212</v>
      </c>
      <c r="D389" s="80" t="s">
        <v>212</v>
      </c>
      <c r="E389" s="80" t="s">
        <v>1377</v>
      </c>
      <c r="F389" s="81">
        <v>0</v>
      </c>
      <c r="G389" s="89"/>
    </row>
    <row r="390" spans="1:11">
      <c r="A390" s="79" t="s">
        <v>2381</v>
      </c>
      <c r="B390" s="69" t="s">
        <v>2399</v>
      </c>
      <c r="C390" s="80" t="s">
        <v>215</v>
      </c>
      <c r="D390" s="80" t="s">
        <v>215</v>
      </c>
      <c r="E390" s="80" t="s">
        <v>1377</v>
      </c>
      <c r="F390" s="81">
        <v>0</v>
      </c>
      <c r="G390" s="89"/>
    </row>
    <row r="391" spans="1:11">
      <c r="A391" s="79" t="s">
        <v>2381</v>
      </c>
      <c r="B391" s="69" t="s">
        <v>2400</v>
      </c>
      <c r="C391" s="80" t="s">
        <v>218</v>
      </c>
      <c r="D391" s="80" t="s">
        <v>218</v>
      </c>
      <c r="E391" s="80" t="s">
        <v>1377</v>
      </c>
      <c r="F391" s="81">
        <v>0</v>
      </c>
      <c r="G391" s="89"/>
    </row>
    <row r="392" spans="1:11">
      <c r="A392" s="79" t="s">
        <v>2381</v>
      </c>
      <c r="B392" s="69" t="s">
        <v>2401</v>
      </c>
      <c r="C392" s="80" t="s">
        <v>221</v>
      </c>
      <c r="D392" s="80" t="s">
        <v>221</v>
      </c>
      <c r="E392" s="80" t="s">
        <v>1377</v>
      </c>
      <c r="F392" s="81">
        <v>0</v>
      </c>
      <c r="G392" s="89"/>
    </row>
    <row r="393" spans="1:11">
      <c r="A393" s="79" t="s">
        <v>2381</v>
      </c>
      <c r="B393" s="69" t="s">
        <v>2402</v>
      </c>
      <c r="C393" s="80" t="s">
        <v>2403</v>
      </c>
      <c r="D393" s="80" t="s">
        <v>224</v>
      </c>
      <c r="E393" s="80" t="s">
        <v>1860</v>
      </c>
      <c r="F393" s="81">
        <v>0</v>
      </c>
      <c r="G393" s="89"/>
    </row>
    <row r="394" spans="1:11">
      <c r="A394" s="79" t="s">
        <v>2381</v>
      </c>
      <c r="B394" s="69" t="s">
        <v>2404</v>
      </c>
      <c r="C394" s="80" t="s">
        <v>2405</v>
      </c>
      <c r="D394" s="80" t="s">
        <v>227</v>
      </c>
      <c r="E394" s="80" t="s">
        <v>1863</v>
      </c>
      <c r="F394" s="81">
        <v>0</v>
      </c>
      <c r="G394" s="89"/>
    </row>
    <row r="395" spans="1:11">
      <c r="A395" s="79" t="s">
        <v>2381</v>
      </c>
      <c r="B395" s="69" t="s">
        <v>2406</v>
      </c>
      <c r="C395" s="80" t="s">
        <v>2407</v>
      </c>
      <c r="D395" s="80" t="s">
        <v>230</v>
      </c>
      <c r="E395" s="80" t="s">
        <v>1377</v>
      </c>
      <c r="F395" s="81">
        <v>0</v>
      </c>
      <c r="G395" s="89"/>
    </row>
    <row r="396" spans="1:11">
      <c r="A396" s="79" t="s">
        <v>2381</v>
      </c>
      <c r="B396" s="69" t="s">
        <v>2408</v>
      </c>
      <c r="C396" s="80" t="s">
        <v>233</v>
      </c>
      <c r="D396" s="80" t="s">
        <v>233</v>
      </c>
      <c r="E396" s="80" t="s">
        <v>1377</v>
      </c>
      <c r="F396" s="81">
        <v>0</v>
      </c>
      <c r="G396" s="89"/>
    </row>
    <row r="397" spans="1:11">
      <c r="A397" s="79" t="s">
        <v>2381</v>
      </c>
      <c r="B397" s="69" t="s">
        <v>2409</v>
      </c>
      <c r="C397" s="80" t="s">
        <v>2410</v>
      </c>
      <c r="D397" s="80" t="s">
        <v>236</v>
      </c>
      <c r="E397" s="80" t="s">
        <v>1377</v>
      </c>
      <c r="F397" s="81">
        <v>0</v>
      </c>
      <c r="G397" s="89"/>
    </row>
    <row r="398" spans="1:11">
      <c r="A398" s="79" t="s">
        <v>2381</v>
      </c>
      <c r="B398" s="69" t="s">
        <v>2411</v>
      </c>
      <c r="C398" s="80" t="s">
        <v>2412</v>
      </c>
      <c r="D398" s="80" t="s">
        <v>239</v>
      </c>
      <c r="E398" s="80" t="s">
        <v>1377</v>
      </c>
      <c r="F398" s="81">
        <v>0</v>
      </c>
      <c r="G398" s="89"/>
    </row>
    <row r="399" spans="1:11">
      <c r="A399" s="79" t="s">
        <v>2413</v>
      </c>
      <c r="B399" s="69" t="s">
        <v>2414</v>
      </c>
      <c r="C399" s="114" t="s">
        <v>2415</v>
      </c>
      <c r="D399" s="114" t="s">
        <v>687</v>
      </c>
      <c r="E399" s="80" t="s">
        <v>1863</v>
      </c>
      <c r="F399" s="81">
        <v>0</v>
      </c>
      <c r="G399" s="89"/>
    </row>
    <row r="400" spans="1:11">
      <c r="A400" s="79" t="s">
        <v>2413</v>
      </c>
      <c r="B400" s="69" t="s">
        <v>2416</v>
      </c>
      <c r="C400" s="114" t="s">
        <v>2415</v>
      </c>
      <c r="D400" s="114" t="s">
        <v>690</v>
      </c>
      <c r="E400" s="80" t="s">
        <v>1377</v>
      </c>
      <c r="F400" s="81">
        <v>0</v>
      </c>
      <c r="G400" s="89"/>
    </row>
    <row r="401" spans="1:11">
      <c r="A401" s="79" t="s">
        <v>2413</v>
      </c>
      <c r="B401" s="69" t="s">
        <v>2417</v>
      </c>
      <c r="C401" s="114" t="s">
        <v>2415</v>
      </c>
      <c r="D401" s="114" t="s">
        <v>690</v>
      </c>
      <c r="E401" s="80" t="s">
        <v>1377</v>
      </c>
      <c r="F401" s="81">
        <v>0</v>
      </c>
      <c r="G401" s="89"/>
    </row>
    <row r="402" spans="1:11">
      <c r="A402" s="79" t="s">
        <v>2413</v>
      </c>
      <c r="B402" s="69" t="s">
        <v>2418</v>
      </c>
      <c r="C402" s="114" t="s">
        <v>2415</v>
      </c>
      <c r="D402" s="114" t="s">
        <v>695</v>
      </c>
      <c r="E402" s="80" t="s">
        <v>1377</v>
      </c>
      <c r="F402" s="81">
        <v>0</v>
      </c>
      <c r="G402" s="89"/>
    </row>
    <row r="403" spans="1:11">
      <c r="A403" s="79" t="s">
        <v>2413</v>
      </c>
      <c r="B403" s="69" t="s">
        <v>2419</v>
      </c>
      <c r="C403" s="114" t="s">
        <v>2415</v>
      </c>
      <c r="D403" s="114" t="s">
        <v>695</v>
      </c>
      <c r="E403" s="80" t="s">
        <v>1377</v>
      </c>
      <c r="F403" s="81">
        <v>0</v>
      </c>
      <c r="G403" s="89"/>
    </row>
    <row r="404" spans="1:11">
      <c r="A404" s="79" t="s">
        <v>2413</v>
      </c>
      <c r="B404" s="69" t="s">
        <v>2420</v>
      </c>
      <c r="C404" s="114" t="s">
        <v>2415</v>
      </c>
      <c r="D404" s="80" t="s">
        <v>700</v>
      </c>
      <c r="E404" s="80" t="s">
        <v>1377</v>
      </c>
      <c r="F404" s="81">
        <v>0</v>
      </c>
      <c r="G404" s="89"/>
    </row>
    <row r="405" spans="1:11">
      <c r="A405" s="79" t="s">
        <v>2413</v>
      </c>
      <c r="B405" s="69" t="s">
        <v>2421</v>
      </c>
      <c r="C405" s="114" t="s">
        <v>2415</v>
      </c>
      <c r="D405" s="80" t="s">
        <v>700</v>
      </c>
      <c r="E405" s="80" t="s">
        <v>1377</v>
      </c>
      <c r="F405" s="81">
        <v>0</v>
      </c>
      <c r="G405" s="89"/>
    </row>
    <row r="406" spans="1:11">
      <c r="A406" s="79" t="s">
        <v>2413</v>
      </c>
      <c r="B406" s="69" t="s">
        <v>2422</v>
      </c>
      <c r="C406" s="114" t="s">
        <v>2423</v>
      </c>
      <c r="D406" s="114" t="s">
        <v>705</v>
      </c>
      <c r="E406" s="80" t="s">
        <v>1377</v>
      </c>
      <c r="F406" s="81">
        <v>0</v>
      </c>
      <c r="G406" s="89"/>
    </row>
    <row r="407" spans="1:11">
      <c r="A407" s="79" t="s">
        <v>2413</v>
      </c>
      <c r="B407" s="69" t="s">
        <v>2424</v>
      </c>
      <c r="C407" s="114" t="s">
        <v>2415</v>
      </c>
      <c r="D407" s="114" t="s">
        <v>710</v>
      </c>
      <c r="E407" s="80" t="s">
        <v>1863</v>
      </c>
      <c r="F407" s="81">
        <v>0</v>
      </c>
      <c r="G407" s="89"/>
    </row>
    <row r="408" spans="1:11">
      <c r="A408" s="79" t="s">
        <v>2413</v>
      </c>
      <c r="B408" s="69" t="s">
        <v>2425</v>
      </c>
      <c r="C408" s="114" t="s">
        <v>2415</v>
      </c>
      <c r="D408" s="114" t="s">
        <v>710</v>
      </c>
      <c r="E408" s="80" t="s">
        <v>1863</v>
      </c>
      <c r="F408" s="81">
        <v>0</v>
      </c>
      <c r="G408" s="89"/>
    </row>
    <row r="409" spans="1:11">
      <c r="A409" s="79" t="s">
        <v>2413</v>
      </c>
      <c r="B409" s="67" t="s">
        <v>2426</v>
      </c>
      <c r="C409" s="85" t="s">
        <v>1762</v>
      </c>
      <c r="D409" s="114" t="s">
        <v>715</v>
      </c>
      <c r="E409" s="80" t="s">
        <v>781</v>
      </c>
      <c r="F409" s="81">
        <v>1</v>
      </c>
      <c r="G409" s="86" t="s">
        <v>1822</v>
      </c>
    </row>
    <row r="410" spans="1:11">
      <c r="A410" s="79" t="s">
        <v>2413</v>
      </c>
      <c r="B410" s="67" t="s">
        <v>2427</v>
      </c>
      <c r="C410" s="85" t="s">
        <v>1762</v>
      </c>
      <c r="D410" s="114" t="s">
        <v>720</v>
      </c>
      <c r="E410" s="80" t="s">
        <v>2428</v>
      </c>
      <c r="F410" s="81">
        <v>1</v>
      </c>
      <c r="G410" s="86" t="s">
        <v>1822</v>
      </c>
    </row>
    <row r="411" spans="1:11">
      <c r="A411" s="79" t="s">
        <v>2413</v>
      </c>
      <c r="B411" s="67" t="s">
        <v>2429</v>
      </c>
      <c r="C411" s="85" t="s">
        <v>1762</v>
      </c>
      <c r="D411" s="114" t="s">
        <v>726</v>
      </c>
      <c r="E411" s="80" t="s">
        <v>2428</v>
      </c>
      <c r="F411" s="81">
        <v>1</v>
      </c>
      <c r="G411" s="86" t="s">
        <v>1822</v>
      </c>
    </row>
    <row r="412" spans="1:11">
      <c r="A412" s="79" t="s">
        <v>2413</v>
      </c>
      <c r="B412" s="67" t="s">
        <v>2430</v>
      </c>
      <c r="C412" s="114" t="s">
        <v>2431</v>
      </c>
      <c r="D412" s="114" t="s">
        <v>736</v>
      </c>
      <c r="E412" s="80" t="s">
        <v>1494</v>
      </c>
      <c r="F412" s="81">
        <v>1</v>
      </c>
      <c r="G412" s="88" t="s">
        <v>372</v>
      </c>
      <c r="H412" s="78" t="s">
        <v>758</v>
      </c>
      <c r="I412" s="78" t="s">
        <v>2432</v>
      </c>
      <c r="K412" s="78" t="s">
        <v>26</v>
      </c>
    </row>
    <row r="413" spans="1:11">
      <c r="A413" s="79" t="s">
        <v>2413</v>
      </c>
      <c r="B413" s="67" t="s">
        <v>2433</v>
      </c>
      <c r="C413" s="114" t="s">
        <v>2434</v>
      </c>
      <c r="D413" s="114" t="s">
        <v>736</v>
      </c>
      <c r="E413" s="80" t="s">
        <v>2135</v>
      </c>
      <c r="F413" s="81">
        <v>1</v>
      </c>
      <c r="G413" s="88" t="s">
        <v>372</v>
      </c>
      <c r="H413" s="78" t="s">
        <v>758</v>
      </c>
      <c r="I413" s="78" t="s">
        <v>2432</v>
      </c>
      <c r="K413" s="78" t="s">
        <v>26</v>
      </c>
    </row>
    <row r="414" spans="1:11">
      <c r="A414" s="79" t="s">
        <v>2413</v>
      </c>
      <c r="B414" s="67" t="s">
        <v>2435</v>
      </c>
      <c r="C414" s="85" t="s">
        <v>1762</v>
      </c>
      <c r="D414" s="114" t="s">
        <v>745</v>
      </c>
      <c r="E414" s="80" t="s">
        <v>2428</v>
      </c>
      <c r="F414" s="81">
        <v>1</v>
      </c>
      <c r="G414" s="88" t="s">
        <v>372</v>
      </c>
      <c r="H414" s="78" t="s">
        <v>758</v>
      </c>
      <c r="I414" s="78" t="s">
        <v>2432</v>
      </c>
      <c r="K414" s="78" t="s">
        <v>26</v>
      </c>
    </row>
    <row r="415" spans="1:11">
      <c r="A415" s="79" t="s">
        <v>2413</v>
      </c>
      <c r="B415" s="67" t="s">
        <v>2436</v>
      </c>
      <c r="C415" s="85" t="s">
        <v>1762</v>
      </c>
      <c r="D415" s="114" t="s">
        <v>745</v>
      </c>
      <c r="E415" s="80" t="s">
        <v>2428</v>
      </c>
      <c r="F415" s="81">
        <v>1</v>
      </c>
      <c r="G415" s="88" t="s">
        <v>372</v>
      </c>
      <c r="H415" s="78" t="s">
        <v>758</v>
      </c>
      <c r="I415" s="78" t="s">
        <v>2432</v>
      </c>
      <c r="K415" s="78" t="s">
        <v>26</v>
      </c>
    </row>
    <row r="416" spans="1:11">
      <c r="A416" s="79" t="s">
        <v>2413</v>
      </c>
      <c r="B416" s="67" t="s">
        <v>2437</v>
      </c>
      <c r="C416" s="114" t="s">
        <v>2438</v>
      </c>
      <c r="D416" s="114" t="s">
        <v>745</v>
      </c>
      <c r="E416" s="80" t="s">
        <v>781</v>
      </c>
      <c r="F416" s="81">
        <v>1</v>
      </c>
      <c r="G416" s="88" t="s">
        <v>372</v>
      </c>
      <c r="H416" s="78" t="s">
        <v>758</v>
      </c>
      <c r="I416" s="78" t="s">
        <v>2432</v>
      </c>
      <c r="K416" s="78" t="s">
        <v>26</v>
      </c>
    </row>
    <row r="417" spans="1:11">
      <c r="A417" s="79" t="s">
        <v>2413</v>
      </c>
      <c r="B417" s="67" t="s">
        <v>2439</v>
      </c>
      <c r="C417" s="114" t="s">
        <v>2440</v>
      </c>
      <c r="D417" s="114" t="s">
        <v>745</v>
      </c>
      <c r="E417" s="80" t="s">
        <v>781</v>
      </c>
      <c r="F417" s="81">
        <v>1</v>
      </c>
      <c r="G417" s="88" t="s">
        <v>372</v>
      </c>
      <c r="H417" s="78" t="s">
        <v>758</v>
      </c>
      <c r="I417" s="78" t="s">
        <v>2432</v>
      </c>
      <c r="K417" s="78" t="s">
        <v>26</v>
      </c>
    </row>
    <row r="418" spans="1:11">
      <c r="A418" s="79" t="s">
        <v>2413</v>
      </c>
      <c r="B418" s="67" t="s">
        <v>2441</v>
      </c>
      <c r="C418" s="85" t="s">
        <v>1762</v>
      </c>
      <c r="D418" s="80" t="s">
        <v>755</v>
      </c>
      <c r="E418" s="80" t="s">
        <v>2428</v>
      </c>
      <c r="F418" s="81">
        <v>1</v>
      </c>
      <c r="G418" s="86" t="s">
        <v>1822</v>
      </c>
    </row>
    <row r="419" spans="1:11">
      <c r="A419" s="79" t="s">
        <v>2413</v>
      </c>
      <c r="B419" s="67" t="s">
        <v>2442</v>
      </c>
      <c r="C419" s="85" t="s">
        <v>1762</v>
      </c>
      <c r="D419" s="80" t="s">
        <v>755</v>
      </c>
      <c r="E419" s="80" t="s">
        <v>2428</v>
      </c>
      <c r="F419" s="81">
        <v>1</v>
      </c>
      <c r="G419" s="86" t="s">
        <v>1822</v>
      </c>
    </row>
    <row r="420" spans="1:11">
      <c r="A420" s="79" t="s">
        <v>2413</v>
      </c>
      <c r="B420" s="67" t="s">
        <v>2443</v>
      </c>
      <c r="C420" s="85" t="s">
        <v>1762</v>
      </c>
      <c r="D420" s="80" t="s">
        <v>755</v>
      </c>
      <c r="E420" s="80" t="s">
        <v>2428</v>
      </c>
      <c r="F420" s="81">
        <v>1</v>
      </c>
      <c r="G420" s="86" t="s">
        <v>1822</v>
      </c>
    </row>
    <row r="421" spans="1:11">
      <c r="A421" s="79" t="s">
        <v>2413</v>
      </c>
      <c r="B421" s="67" t="s">
        <v>2444</v>
      </c>
      <c r="C421" s="85" t="s">
        <v>1762</v>
      </c>
      <c r="D421" s="80" t="s">
        <v>755</v>
      </c>
      <c r="E421" s="80" t="s">
        <v>2428</v>
      </c>
      <c r="F421" s="81">
        <v>1</v>
      </c>
      <c r="G421" s="86" t="s">
        <v>1822</v>
      </c>
    </row>
    <row r="422" spans="1:11">
      <c r="A422" s="79" t="s">
        <v>2413</v>
      </c>
      <c r="B422" s="67" t="s">
        <v>2445</v>
      </c>
      <c r="C422" s="80" t="s">
        <v>2446</v>
      </c>
      <c r="D422" s="80" t="s">
        <v>773</v>
      </c>
      <c r="E422" s="80" t="s">
        <v>1437</v>
      </c>
      <c r="F422" s="81">
        <v>1</v>
      </c>
      <c r="G422" s="86" t="s">
        <v>1822</v>
      </c>
    </row>
    <row r="423" spans="1:11">
      <c r="A423" s="79" t="s">
        <v>2413</v>
      </c>
      <c r="B423" s="67" t="s">
        <v>2447</v>
      </c>
      <c r="C423" s="80" t="s">
        <v>2446</v>
      </c>
      <c r="D423" s="80" t="s">
        <v>773</v>
      </c>
      <c r="E423" s="80" t="s">
        <v>1437</v>
      </c>
      <c r="F423" s="81">
        <v>1</v>
      </c>
      <c r="G423" s="86" t="s">
        <v>1822</v>
      </c>
    </row>
  </sheetData>
  <sheetProtection formatCells="0" formatColumns="0" formatRows="0" insertRows="0" insertColumns="0" insertHyperlinks="0" deleteColumns="0" deleteRows="0" sort="0" autoFilter="0" pivotTables="0"/>
  <conditionalFormatting sqref="E317:F317">
    <cfRule type="duplicateValues" dxfId="1" priority="2"/>
    <cfRule type="duplicateValues" dxfId="1" priority="3"/>
    <cfRule type="duplicateValues" dxfId="1" priority="4"/>
    <cfRule type="duplicateValues" dxfId="1" priority="5"/>
  </conditionalFormatting>
  <conditionalFormatting sqref="F$1:F$1048576">
    <cfRule type="cellIs" dxfId="2" priority="1" operator="equal">
      <formula>1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40"/>
  <sheetViews>
    <sheetView topLeftCell="A213" workbookViewId="0">
      <selection activeCell="F54" sqref="F54:F55"/>
    </sheetView>
  </sheetViews>
  <sheetFormatPr defaultColWidth="9" defaultRowHeight="13.5"/>
  <cols>
    <col min="1" max="1" width="27.225" style="14" customWidth="1"/>
    <col min="2" max="2" width="13.6" customWidth="1"/>
    <col min="3" max="3" width="12.0083333333333" customWidth="1"/>
    <col min="5" max="5" width="27" customWidth="1"/>
    <col min="6" max="6" width="13.5583333333333" customWidth="1"/>
    <col min="9" max="9" width="30.9166666666667" customWidth="1"/>
    <col min="10" max="10" width="10.7166666666667" customWidth="1"/>
  </cols>
  <sheetData>
    <row r="1" ht="47.25" spans="1:10">
      <c r="A1" s="52" t="s">
        <v>2448</v>
      </c>
    </row>
    <row r="2" ht="47.25" spans="1:10">
      <c r="A2" s="52" t="s">
        <v>2449</v>
      </c>
    </row>
    <row r="3" ht="47.25" spans="1:10">
      <c r="A3" s="53" t="s">
        <v>2450</v>
      </c>
    </row>
    <row r="4" ht="47.25" spans="1:10">
      <c r="A4" s="54" t="s">
        <v>2451</v>
      </c>
    </row>
    <row r="5" ht="14.25"/>
    <row r="6" s="50" customFormat="1" ht="18" customHeight="1" spans="1:10">
      <c r="A6" s="55" t="s">
        <v>0</v>
      </c>
      <c r="B6" s="56" t="s">
        <v>2452</v>
      </c>
      <c r="C6" s="57" t="s">
        <v>2453</v>
      </c>
      <c r="E6" s="55" t="s">
        <v>0</v>
      </c>
      <c r="F6" s="56" t="s">
        <v>2452</v>
      </c>
      <c r="G6" s="57" t="s">
        <v>2453</v>
      </c>
      <c r="I6" s="55" t="s">
        <v>0</v>
      </c>
      <c r="J6" s="56" t="s">
        <v>2452</v>
      </c>
    </row>
    <row r="7" s="50" customFormat="1" ht="18" customHeight="1" spans="1:10">
      <c r="A7" s="58" t="s">
        <v>2454</v>
      </c>
      <c r="B7" s="59">
        <f>COUNTIFS('1&amp;2号构型'!A:A,A7)</f>
        <v>0</v>
      </c>
      <c r="C7" s="60">
        <f>B7-J7</f>
        <v>-1</v>
      </c>
      <c r="E7" s="58" t="s">
        <v>2454</v>
      </c>
      <c r="F7" s="59">
        <f>COUNTIFS(X号构型!A:A,A7)</f>
        <v>1</v>
      </c>
      <c r="G7" s="50">
        <f>F7-J7</f>
        <v>0</v>
      </c>
      <c r="I7" s="58" t="s">
        <v>2455</v>
      </c>
      <c r="J7" s="59">
        <v>1</v>
      </c>
    </row>
    <row r="8" s="50" customFormat="1" ht="18" customHeight="1" spans="1:10">
      <c r="A8" s="58" t="s">
        <v>2456</v>
      </c>
      <c r="B8" s="59">
        <f>COUNTIFS('1&amp;2号构型'!A:A,A8)</f>
        <v>0</v>
      </c>
      <c r="C8" s="60">
        <f t="shared" ref="C8:C29" si="0">B8-J8</f>
        <v>-54</v>
      </c>
      <c r="E8" s="58" t="s">
        <v>2456</v>
      </c>
      <c r="F8" s="59">
        <f>COUNTIFS(X号构型!A:A,A8)</f>
        <v>58</v>
      </c>
      <c r="G8" s="50">
        <f t="shared" ref="G8:G29" si="1">F8-J8</f>
        <v>4</v>
      </c>
      <c r="I8" s="58" t="s">
        <v>2457</v>
      </c>
      <c r="J8" s="59">
        <v>54</v>
      </c>
    </row>
    <row r="9" s="50" customFormat="1" ht="18" customHeight="1" spans="1:10">
      <c r="A9" s="58" t="s">
        <v>2458</v>
      </c>
      <c r="B9" s="61">
        <f>COUNTIFS('1&amp;2号构型'!A:A,A9)</f>
        <v>31</v>
      </c>
      <c r="C9" s="50">
        <f t="shared" si="0"/>
        <v>0</v>
      </c>
      <c r="E9" s="58" t="s">
        <v>2458</v>
      </c>
      <c r="F9" s="59">
        <f>COUNTIFS(X号构型!A:A,A9)</f>
        <v>29</v>
      </c>
      <c r="G9" s="60">
        <f t="shared" si="1"/>
        <v>-2</v>
      </c>
      <c r="I9" s="58" t="s">
        <v>2459</v>
      </c>
      <c r="J9" s="59">
        <v>31</v>
      </c>
    </row>
    <row r="10" s="50" customFormat="1" ht="18" customHeight="1" spans="1:10">
      <c r="A10" s="58" t="s">
        <v>2460</v>
      </c>
      <c r="B10" s="59">
        <f>COUNTIFS('1&amp;2号构型'!A:A,A10)</f>
        <v>14</v>
      </c>
      <c r="C10" s="60">
        <f t="shared" si="0"/>
        <v>-1</v>
      </c>
      <c r="E10" s="58" t="s">
        <v>2460</v>
      </c>
      <c r="F10" s="59">
        <f>COUNTIFS(X号构型!A:A,A10)</f>
        <v>15</v>
      </c>
      <c r="G10" s="50">
        <f t="shared" si="1"/>
        <v>0</v>
      </c>
      <c r="I10" s="58" t="s">
        <v>2461</v>
      </c>
      <c r="J10" s="59">
        <v>15</v>
      </c>
    </row>
    <row r="11" s="50" customFormat="1" ht="18" customHeight="1" spans="1:10">
      <c r="A11" s="58" t="s">
        <v>2462</v>
      </c>
      <c r="B11" s="59">
        <f>COUNTIFS('1&amp;2号构型'!A:A,A11)</f>
        <v>23</v>
      </c>
      <c r="C11" s="50">
        <f t="shared" si="0"/>
        <v>0</v>
      </c>
      <c r="E11" s="58" t="s">
        <v>2462</v>
      </c>
      <c r="F11" s="59">
        <f>COUNTIFS(X号构型!A:A,A11)</f>
        <v>23</v>
      </c>
      <c r="G11" s="50">
        <f t="shared" si="1"/>
        <v>0</v>
      </c>
      <c r="I11" s="58" t="s">
        <v>2463</v>
      </c>
      <c r="J11" s="59">
        <v>23</v>
      </c>
    </row>
    <row r="12" s="50" customFormat="1" ht="18" customHeight="1" spans="1:10">
      <c r="A12" s="58" t="s">
        <v>2464</v>
      </c>
      <c r="B12" s="59">
        <f>COUNTIFS('1&amp;2号构型'!A:A,A12)</f>
        <v>10</v>
      </c>
      <c r="C12" s="60">
        <f t="shared" si="0"/>
        <v>-1</v>
      </c>
      <c r="E12" s="58" t="s">
        <v>2464</v>
      </c>
      <c r="F12" s="59">
        <f>COUNTIFS(X号构型!A:A,A12)</f>
        <v>12</v>
      </c>
      <c r="G12" s="60">
        <f t="shared" si="1"/>
        <v>1</v>
      </c>
      <c r="I12" s="58" t="s">
        <v>2465</v>
      </c>
      <c r="J12" s="59">
        <v>11</v>
      </c>
    </row>
    <row r="13" s="50" customFormat="1" ht="18" customHeight="1" spans="1:10">
      <c r="A13" s="58" t="s">
        <v>2466</v>
      </c>
      <c r="B13" s="59">
        <f>COUNTIFS('1&amp;2号构型'!A:A,A13)</f>
        <v>40</v>
      </c>
      <c r="C13" s="50">
        <f t="shared" si="0"/>
        <v>0</v>
      </c>
      <c r="E13" s="58" t="s">
        <v>2466</v>
      </c>
      <c r="F13" s="59">
        <f>COUNTIFS(X号构型!A:A,A13)</f>
        <v>38</v>
      </c>
      <c r="G13" s="60">
        <f t="shared" si="1"/>
        <v>-2</v>
      </c>
      <c r="I13" s="58" t="s">
        <v>2467</v>
      </c>
      <c r="J13" s="59">
        <v>40</v>
      </c>
    </row>
    <row r="14" s="50" customFormat="1" ht="18" customHeight="1" spans="1:10">
      <c r="A14" s="58" t="s">
        <v>2468</v>
      </c>
      <c r="B14" s="59">
        <f>COUNTIFS('1&amp;2号构型'!A:A,A14)</f>
        <v>14</v>
      </c>
      <c r="C14" s="60">
        <f t="shared" si="0"/>
        <v>-4</v>
      </c>
      <c r="E14" s="58" t="s">
        <v>2468</v>
      </c>
      <c r="F14" s="59">
        <f>COUNTIFS(X号构型!A:A,A14)</f>
        <v>15</v>
      </c>
      <c r="G14" s="60">
        <f t="shared" si="1"/>
        <v>-3</v>
      </c>
      <c r="I14" s="58" t="s">
        <v>2469</v>
      </c>
      <c r="J14" s="59">
        <v>18</v>
      </c>
    </row>
    <row r="15" s="50" customFormat="1" ht="18" customHeight="1" spans="1:10">
      <c r="A15" s="58" t="s">
        <v>2470</v>
      </c>
      <c r="B15" s="59">
        <f>COUNTIFS('1&amp;2号构型'!A:A,A15)</f>
        <v>6</v>
      </c>
      <c r="C15" s="50">
        <f t="shared" si="0"/>
        <v>0</v>
      </c>
      <c r="E15" s="58" t="s">
        <v>2470</v>
      </c>
      <c r="F15" s="59">
        <f>COUNTIFS(X号构型!A:A,A15)</f>
        <v>6</v>
      </c>
      <c r="G15" s="50">
        <f t="shared" si="1"/>
        <v>0</v>
      </c>
      <c r="I15" s="58" t="s">
        <v>2471</v>
      </c>
      <c r="J15" s="59">
        <v>6</v>
      </c>
    </row>
    <row r="16" s="50" customFormat="1" ht="18" customHeight="1" spans="1:10">
      <c r="A16" s="58" t="s">
        <v>2472</v>
      </c>
      <c r="B16" s="59">
        <f>COUNTIFS('1&amp;2号构型'!A:A,A16)</f>
        <v>98</v>
      </c>
      <c r="C16" s="50">
        <f t="shared" si="0"/>
        <v>0</v>
      </c>
      <c r="E16" s="58" t="s">
        <v>2472</v>
      </c>
      <c r="F16" s="59">
        <f>COUNTIFS(X号构型!A:A,A16)</f>
        <v>98</v>
      </c>
      <c r="G16" s="50">
        <f t="shared" si="1"/>
        <v>0</v>
      </c>
      <c r="I16" s="58" t="s">
        <v>2473</v>
      </c>
      <c r="J16" s="59">
        <v>98</v>
      </c>
    </row>
    <row r="17" s="50" customFormat="1" ht="18" customHeight="1" spans="1:10">
      <c r="A17" s="58" t="s">
        <v>2474</v>
      </c>
      <c r="B17" s="59">
        <f>COUNTIFS('1&amp;2号构型'!A:A,A17)</f>
        <v>33</v>
      </c>
      <c r="C17" s="60">
        <f t="shared" si="0"/>
        <v>-58</v>
      </c>
      <c r="E17" s="58" t="s">
        <v>2474</v>
      </c>
      <c r="F17" s="59">
        <f>COUNTIFS(X号构型!A:A,A17)</f>
        <v>85</v>
      </c>
      <c r="G17" s="60">
        <f t="shared" si="1"/>
        <v>-6</v>
      </c>
      <c r="I17" s="58" t="s">
        <v>2475</v>
      </c>
      <c r="J17" s="59">
        <v>91</v>
      </c>
    </row>
    <row r="18" s="50" customFormat="1" ht="18" customHeight="1" spans="1:10">
      <c r="A18" s="58" t="s">
        <v>2476</v>
      </c>
      <c r="B18" s="59">
        <f>COUNTIFS('1&amp;2号构型'!A:A,A18)</f>
        <v>59</v>
      </c>
      <c r="C18" s="60">
        <f t="shared" si="0"/>
        <v>-3</v>
      </c>
      <c r="E18" s="58" t="s">
        <v>2476</v>
      </c>
      <c r="F18" s="59">
        <f>COUNTIFS(X号构型!A:A,A18)</f>
        <v>56</v>
      </c>
      <c r="G18" s="60">
        <f t="shared" si="1"/>
        <v>-6</v>
      </c>
      <c r="I18" s="58" t="s">
        <v>2477</v>
      </c>
      <c r="J18" s="59">
        <v>62</v>
      </c>
    </row>
    <row r="19" s="50" customFormat="1" ht="18" customHeight="1" spans="1:10">
      <c r="A19" s="58" t="s">
        <v>2478</v>
      </c>
      <c r="B19" s="59">
        <f>COUNTIFS('1&amp;2号构型'!A:A,A19)</f>
        <v>2</v>
      </c>
      <c r="C19" s="50">
        <f t="shared" si="0"/>
        <v>0</v>
      </c>
      <c r="E19" s="58" t="s">
        <v>2478</v>
      </c>
      <c r="F19" s="59">
        <f>COUNTIFS(X号构型!A:A,A19)</f>
        <v>2</v>
      </c>
      <c r="G19" s="50">
        <f t="shared" si="1"/>
        <v>0</v>
      </c>
      <c r="I19" s="58" t="s">
        <v>2479</v>
      </c>
      <c r="J19" s="59">
        <v>2</v>
      </c>
    </row>
    <row r="20" s="50" customFormat="1" ht="18" customHeight="1" spans="1:10">
      <c r="A20" s="58" t="s">
        <v>2480</v>
      </c>
      <c r="B20" s="59">
        <f>COUNTIFS('1&amp;2号构型'!A:A,A20)</f>
        <v>0</v>
      </c>
      <c r="C20" s="60">
        <f t="shared" si="0"/>
        <v>-1</v>
      </c>
      <c r="E20" s="58" t="s">
        <v>2480</v>
      </c>
      <c r="F20" s="59">
        <f>COUNTIFS(X号构型!A:A,A20)</f>
        <v>1</v>
      </c>
      <c r="G20" s="50">
        <f t="shared" si="1"/>
        <v>0</v>
      </c>
      <c r="I20" s="58" t="s">
        <v>2481</v>
      </c>
      <c r="J20" s="59">
        <v>1</v>
      </c>
    </row>
    <row r="21" s="50" customFormat="1" ht="18" customHeight="1" spans="1:10">
      <c r="A21" s="58" t="s">
        <v>2482</v>
      </c>
      <c r="B21" s="59">
        <f>COUNTIFS('1&amp;2号构型'!A:A,A21)</f>
        <v>10</v>
      </c>
      <c r="C21" s="50">
        <f t="shared" si="0"/>
        <v>0</v>
      </c>
      <c r="E21" s="58" t="s">
        <v>2482</v>
      </c>
      <c r="F21" s="59">
        <f>COUNTIFS(X号构型!A:A,A21)</f>
        <v>8</v>
      </c>
      <c r="G21" s="60">
        <f t="shared" si="1"/>
        <v>-2</v>
      </c>
      <c r="I21" s="58" t="s">
        <v>2483</v>
      </c>
      <c r="J21" s="59">
        <v>10</v>
      </c>
    </row>
    <row r="22" s="50" customFormat="1" ht="18" customHeight="1" spans="1:10">
      <c r="A22" s="58" t="s">
        <v>2484</v>
      </c>
      <c r="B22" s="59">
        <f>COUNTIFS('1&amp;2号构型'!A:A,A22)</f>
        <v>0</v>
      </c>
      <c r="C22" s="60">
        <f t="shared" si="0"/>
        <v>-17</v>
      </c>
      <c r="E22" s="58" t="s">
        <v>2484</v>
      </c>
      <c r="F22" s="59">
        <f>COUNTIFS(X号构型!A:A,A22)</f>
        <v>17</v>
      </c>
      <c r="G22" s="50">
        <f t="shared" si="1"/>
        <v>0</v>
      </c>
      <c r="I22" s="58" t="s">
        <v>2485</v>
      </c>
      <c r="J22" s="59">
        <v>17</v>
      </c>
    </row>
    <row r="23" s="50" customFormat="1" ht="18" customHeight="1" spans="1:10">
      <c r="A23" s="58" t="s">
        <v>2486</v>
      </c>
      <c r="B23" s="59">
        <f>COUNTIFS('1&amp;2号构型'!A:A,A23)</f>
        <v>0</v>
      </c>
      <c r="C23" s="60">
        <f t="shared" si="0"/>
        <v>-17</v>
      </c>
      <c r="E23" s="58" t="s">
        <v>2486</v>
      </c>
      <c r="F23" s="59">
        <f>COUNTIFS(X号构型!A:A,A23)</f>
        <v>0</v>
      </c>
      <c r="G23" s="60">
        <f t="shared" si="1"/>
        <v>-17</v>
      </c>
      <c r="I23" s="58" t="s">
        <v>2487</v>
      </c>
      <c r="J23" s="59">
        <v>17</v>
      </c>
    </row>
    <row r="24" s="50" customFormat="1" ht="18" customHeight="1" spans="1:10">
      <c r="A24" s="58" t="s">
        <v>2488</v>
      </c>
      <c r="B24" s="59">
        <f>COUNTIFS('1&amp;2号构型'!A:A,A24)</f>
        <v>19</v>
      </c>
      <c r="C24" s="60">
        <f t="shared" si="0"/>
        <v>-3</v>
      </c>
      <c r="E24" s="58" t="s">
        <v>2488</v>
      </c>
      <c r="F24" s="59">
        <f>COUNTIFS(X号构型!A:A,A24)</f>
        <v>20</v>
      </c>
      <c r="G24" s="60">
        <f t="shared" si="1"/>
        <v>-2</v>
      </c>
      <c r="I24" s="58" t="s">
        <v>2489</v>
      </c>
      <c r="J24" s="59">
        <v>22</v>
      </c>
    </row>
    <row r="25" s="50" customFormat="1" ht="18" customHeight="1" spans="1:10">
      <c r="A25" s="58" t="s">
        <v>2490</v>
      </c>
      <c r="B25" s="59">
        <f>COUNTIFS('1&amp;2号构型'!A:A,A25)</f>
        <v>0</v>
      </c>
      <c r="C25" s="60">
        <f t="shared" si="0"/>
        <v>-8</v>
      </c>
      <c r="E25" s="58" t="s">
        <v>2490</v>
      </c>
      <c r="F25" s="59">
        <f>COUNTIFS(X号构型!A:A,A25)</f>
        <v>8</v>
      </c>
      <c r="G25" s="50">
        <f t="shared" si="1"/>
        <v>0</v>
      </c>
      <c r="I25" s="58" t="s">
        <v>2491</v>
      </c>
      <c r="J25" s="59">
        <v>8</v>
      </c>
    </row>
    <row r="26" s="50" customFormat="1" ht="18" customHeight="1" spans="1:10">
      <c r="A26" s="58" t="s">
        <v>2492</v>
      </c>
      <c r="B26" s="59">
        <f>COUNTIFS('1&amp;2号构型'!A:A,A26)</f>
        <v>62</v>
      </c>
      <c r="C26" s="50">
        <f t="shared" si="0"/>
        <v>0</v>
      </c>
      <c r="E26" s="58" t="s">
        <v>2492</v>
      </c>
      <c r="F26" s="59">
        <f>COUNTIFS(X号构型!A:A,A26)</f>
        <v>61</v>
      </c>
      <c r="G26" s="60">
        <f t="shared" si="1"/>
        <v>-1</v>
      </c>
      <c r="I26" s="58" t="s">
        <v>2493</v>
      </c>
      <c r="J26" s="59">
        <v>62</v>
      </c>
    </row>
    <row r="27" s="50" customFormat="1" ht="18" customHeight="1" spans="1:10">
      <c r="A27" s="58" t="s">
        <v>2494</v>
      </c>
      <c r="B27" s="59">
        <f>COUNTIFS('1&amp;2号构型'!A:A,A27)</f>
        <v>7</v>
      </c>
      <c r="C27" s="50">
        <f t="shared" si="0"/>
        <v>0</v>
      </c>
      <c r="E27" s="58" t="s">
        <v>2494</v>
      </c>
      <c r="F27" s="59">
        <f>COUNTIFS(X号构型!A:A,A27)</f>
        <v>0</v>
      </c>
      <c r="G27" s="60">
        <f t="shared" si="1"/>
        <v>-7</v>
      </c>
      <c r="I27" s="58" t="s">
        <v>2495</v>
      </c>
      <c r="J27" s="59">
        <v>7</v>
      </c>
    </row>
    <row r="28" s="50" customFormat="1" ht="18" customHeight="1" spans="1:10">
      <c r="A28" s="58" t="s">
        <v>2496</v>
      </c>
      <c r="B28" s="59">
        <f>COUNTIFS('1&amp;2号构型'!A:A,A28)</f>
        <v>5</v>
      </c>
      <c r="C28" s="50">
        <f t="shared" si="0"/>
        <v>0</v>
      </c>
      <c r="E28" s="58" t="s">
        <v>2496</v>
      </c>
      <c r="F28" s="59">
        <f>COUNTIFS(X号构型!A:A,A28)</f>
        <v>5</v>
      </c>
      <c r="G28" s="50">
        <f t="shared" si="1"/>
        <v>0</v>
      </c>
      <c r="I28" s="58" t="s">
        <v>2497</v>
      </c>
      <c r="J28" s="59">
        <v>5</v>
      </c>
    </row>
    <row r="29" s="50" customFormat="1" ht="18" customHeight="1" spans="1:10">
      <c r="A29" s="62" t="s">
        <v>2498</v>
      </c>
      <c r="B29" s="63">
        <f>COUNTIFS('1&amp;2号构型'!A:A,A29)</f>
        <v>6</v>
      </c>
      <c r="C29" s="50">
        <f t="shared" si="0"/>
        <v>0</v>
      </c>
      <c r="E29" s="62" t="s">
        <v>2498</v>
      </c>
      <c r="F29" s="63">
        <f>COUNTIFS(X号构型!A:A,A29)</f>
        <v>0</v>
      </c>
      <c r="G29" s="60">
        <f t="shared" si="1"/>
        <v>-6</v>
      </c>
      <c r="I29" s="62" t="s">
        <v>2499</v>
      </c>
      <c r="J29" s="63">
        <v>6</v>
      </c>
    </row>
    <row r="30" spans="1:10">
      <c r="A30"/>
    </row>
    <row r="31" s="51" customFormat="1" ht="20.25" spans="1:10">
      <c r="A31" s="64" t="s">
        <v>2500</v>
      </c>
      <c r="B31" s="51">
        <f>SUM(B7:B29)</f>
        <v>439</v>
      </c>
      <c r="E31" s="65" t="s">
        <v>2501</v>
      </c>
      <c r="F31" s="51">
        <f>SUM(F7:F29)</f>
        <v>558</v>
      </c>
      <c r="I31" s="66" t="s">
        <v>2502</v>
      </c>
      <c r="J31" s="51">
        <v>607</v>
      </c>
    </row>
    <row r="32" spans="1:10">
      <c r="A32" s="67" t="s">
        <v>2503</v>
      </c>
      <c r="E32" s="67" t="s">
        <v>2504</v>
      </c>
    </row>
    <row r="33" spans="1:5">
      <c r="A33"/>
      <c r="E33" s="67" t="s">
        <v>2505</v>
      </c>
    </row>
    <row r="34" spans="1:5">
      <c r="A34"/>
      <c r="E34" s="67" t="s">
        <v>2506</v>
      </c>
    </row>
    <row r="35" spans="1:5">
      <c r="A35"/>
      <c r="E35" s="67" t="s">
        <v>2507</v>
      </c>
    </row>
    <row r="36" spans="1:5">
      <c r="A36"/>
      <c r="E36" s="67" t="s">
        <v>2508</v>
      </c>
    </row>
    <row r="37" spans="1:5">
      <c r="A37"/>
    </row>
    <row r="38" spans="1:5">
      <c r="A38"/>
    </row>
    <row r="39" spans="1:5">
      <c r="A39"/>
    </row>
    <row r="40" spans="1:5">
      <c r="A40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B$1048576" name="Range1"/>
  </protectedRange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048531"/>
  <sheetViews>
    <sheetView topLeftCell="A20" workbookViewId="0">
      <selection activeCell="S513" sqref="S513"/>
    </sheetView>
  </sheetViews>
  <sheetFormatPr defaultColWidth="9" defaultRowHeight="15" outlineLevelCol="6"/>
  <cols>
    <col min="1" max="1" width="17.225" customWidth="1"/>
    <col min="2" max="2" width="27.5916666666667" style="13" customWidth="1"/>
    <col min="3" max="3" width="31.6583333333333" style="14" customWidth="1"/>
    <col min="6" max="6" width="29.4666666666667" customWidth="1"/>
    <col min="7" max="7" width="20.55" style="14" customWidth="1"/>
  </cols>
  <sheetData>
    <row r="1" customFormat="1" ht="14.25" spans="1:7">
      <c r="A1" s="15" t="s">
        <v>0</v>
      </c>
      <c r="B1" s="16" t="s">
        <v>1</v>
      </c>
      <c r="C1" s="17" t="s">
        <v>2</v>
      </c>
      <c r="D1" s="18" t="s">
        <v>3</v>
      </c>
      <c r="G1" s="14"/>
    </row>
    <row r="2" customFormat="1" ht="13.5" spans="1:7">
      <c r="A2" t="s">
        <v>2457</v>
      </c>
      <c r="B2" t="s">
        <v>2187</v>
      </c>
      <c r="C2" s="14" t="s">
        <v>2189</v>
      </c>
      <c r="D2" t="s">
        <v>2509</v>
      </c>
      <c r="G2" s="14"/>
    </row>
    <row r="3" customFormat="1" ht="13.5" spans="1:7">
      <c r="A3" t="s">
        <v>2457</v>
      </c>
      <c r="B3" t="s">
        <v>2191</v>
      </c>
      <c r="C3" s="14" t="s">
        <v>2189</v>
      </c>
      <c r="D3" t="s">
        <v>2510</v>
      </c>
      <c r="G3" s="14"/>
    </row>
    <row r="4" customFormat="1" ht="13.5" spans="1:7">
      <c r="A4" t="s">
        <v>2461</v>
      </c>
      <c r="B4" s="19" t="s">
        <v>1761</v>
      </c>
      <c r="C4" s="14" t="s">
        <v>1763</v>
      </c>
      <c r="D4" t="s">
        <v>2511</v>
      </c>
      <c r="G4" s="14"/>
    </row>
    <row r="5" customFormat="1" ht="13.5" spans="1:7">
      <c r="A5" t="s">
        <v>2461</v>
      </c>
      <c r="B5" s="19" t="s">
        <v>1766</v>
      </c>
      <c r="C5" s="14" t="s">
        <v>1763</v>
      </c>
      <c r="D5" t="s">
        <v>2512</v>
      </c>
      <c r="G5" s="14"/>
    </row>
    <row r="6" customFormat="1" ht="13.5" spans="1:7">
      <c r="A6" t="s">
        <v>2463</v>
      </c>
      <c r="B6" s="19" t="s">
        <v>2513</v>
      </c>
      <c r="C6" s="14" t="s">
        <v>2514</v>
      </c>
      <c r="D6" t="s">
        <v>2515</v>
      </c>
      <c r="G6" s="14"/>
    </row>
    <row r="7" customFormat="1" ht="13.5" spans="1:7">
      <c r="A7" t="s">
        <v>2475</v>
      </c>
      <c r="B7" t="s">
        <v>2516</v>
      </c>
      <c r="C7" s="14"/>
      <c r="G7" s="14"/>
    </row>
    <row r="8" customFormat="1" ht="13.5" spans="1:7">
      <c r="A8" t="s">
        <v>2477</v>
      </c>
      <c r="B8" s="19" t="s">
        <v>2065</v>
      </c>
      <c r="C8" s="14" t="s">
        <v>2067</v>
      </c>
      <c r="D8" t="s">
        <v>1638</v>
      </c>
      <c r="G8" s="14"/>
    </row>
    <row r="9" customFormat="1" ht="13.5" spans="1:7">
      <c r="A9" t="s">
        <v>2477</v>
      </c>
      <c r="B9" s="19" t="s">
        <v>2070</v>
      </c>
      <c r="C9" s="14" t="s">
        <v>2071</v>
      </c>
      <c r="D9" t="s">
        <v>2517</v>
      </c>
      <c r="G9" s="14"/>
    </row>
    <row r="10" customFormat="1" ht="13.5" spans="1:7">
      <c r="A10" t="s">
        <v>2477</v>
      </c>
      <c r="B10" s="19" t="s">
        <v>2072</v>
      </c>
      <c r="C10" s="14" t="s">
        <v>2071</v>
      </c>
      <c r="D10" t="s">
        <v>2518</v>
      </c>
      <c r="G10" s="14"/>
    </row>
    <row r="11" spans="1:7">
      <c r="A11" s="20"/>
      <c r="B11" s="21"/>
      <c r="C11" s="22"/>
    </row>
    <row r="12" ht="50.25" spans="1:7">
      <c r="A12" s="23" t="s">
        <v>2519</v>
      </c>
      <c r="B12" s="21"/>
      <c r="C12" s="22"/>
    </row>
    <row r="14" spans="1:7">
      <c r="A14" s="24" t="s">
        <v>2520</v>
      </c>
      <c r="B14" s="25" t="s">
        <v>2521</v>
      </c>
      <c r="C14" s="26" t="s">
        <v>1253</v>
      </c>
      <c r="E14" s="27" t="s">
        <v>2522</v>
      </c>
      <c r="F14" s="28" t="s">
        <v>1842</v>
      </c>
      <c r="G14" s="29" t="s">
        <v>2523</v>
      </c>
    </row>
    <row r="15" ht="13.5" spans="1:7">
      <c r="A15" s="30" t="s">
        <v>2520</v>
      </c>
      <c r="B15" s="31" t="s">
        <v>1768</v>
      </c>
      <c r="C15" s="32" t="s">
        <v>2524</v>
      </c>
      <c r="E15" s="33" t="s">
        <v>2522</v>
      </c>
      <c r="F15" s="34" t="s">
        <v>1846</v>
      </c>
      <c r="G15" s="35" t="s">
        <v>2523</v>
      </c>
    </row>
    <row r="16" spans="1:7">
      <c r="A16" s="30" t="s">
        <v>2520</v>
      </c>
      <c r="B16" s="31" t="s">
        <v>1770</v>
      </c>
      <c r="C16" s="32" t="s">
        <v>2524</v>
      </c>
      <c r="E16" s="33" t="s">
        <v>2522</v>
      </c>
      <c r="F16" s="34" t="s">
        <v>2525</v>
      </c>
      <c r="G16" s="35" t="s">
        <v>2523</v>
      </c>
    </row>
    <row r="17" spans="1:7">
      <c r="A17" s="30" t="s">
        <v>2520</v>
      </c>
      <c r="B17" s="31" t="s">
        <v>2526</v>
      </c>
      <c r="C17" s="32" t="s">
        <v>2527</v>
      </c>
      <c r="E17" s="33" t="s">
        <v>2522</v>
      </c>
      <c r="F17" s="34" t="s">
        <v>2528</v>
      </c>
      <c r="G17" s="35" t="s">
        <v>2523</v>
      </c>
    </row>
    <row r="18" ht="13.5" spans="1:7">
      <c r="A18" s="30" t="s">
        <v>2520</v>
      </c>
      <c r="B18" s="31" t="s">
        <v>2529</v>
      </c>
      <c r="C18" s="32" t="s">
        <v>2527</v>
      </c>
      <c r="E18" s="33" t="s">
        <v>2522</v>
      </c>
      <c r="F18" s="34" t="s">
        <v>2225</v>
      </c>
      <c r="G18" s="35" t="s">
        <v>2523</v>
      </c>
    </row>
    <row r="19" ht="13.5" spans="1:7">
      <c r="A19" s="30" t="s">
        <v>2520</v>
      </c>
      <c r="B19" s="31" t="s">
        <v>2225</v>
      </c>
      <c r="C19" s="32" t="s">
        <v>2523</v>
      </c>
      <c r="E19" s="33" t="s">
        <v>2522</v>
      </c>
      <c r="F19" s="36" t="s">
        <v>2228</v>
      </c>
      <c r="G19" s="35" t="s">
        <v>2530</v>
      </c>
    </row>
    <row r="20" ht="13.5" spans="1:7">
      <c r="A20" s="30" t="s">
        <v>2520</v>
      </c>
      <c r="B20" s="37" t="s">
        <v>2228</v>
      </c>
      <c r="C20" s="38" t="s">
        <v>2531</v>
      </c>
      <c r="E20" s="33" t="s">
        <v>2522</v>
      </c>
      <c r="F20" s="36" t="s">
        <v>2230</v>
      </c>
      <c r="G20" s="35" t="s">
        <v>2530</v>
      </c>
    </row>
    <row r="21" ht="13.5" spans="1:7">
      <c r="A21" s="30" t="s">
        <v>2520</v>
      </c>
      <c r="B21" s="31" t="s">
        <v>1374</v>
      </c>
      <c r="C21" s="39" t="s">
        <v>2532</v>
      </c>
      <c r="E21" s="33" t="s">
        <v>2522</v>
      </c>
      <c r="F21" s="34" t="s">
        <v>2533</v>
      </c>
      <c r="G21" s="35" t="s">
        <v>2523</v>
      </c>
    </row>
    <row r="22" ht="13.5" spans="1:7">
      <c r="A22" s="30" t="s">
        <v>2520</v>
      </c>
      <c r="B22" s="31" t="s">
        <v>2533</v>
      </c>
      <c r="C22" s="32" t="s">
        <v>2534</v>
      </c>
      <c r="E22" s="33" t="s">
        <v>2522</v>
      </c>
      <c r="F22" s="34" t="s">
        <v>2076</v>
      </c>
      <c r="G22" s="35" t="s">
        <v>2523</v>
      </c>
    </row>
    <row r="23" spans="1:7">
      <c r="A23" s="30" t="s">
        <v>2520</v>
      </c>
      <c r="B23" s="31" t="s">
        <v>2076</v>
      </c>
      <c r="C23" s="32" t="s">
        <v>2534</v>
      </c>
      <c r="E23" s="33" t="s">
        <v>2522</v>
      </c>
      <c r="F23" s="40" t="s">
        <v>2061</v>
      </c>
      <c r="G23" s="35" t="s">
        <v>2535</v>
      </c>
    </row>
    <row r="24" spans="1:7">
      <c r="A24" s="30" t="s">
        <v>2520</v>
      </c>
      <c r="B24" s="31" t="s">
        <v>1612</v>
      </c>
      <c r="C24" s="32" t="s">
        <v>2536</v>
      </c>
      <c r="E24" s="33" t="s">
        <v>2522</v>
      </c>
      <c r="F24" s="40" t="s">
        <v>2537</v>
      </c>
      <c r="G24" s="35" t="s">
        <v>2523</v>
      </c>
    </row>
    <row r="25" spans="1:7">
      <c r="A25" s="30" t="s">
        <v>2520</v>
      </c>
      <c r="B25" s="31" t="s">
        <v>1620</v>
      </c>
      <c r="C25" s="32" t="s">
        <v>2536</v>
      </c>
      <c r="E25" s="33" t="s">
        <v>2522</v>
      </c>
      <c r="F25" s="40" t="s">
        <v>2538</v>
      </c>
      <c r="G25" s="35" t="s">
        <v>2523</v>
      </c>
    </row>
    <row r="26" spans="1:7">
      <c r="A26" s="30" t="s">
        <v>2520</v>
      </c>
      <c r="B26" s="31" t="s">
        <v>2539</v>
      </c>
      <c r="C26" s="32" t="s">
        <v>2536</v>
      </c>
      <c r="E26" s="33" t="s">
        <v>2522</v>
      </c>
      <c r="F26" s="40" t="s">
        <v>2540</v>
      </c>
      <c r="G26" s="35" t="s">
        <v>2523</v>
      </c>
    </row>
    <row r="27" spans="1:7">
      <c r="A27" s="30" t="s">
        <v>2520</v>
      </c>
      <c r="B27" s="31" t="s">
        <v>2541</v>
      </c>
      <c r="C27" s="32" t="s">
        <v>2536</v>
      </c>
      <c r="E27" s="33" t="s">
        <v>2522</v>
      </c>
      <c r="F27" s="40" t="s">
        <v>2542</v>
      </c>
      <c r="G27" s="35" t="s">
        <v>2523</v>
      </c>
    </row>
    <row r="28" spans="1:7">
      <c r="A28" s="30" t="s">
        <v>2520</v>
      </c>
      <c r="B28" s="31" t="s">
        <v>2543</v>
      </c>
      <c r="C28" s="32" t="s">
        <v>2536</v>
      </c>
      <c r="E28" s="33" t="s">
        <v>2522</v>
      </c>
      <c r="F28" s="34" t="s">
        <v>1620</v>
      </c>
      <c r="G28" s="35" t="s">
        <v>2523</v>
      </c>
    </row>
    <row r="29" spans="1:7">
      <c r="A29" s="30" t="s">
        <v>2520</v>
      </c>
      <c r="B29" s="31" t="s">
        <v>2544</v>
      </c>
      <c r="C29" s="32" t="s">
        <v>2536</v>
      </c>
      <c r="E29" s="33" t="s">
        <v>2522</v>
      </c>
      <c r="F29" s="34" t="s">
        <v>2539</v>
      </c>
      <c r="G29" s="35" t="s">
        <v>2523</v>
      </c>
    </row>
    <row r="30" spans="1:7">
      <c r="A30" s="30" t="s">
        <v>2520</v>
      </c>
      <c r="B30" s="31" t="s">
        <v>2545</v>
      </c>
      <c r="C30" s="32" t="s">
        <v>2536</v>
      </c>
      <c r="E30" s="33" t="s">
        <v>2522</v>
      </c>
      <c r="F30" s="34" t="s">
        <v>2541</v>
      </c>
      <c r="G30" s="35" t="s">
        <v>2523</v>
      </c>
    </row>
    <row r="31" spans="1:7">
      <c r="A31" s="30" t="s">
        <v>2520</v>
      </c>
      <c r="B31" s="31" t="s">
        <v>2546</v>
      </c>
      <c r="C31" s="32" t="s">
        <v>2536</v>
      </c>
      <c r="E31" s="33" t="s">
        <v>2522</v>
      </c>
      <c r="F31" s="34" t="s">
        <v>2543</v>
      </c>
      <c r="G31" s="35" t="s">
        <v>2523</v>
      </c>
    </row>
    <row r="32" spans="1:7">
      <c r="A32" s="30" t="s">
        <v>2520</v>
      </c>
      <c r="B32" s="31" t="s">
        <v>2547</v>
      </c>
      <c r="C32" s="32" t="s">
        <v>2536</v>
      </c>
      <c r="E32" s="33" t="s">
        <v>2522</v>
      </c>
      <c r="F32" s="34" t="s">
        <v>2544</v>
      </c>
      <c r="G32" s="35" t="s">
        <v>2523</v>
      </c>
    </row>
    <row r="33" spans="1:7">
      <c r="A33" s="30" t="s">
        <v>2520</v>
      </c>
      <c r="B33" s="31" t="s">
        <v>2548</v>
      </c>
      <c r="C33" s="32" t="s">
        <v>2536</v>
      </c>
      <c r="E33" s="33" t="s">
        <v>2522</v>
      </c>
      <c r="F33" s="34" t="s">
        <v>2545</v>
      </c>
      <c r="G33" s="35" t="s">
        <v>2523</v>
      </c>
    </row>
    <row r="34" spans="1:7">
      <c r="A34" s="30" t="s">
        <v>2520</v>
      </c>
      <c r="B34" s="31" t="s">
        <v>2549</v>
      </c>
      <c r="C34" s="32" t="s">
        <v>2536</v>
      </c>
      <c r="E34" s="33" t="s">
        <v>2522</v>
      </c>
      <c r="F34" s="34" t="s">
        <v>2546</v>
      </c>
      <c r="G34" s="35" t="s">
        <v>2523</v>
      </c>
    </row>
    <row r="35" spans="1:7">
      <c r="A35" s="30" t="s">
        <v>2520</v>
      </c>
      <c r="B35" s="31" t="s">
        <v>2550</v>
      </c>
      <c r="C35" s="32" t="s">
        <v>2536</v>
      </c>
      <c r="E35" s="33" t="s">
        <v>2522</v>
      </c>
      <c r="F35" s="34" t="s">
        <v>2547</v>
      </c>
      <c r="G35" s="35" t="s">
        <v>2523</v>
      </c>
    </row>
    <row r="36" spans="1:7">
      <c r="A36" s="30" t="s">
        <v>2520</v>
      </c>
      <c r="B36" s="31" t="s">
        <v>2551</v>
      </c>
      <c r="C36" s="32" t="s">
        <v>2536</v>
      </c>
      <c r="E36" s="33" t="s">
        <v>2522</v>
      </c>
      <c r="F36" s="34" t="s">
        <v>2548</v>
      </c>
      <c r="G36" s="35" t="s">
        <v>2523</v>
      </c>
    </row>
    <row r="37" spans="1:7">
      <c r="A37" s="30" t="s">
        <v>2520</v>
      </c>
      <c r="B37" s="31" t="s">
        <v>2552</v>
      </c>
      <c r="C37" s="32" t="s">
        <v>2536</v>
      </c>
      <c r="E37" s="33" t="s">
        <v>2522</v>
      </c>
      <c r="F37" s="34" t="s">
        <v>2549</v>
      </c>
      <c r="G37" s="35" t="s">
        <v>2523</v>
      </c>
    </row>
    <row r="38" spans="1:7">
      <c r="A38" s="30" t="s">
        <v>2520</v>
      </c>
      <c r="B38" s="31" t="s">
        <v>2553</v>
      </c>
      <c r="C38" s="32" t="s">
        <v>2536</v>
      </c>
      <c r="E38" s="33" t="s">
        <v>2522</v>
      </c>
      <c r="F38" s="34" t="s">
        <v>2550</v>
      </c>
      <c r="G38" s="35" t="s">
        <v>2523</v>
      </c>
    </row>
    <row r="39" spans="1:7">
      <c r="A39" s="30" t="s">
        <v>2520</v>
      </c>
      <c r="B39" s="31" t="s">
        <v>2554</v>
      </c>
      <c r="C39" s="32" t="s">
        <v>2536</v>
      </c>
      <c r="E39" s="33" t="s">
        <v>2522</v>
      </c>
      <c r="F39" s="34" t="s">
        <v>2551</v>
      </c>
      <c r="G39" s="35" t="s">
        <v>2523</v>
      </c>
    </row>
    <row r="40" spans="1:7">
      <c r="A40" s="30" t="s">
        <v>2520</v>
      </c>
      <c r="B40" s="31" t="s">
        <v>2555</v>
      </c>
      <c r="C40" s="32" t="s">
        <v>2536</v>
      </c>
      <c r="E40" s="33" t="s">
        <v>2522</v>
      </c>
      <c r="F40" s="34" t="s">
        <v>2552</v>
      </c>
      <c r="G40" s="35" t="s">
        <v>2523</v>
      </c>
    </row>
    <row r="41" spans="1:7">
      <c r="A41" s="30" t="s">
        <v>2520</v>
      </c>
      <c r="B41" s="31" t="s">
        <v>2556</v>
      </c>
      <c r="C41" s="32" t="s">
        <v>2536</v>
      </c>
      <c r="E41" s="33" t="s">
        <v>2522</v>
      </c>
      <c r="F41" s="34" t="s">
        <v>2553</v>
      </c>
      <c r="G41" s="35" t="s">
        <v>2523</v>
      </c>
    </row>
    <row r="42" spans="1:7">
      <c r="A42" s="30" t="s">
        <v>2520</v>
      </c>
      <c r="B42" s="31" t="s">
        <v>2557</v>
      </c>
      <c r="C42" s="32" t="s">
        <v>986</v>
      </c>
      <c r="E42" s="33" t="s">
        <v>2522</v>
      </c>
      <c r="F42" s="34" t="s">
        <v>2554</v>
      </c>
      <c r="G42" s="35" t="s">
        <v>2523</v>
      </c>
    </row>
    <row r="43" spans="1:7">
      <c r="A43" s="30" t="s">
        <v>2520</v>
      </c>
      <c r="B43" s="31" t="s">
        <v>2126</v>
      </c>
      <c r="C43" s="32" t="s">
        <v>2558</v>
      </c>
      <c r="E43" s="33" t="s">
        <v>2522</v>
      </c>
      <c r="F43" s="34" t="s">
        <v>2555</v>
      </c>
      <c r="G43" s="35" t="s">
        <v>2523</v>
      </c>
    </row>
    <row r="44" ht="15.75" spans="1:7">
      <c r="A44" s="41" t="s">
        <v>2520</v>
      </c>
      <c r="B44" s="42" t="s">
        <v>2130</v>
      </c>
      <c r="C44" s="43" t="s">
        <v>2536</v>
      </c>
      <c r="E44" s="33" t="s">
        <v>2522</v>
      </c>
      <c r="F44" s="34" t="s">
        <v>2556</v>
      </c>
      <c r="G44" s="35" t="s">
        <v>2523</v>
      </c>
    </row>
    <row r="45" spans="1:7">
      <c r="E45" s="33" t="s">
        <v>2522</v>
      </c>
      <c r="F45" s="34" t="s">
        <v>2557</v>
      </c>
      <c r="G45" s="35" t="s">
        <v>1532</v>
      </c>
    </row>
    <row r="46" spans="1:7">
      <c r="E46" s="33" t="s">
        <v>2522</v>
      </c>
      <c r="F46" s="34" t="s">
        <v>2126</v>
      </c>
      <c r="G46" s="35" t="s">
        <v>2558</v>
      </c>
    </row>
    <row r="47" spans="1:7">
      <c r="E47" s="33" t="s">
        <v>2522</v>
      </c>
      <c r="F47" s="40" t="s">
        <v>2559</v>
      </c>
      <c r="G47" s="35" t="s">
        <v>2523</v>
      </c>
    </row>
    <row r="48" spans="1:7">
      <c r="E48" s="33" t="s">
        <v>2522</v>
      </c>
      <c r="F48" s="34" t="s">
        <v>1851</v>
      </c>
      <c r="G48" s="35" t="s">
        <v>2523</v>
      </c>
    </row>
    <row r="49" spans="4:7">
      <c r="E49" s="33" t="s">
        <v>2522</v>
      </c>
      <c r="F49" s="34" t="s">
        <v>1852</v>
      </c>
      <c r="G49" s="35" t="s">
        <v>2523</v>
      </c>
    </row>
    <row r="50" spans="4:7">
      <c r="E50" s="33" t="s">
        <v>2522</v>
      </c>
      <c r="F50" s="40" t="s">
        <v>2560</v>
      </c>
      <c r="G50" s="35" t="s">
        <v>2523</v>
      </c>
    </row>
    <row r="51" spans="4:7">
      <c r="E51" s="33" t="s">
        <v>2522</v>
      </c>
      <c r="F51" s="40" t="s">
        <v>2561</v>
      </c>
      <c r="G51" s="35" t="s">
        <v>2523</v>
      </c>
    </row>
    <row r="52" spans="4:7">
      <c r="E52" s="33" t="s">
        <v>2522</v>
      </c>
      <c r="F52" s="34" t="s">
        <v>1894</v>
      </c>
      <c r="G52" s="35" t="s">
        <v>2523</v>
      </c>
    </row>
    <row r="53" spans="4:7">
      <c r="E53" s="33" t="s">
        <v>2522</v>
      </c>
      <c r="F53" s="34" t="s">
        <v>2562</v>
      </c>
      <c r="G53" s="35" t="s">
        <v>2563</v>
      </c>
    </row>
    <row r="54" spans="4:7">
      <c r="E54" s="33" t="s">
        <v>2522</v>
      </c>
      <c r="F54" s="34" t="s">
        <v>2435</v>
      </c>
      <c r="G54" s="35" t="s">
        <v>2564</v>
      </c>
    </row>
    <row r="55" spans="4:7">
      <c r="E55" s="33" t="s">
        <v>2522</v>
      </c>
      <c r="F55" s="34" t="s">
        <v>2436</v>
      </c>
      <c r="G55" s="35" t="s">
        <v>2564</v>
      </c>
    </row>
    <row r="56" ht="15.75" spans="4:7">
      <c r="D56" s="44"/>
      <c r="E56" s="45" t="s">
        <v>2522</v>
      </c>
      <c r="F56" s="46" t="s">
        <v>933</v>
      </c>
      <c r="G56" s="47" t="s">
        <v>2565</v>
      </c>
    </row>
    <row r="57" spans="4:7">
      <c r="E57" s="48" t="s">
        <v>2522</v>
      </c>
      <c r="F57" s="49" t="s">
        <v>778</v>
      </c>
      <c r="G57" s="47" t="s">
        <v>2565</v>
      </c>
    </row>
    <row r="58" spans="4:7">
      <c r="E58" s="48" t="s">
        <v>2522</v>
      </c>
      <c r="F58" s="49" t="s">
        <v>782</v>
      </c>
      <c r="G58" s="47" t="s">
        <v>2565</v>
      </c>
    </row>
    <row r="59" spans="4:7">
      <c r="E59" s="48" t="s">
        <v>2522</v>
      </c>
      <c r="F59" s="49" t="s">
        <v>784</v>
      </c>
      <c r="G59" s="47" t="s">
        <v>2565</v>
      </c>
    </row>
    <row r="60" spans="4:7">
      <c r="E60" s="48" t="s">
        <v>2522</v>
      </c>
      <c r="F60" s="49" t="s">
        <v>788</v>
      </c>
      <c r="G60" s="47" t="s">
        <v>2565</v>
      </c>
    </row>
    <row r="1047986" customFormat="1" ht="13.5" spans="3:7">
      <c r="C1047986" s="14"/>
      <c r="G1047986" s="14"/>
    </row>
    <row r="1047987" customFormat="1" ht="13.5" spans="3:7">
      <c r="C1047987" s="14"/>
      <c r="G1047987" s="14"/>
    </row>
    <row r="1047988" customFormat="1" ht="13.5" spans="3:7">
      <c r="C1047988" s="14"/>
      <c r="G1047988" s="14"/>
    </row>
    <row r="1047989" customFormat="1" ht="13.5" spans="3:7">
      <c r="C1047989" s="14"/>
      <c r="G1047989" s="14"/>
    </row>
    <row r="1047990" customFormat="1" ht="13.5" spans="3:7">
      <c r="C1047990" s="14"/>
      <c r="G1047990" s="14"/>
    </row>
    <row r="1047991" customFormat="1" ht="13.5" spans="3:7">
      <c r="C1047991" s="14"/>
      <c r="G1047991" s="14"/>
    </row>
    <row r="1047992" customFormat="1" ht="13.5" spans="3:7">
      <c r="C1047992" s="14"/>
      <c r="G1047992" s="14"/>
    </row>
    <row r="1047993" customFormat="1" ht="13.5" spans="3:7">
      <c r="C1047993" s="14"/>
      <c r="G1047993" s="14"/>
    </row>
    <row r="1047994" customFormat="1" ht="13.5" spans="3:7">
      <c r="C1047994" s="14"/>
      <c r="G1047994" s="14"/>
    </row>
    <row r="1047995" customFormat="1" ht="13.5" spans="3:7">
      <c r="C1047995" s="14"/>
      <c r="G1047995" s="14"/>
    </row>
    <row r="1047996" customFormat="1" ht="13.5" spans="3:7">
      <c r="C1047996" s="14"/>
      <c r="G1047996" s="14"/>
    </row>
    <row r="1047997" customFormat="1" ht="13.5" spans="3:7">
      <c r="C1047997" s="14"/>
      <c r="G1047997" s="14"/>
    </row>
    <row r="1047998" customFormat="1" ht="13.5" spans="3:7">
      <c r="C1047998" s="14"/>
      <c r="G1047998" s="14"/>
    </row>
    <row r="1047999" customFormat="1" ht="13.5" spans="3:7">
      <c r="C1047999" s="14"/>
      <c r="G1047999" s="14"/>
    </row>
    <row r="1048000" customFormat="1" ht="13.5" spans="3:7">
      <c r="C1048000" s="14"/>
      <c r="G1048000" s="14"/>
    </row>
    <row r="1048001" customFormat="1" ht="13.5" spans="3:7">
      <c r="C1048001" s="14"/>
      <c r="G1048001" s="14"/>
    </row>
    <row r="1048002" customFormat="1" ht="13.5" spans="3:7">
      <c r="C1048002" s="14"/>
      <c r="G1048002" s="14"/>
    </row>
    <row r="1048003" customFormat="1" ht="13.5" spans="3:7">
      <c r="C1048003" s="14"/>
      <c r="G1048003" s="14"/>
    </row>
    <row r="1048004" customFormat="1" ht="13.5" spans="3:7">
      <c r="C1048004" s="14"/>
      <c r="G1048004" s="14"/>
    </row>
    <row r="1048005" customFormat="1" ht="13.5" spans="3:7">
      <c r="C1048005" s="14"/>
      <c r="G1048005" s="14"/>
    </row>
    <row r="1048006" customFormat="1" ht="13.5" spans="3:7">
      <c r="C1048006" s="14"/>
      <c r="G1048006" s="14"/>
    </row>
    <row r="1048007" customFormat="1" ht="13.5" spans="3:7">
      <c r="C1048007" s="14"/>
      <c r="G1048007" s="14"/>
    </row>
    <row r="1048008" customFormat="1" ht="13.5" spans="3:7">
      <c r="C1048008" s="14"/>
      <c r="G1048008" s="14"/>
    </row>
    <row r="1048009" customFormat="1" ht="13.5" spans="3:7">
      <c r="C1048009" s="14"/>
      <c r="G1048009" s="14"/>
    </row>
    <row r="1048010" customFormat="1" ht="13.5" spans="3:7">
      <c r="C1048010" s="14"/>
      <c r="G1048010" s="14"/>
    </row>
    <row r="1048011" customFormat="1" ht="13.5" spans="3:7">
      <c r="C1048011" s="14"/>
      <c r="G1048011" s="14"/>
    </row>
    <row r="1048012" customFormat="1" ht="13.5" spans="3:7">
      <c r="C1048012" s="14"/>
      <c r="G1048012" s="14"/>
    </row>
    <row r="1048013" customFormat="1" ht="13.5" spans="3:7">
      <c r="C1048013" s="14"/>
      <c r="G1048013" s="14"/>
    </row>
    <row r="1048014" customFormat="1" ht="13.5" spans="3:7">
      <c r="C1048014" s="14"/>
      <c r="G1048014" s="14"/>
    </row>
    <row r="1048015" customFormat="1" ht="13.5" spans="3:7">
      <c r="C1048015" s="14"/>
      <c r="G1048015" s="14"/>
    </row>
    <row r="1048016" customFormat="1" ht="13.5" spans="3:7">
      <c r="C1048016" s="14"/>
      <c r="G1048016" s="14"/>
    </row>
    <row r="1048017" customFormat="1" ht="13.5" spans="3:7">
      <c r="C1048017" s="14"/>
      <c r="G1048017" s="14"/>
    </row>
    <row r="1048018" customFormat="1" ht="13.5" spans="3:7">
      <c r="C1048018" s="14"/>
      <c r="G1048018" s="14"/>
    </row>
    <row r="1048019" customFormat="1" ht="13.5" spans="3:7">
      <c r="C1048019" s="14"/>
      <c r="G1048019" s="14"/>
    </row>
    <row r="1048020" customFormat="1" ht="13.5" spans="3:7">
      <c r="C1048020" s="14"/>
      <c r="G1048020" s="14"/>
    </row>
    <row r="1048021" customFormat="1" ht="13.5" spans="3:7">
      <c r="C1048021" s="14"/>
      <c r="G1048021" s="14"/>
    </row>
    <row r="1048022" customFormat="1" ht="13.5" spans="3:7">
      <c r="C1048022" s="14"/>
      <c r="G1048022" s="14"/>
    </row>
    <row r="1048023" customFormat="1" ht="13.5" spans="3:7">
      <c r="C1048023" s="14"/>
      <c r="G1048023" s="14"/>
    </row>
    <row r="1048024" customFormat="1" ht="13.5" spans="3:7">
      <c r="C1048024" s="14"/>
      <c r="G1048024" s="14"/>
    </row>
    <row r="1048025" customFormat="1" ht="13.5" spans="3:7">
      <c r="C1048025" s="14"/>
      <c r="G1048025" s="14"/>
    </row>
    <row r="1048026" customFormat="1" ht="13.5" spans="3:7">
      <c r="C1048026" s="14"/>
      <c r="G1048026" s="14"/>
    </row>
    <row r="1048027" customFormat="1" ht="13.5" spans="3:7">
      <c r="C1048027" s="14"/>
      <c r="G1048027" s="14"/>
    </row>
    <row r="1048028" customFormat="1" ht="13.5" spans="3:7">
      <c r="C1048028" s="14"/>
      <c r="G1048028" s="14"/>
    </row>
    <row r="1048029" customFormat="1" ht="13.5" spans="3:7">
      <c r="C1048029" s="14"/>
      <c r="G1048029" s="14"/>
    </row>
    <row r="1048030" customFormat="1" ht="13.5" spans="3:7">
      <c r="C1048030" s="14"/>
      <c r="G1048030" s="14"/>
    </row>
    <row r="1048031" customFormat="1" ht="13.5" spans="3:7">
      <c r="C1048031" s="14"/>
      <c r="G1048031" s="14"/>
    </row>
    <row r="1048032" customFormat="1" ht="13.5" spans="3:7">
      <c r="C1048032" s="14"/>
      <c r="G1048032" s="14"/>
    </row>
    <row r="1048033" customFormat="1" ht="13.5" spans="3:7">
      <c r="C1048033" s="14"/>
      <c r="G1048033" s="14"/>
    </row>
    <row r="1048034" customFormat="1" ht="13.5" spans="3:7">
      <c r="C1048034" s="14"/>
      <c r="G1048034" s="14"/>
    </row>
    <row r="1048035" customFormat="1" ht="13.5" spans="3:7">
      <c r="C1048035" s="14"/>
      <c r="G1048035" s="14"/>
    </row>
    <row r="1048036" customFormat="1" ht="13.5" spans="3:7">
      <c r="C1048036" s="14"/>
      <c r="G1048036" s="14"/>
    </row>
    <row r="1048037" customFormat="1" ht="13.5" spans="3:7">
      <c r="C1048037" s="14"/>
      <c r="G1048037" s="14"/>
    </row>
    <row r="1048038" customFormat="1" ht="13.5" spans="3:7">
      <c r="C1048038" s="14"/>
      <c r="G1048038" s="14"/>
    </row>
    <row r="1048039" customFormat="1" ht="13.5" spans="3:7">
      <c r="C1048039" s="14"/>
      <c r="G1048039" s="14"/>
    </row>
    <row r="1048040" customFormat="1" ht="13.5" spans="3:7">
      <c r="C1048040" s="14"/>
      <c r="G1048040" s="14"/>
    </row>
    <row r="1048041" customFormat="1" ht="13.5" spans="3:7">
      <c r="C1048041" s="14"/>
      <c r="G1048041" s="14"/>
    </row>
    <row r="1048042" customFormat="1" ht="13.5" spans="3:7">
      <c r="C1048042" s="14"/>
      <c r="G1048042" s="14"/>
    </row>
    <row r="1048043" customFormat="1" ht="13.5" spans="3:7">
      <c r="C1048043" s="14"/>
      <c r="G1048043" s="14"/>
    </row>
    <row r="1048044" customFormat="1" ht="13.5" spans="3:7">
      <c r="C1048044" s="14"/>
      <c r="G1048044" s="14"/>
    </row>
    <row r="1048045" customFormat="1" ht="13.5" spans="3:7">
      <c r="C1048045" s="14"/>
      <c r="G1048045" s="14"/>
    </row>
    <row r="1048046" customFormat="1" ht="13.5" spans="3:7">
      <c r="C1048046" s="14"/>
      <c r="G1048046" s="14"/>
    </row>
    <row r="1048047" customFormat="1" ht="13.5" spans="3:7">
      <c r="C1048047" s="14"/>
      <c r="G1048047" s="14"/>
    </row>
    <row r="1048048" customFormat="1" ht="13.5" spans="3:7">
      <c r="C1048048" s="14"/>
      <c r="G1048048" s="14"/>
    </row>
    <row r="1048049" customFormat="1" ht="13.5" spans="3:7">
      <c r="C1048049" s="14"/>
      <c r="G1048049" s="14"/>
    </row>
    <row r="1048050" customFormat="1" ht="13.5" spans="3:7">
      <c r="C1048050" s="14"/>
      <c r="G1048050" s="14"/>
    </row>
    <row r="1048051" customFormat="1" ht="13.5" spans="3:7">
      <c r="C1048051" s="14"/>
      <c r="G1048051" s="14"/>
    </row>
    <row r="1048052" customFormat="1" ht="13.5" spans="3:7">
      <c r="C1048052" s="14"/>
      <c r="G1048052" s="14"/>
    </row>
    <row r="1048053" customFormat="1" ht="13.5" spans="3:7">
      <c r="C1048053" s="14"/>
      <c r="G1048053" s="14"/>
    </row>
    <row r="1048054" customFormat="1" ht="13.5" spans="3:7">
      <c r="C1048054" s="14"/>
      <c r="G1048054" s="14"/>
    </row>
    <row r="1048055" customFormat="1" ht="13.5" spans="3:7">
      <c r="C1048055" s="14"/>
      <c r="G1048055" s="14"/>
    </row>
    <row r="1048056" customFormat="1" ht="13.5" spans="3:7">
      <c r="C1048056" s="14"/>
      <c r="G1048056" s="14"/>
    </row>
    <row r="1048057" customFormat="1" ht="13.5" spans="3:7">
      <c r="C1048057" s="14"/>
      <c r="G1048057" s="14"/>
    </row>
    <row r="1048058" customFormat="1" ht="13.5" spans="3:7">
      <c r="C1048058" s="14"/>
      <c r="G1048058" s="14"/>
    </row>
    <row r="1048059" customFormat="1" ht="13.5" spans="3:7">
      <c r="C1048059" s="14"/>
      <c r="G1048059" s="14"/>
    </row>
    <row r="1048060" customFormat="1" ht="13.5" spans="3:7">
      <c r="C1048060" s="14"/>
      <c r="G1048060" s="14"/>
    </row>
    <row r="1048061" customFormat="1" ht="13.5" spans="3:7">
      <c r="C1048061" s="14"/>
      <c r="G1048061" s="14"/>
    </row>
    <row r="1048062" customFormat="1" ht="13.5" spans="3:7">
      <c r="C1048062" s="14"/>
      <c r="G1048062" s="14"/>
    </row>
    <row r="1048063" customFormat="1" ht="13.5" spans="3:7">
      <c r="C1048063" s="14"/>
      <c r="G1048063" s="14"/>
    </row>
    <row r="1048064" customFormat="1" ht="13.5" spans="3:7">
      <c r="C1048064" s="14"/>
      <c r="G1048064" s="14"/>
    </row>
    <row r="1048065" customFormat="1" ht="13.5" spans="3:7">
      <c r="C1048065" s="14"/>
      <c r="G1048065" s="14"/>
    </row>
    <row r="1048066" customFormat="1" ht="13.5" spans="3:7">
      <c r="C1048066" s="14"/>
      <c r="G1048066" s="14"/>
    </row>
    <row r="1048067" customFormat="1" ht="13.5" spans="3:7">
      <c r="C1048067" s="14"/>
      <c r="G1048067" s="14"/>
    </row>
    <row r="1048068" customFormat="1" ht="13.5" spans="3:7">
      <c r="C1048068" s="14"/>
      <c r="G1048068" s="14"/>
    </row>
    <row r="1048069" customFormat="1" ht="13.5" spans="3:7">
      <c r="C1048069" s="14"/>
      <c r="G1048069" s="14"/>
    </row>
    <row r="1048070" customFormat="1" ht="13.5" spans="3:7">
      <c r="C1048070" s="14"/>
      <c r="G1048070" s="14"/>
    </row>
    <row r="1048071" customFormat="1" ht="13.5" spans="3:7">
      <c r="C1048071" s="14"/>
      <c r="G1048071" s="14"/>
    </row>
    <row r="1048072" customFormat="1" ht="13.5" spans="3:7">
      <c r="C1048072" s="14"/>
      <c r="G1048072" s="14"/>
    </row>
    <row r="1048073" customFormat="1" ht="13.5" spans="3:7">
      <c r="C1048073" s="14"/>
      <c r="G1048073" s="14"/>
    </row>
    <row r="1048074" customFormat="1" ht="13.5" spans="3:7">
      <c r="C1048074" s="14"/>
      <c r="G1048074" s="14"/>
    </row>
    <row r="1048075" customFormat="1" ht="13.5" spans="3:7">
      <c r="C1048075" s="14"/>
      <c r="G1048075" s="14"/>
    </row>
    <row r="1048076" customFormat="1" ht="13.5" spans="3:7">
      <c r="C1048076" s="14"/>
      <c r="G1048076" s="14"/>
    </row>
    <row r="1048077" customFormat="1" ht="13.5" spans="3:7">
      <c r="C1048077" s="14"/>
      <c r="G1048077" s="14"/>
    </row>
    <row r="1048078" customFormat="1" ht="13.5" spans="3:7">
      <c r="C1048078" s="14"/>
      <c r="G1048078" s="14"/>
    </row>
    <row r="1048079" customFormat="1" ht="13.5" spans="3:7">
      <c r="C1048079" s="14"/>
      <c r="G1048079" s="14"/>
    </row>
    <row r="1048080" customFormat="1" ht="13.5" spans="3:7">
      <c r="C1048080" s="14"/>
      <c r="G1048080" s="14"/>
    </row>
    <row r="1048081" customFormat="1" ht="13.5" spans="3:7">
      <c r="C1048081" s="14"/>
      <c r="G1048081" s="14"/>
    </row>
    <row r="1048082" customFormat="1" ht="13.5" spans="3:7">
      <c r="C1048082" s="14"/>
      <c r="G1048082" s="14"/>
    </row>
    <row r="1048083" customFormat="1" ht="13.5" spans="3:7">
      <c r="C1048083" s="14"/>
      <c r="G1048083" s="14"/>
    </row>
    <row r="1048084" customFormat="1" ht="13.5" spans="3:7">
      <c r="C1048084" s="14"/>
      <c r="G1048084" s="14"/>
    </row>
    <row r="1048085" customFormat="1" ht="13.5" spans="3:7">
      <c r="C1048085" s="14"/>
      <c r="G1048085" s="14"/>
    </row>
    <row r="1048086" customFormat="1" ht="13.5" spans="3:7">
      <c r="C1048086" s="14"/>
      <c r="G1048086" s="14"/>
    </row>
    <row r="1048087" customFormat="1" ht="13.5" spans="3:7">
      <c r="C1048087" s="14"/>
      <c r="G1048087" s="14"/>
    </row>
    <row r="1048088" customFormat="1" ht="13.5" spans="3:7">
      <c r="C1048088" s="14"/>
      <c r="G1048088" s="14"/>
    </row>
    <row r="1048089" customFormat="1" ht="13.5" spans="3:7">
      <c r="C1048089" s="14"/>
      <c r="G1048089" s="14"/>
    </row>
    <row r="1048090" customFormat="1" ht="13.5" spans="3:7">
      <c r="C1048090" s="14"/>
      <c r="G1048090" s="14"/>
    </row>
    <row r="1048091" customFormat="1" ht="13.5" spans="3:7">
      <c r="C1048091" s="14"/>
      <c r="G1048091" s="14"/>
    </row>
    <row r="1048092" customFormat="1" ht="13.5" spans="3:7">
      <c r="C1048092" s="14"/>
      <c r="G1048092" s="14"/>
    </row>
    <row r="1048093" customFormat="1" ht="13.5" spans="3:7">
      <c r="C1048093" s="14"/>
      <c r="G1048093" s="14"/>
    </row>
    <row r="1048094" customFormat="1" ht="13.5" spans="3:7">
      <c r="C1048094" s="14"/>
      <c r="G1048094" s="14"/>
    </row>
    <row r="1048095" customFormat="1" ht="13.5" spans="3:7">
      <c r="C1048095" s="14"/>
      <c r="G1048095" s="14"/>
    </row>
    <row r="1048096" customFormat="1" ht="13.5" spans="3:7">
      <c r="C1048096" s="14"/>
      <c r="G1048096" s="14"/>
    </row>
    <row r="1048097" customFormat="1" ht="13.5" spans="3:7">
      <c r="C1048097" s="14"/>
      <c r="G1048097" s="14"/>
    </row>
    <row r="1048098" customFormat="1" ht="13.5" spans="3:7">
      <c r="C1048098" s="14"/>
      <c r="G1048098" s="14"/>
    </row>
    <row r="1048099" customFormat="1" ht="13.5" spans="3:7">
      <c r="C1048099" s="14"/>
      <c r="G1048099" s="14"/>
    </row>
    <row r="1048100" customFormat="1" ht="13.5" spans="3:7">
      <c r="C1048100" s="14"/>
      <c r="G1048100" s="14"/>
    </row>
    <row r="1048101" customFormat="1" ht="13.5" spans="3:7">
      <c r="C1048101" s="14"/>
      <c r="G1048101" s="14"/>
    </row>
    <row r="1048102" customFormat="1" ht="13.5" spans="3:7">
      <c r="C1048102" s="14"/>
      <c r="G1048102" s="14"/>
    </row>
    <row r="1048103" customFormat="1" ht="13.5" spans="3:7">
      <c r="C1048103" s="14"/>
      <c r="G1048103" s="14"/>
    </row>
    <row r="1048104" customFormat="1" ht="13.5" spans="3:7">
      <c r="C1048104" s="14"/>
      <c r="G1048104" s="14"/>
    </row>
    <row r="1048105" customFormat="1" ht="13.5" spans="3:7">
      <c r="C1048105" s="14"/>
      <c r="G1048105" s="14"/>
    </row>
    <row r="1048106" customFormat="1" ht="13.5" spans="3:7">
      <c r="C1048106" s="14"/>
      <c r="G1048106" s="14"/>
    </row>
    <row r="1048107" customFormat="1" ht="13.5" spans="3:7">
      <c r="C1048107" s="14"/>
      <c r="G1048107" s="14"/>
    </row>
    <row r="1048108" customFormat="1" ht="13.5" spans="3:7">
      <c r="C1048108" s="14"/>
      <c r="G1048108" s="14"/>
    </row>
    <row r="1048109" customFormat="1" ht="13.5" spans="3:7">
      <c r="C1048109" s="14"/>
      <c r="G1048109" s="14"/>
    </row>
    <row r="1048110" customFormat="1" ht="13.5" spans="3:7">
      <c r="C1048110" s="14"/>
      <c r="G1048110" s="14"/>
    </row>
    <row r="1048111" customFormat="1" ht="13.5" spans="3:7">
      <c r="C1048111" s="14"/>
      <c r="G1048111" s="14"/>
    </row>
    <row r="1048112" customFormat="1" ht="13.5" spans="3:7">
      <c r="C1048112" s="14"/>
      <c r="G1048112" s="14"/>
    </row>
    <row r="1048113" customFormat="1" ht="13.5" spans="3:7">
      <c r="C1048113" s="14"/>
      <c r="G1048113" s="14"/>
    </row>
    <row r="1048114" customFormat="1" ht="13.5" spans="3:7">
      <c r="C1048114" s="14"/>
      <c r="G1048114" s="14"/>
    </row>
    <row r="1048115" customFormat="1" ht="13.5" spans="3:7">
      <c r="C1048115" s="14"/>
      <c r="G1048115" s="14"/>
    </row>
    <row r="1048116" customFormat="1" ht="13.5" spans="3:7">
      <c r="C1048116" s="14"/>
      <c r="G1048116" s="14"/>
    </row>
    <row r="1048117" customFormat="1" ht="13.5" spans="3:7">
      <c r="C1048117" s="14"/>
      <c r="G1048117" s="14"/>
    </row>
    <row r="1048118" customFormat="1" ht="13.5" spans="3:7">
      <c r="C1048118" s="14"/>
      <c r="G1048118" s="14"/>
    </row>
    <row r="1048119" customFormat="1" ht="13.5" spans="3:7">
      <c r="C1048119" s="14"/>
      <c r="G1048119" s="14"/>
    </row>
    <row r="1048120" customFormat="1" ht="13.5" spans="3:7">
      <c r="C1048120" s="14"/>
      <c r="G1048120" s="14"/>
    </row>
    <row r="1048121" customFormat="1" ht="13.5" spans="3:7">
      <c r="C1048121" s="14"/>
      <c r="G1048121" s="14"/>
    </row>
    <row r="1048122" customFormat="1" ht="13.5" spans="3:7">
      <c r="C1048122" s="14"/>
      <c r="G1048122" s="14"/>
    </row>
    <row r="1048123" customFormat="1" ht="13.5" spans="3:7">
      <c r="C1048123" s="14"/>
      <c r="G1048123" s="14"/>
    </row>
    <row r="1048124" customFormat="1" ht="13.5" spans="3:7">
      <c r="C1048124" s="14"/>
      <c r="G1048124" s="14"/>
    </row>
    <row r="1048125" customFormat="1" ht="13.5" spans="3:7">
      <c r="C1048125" s="14"/>
      <c r="G1048125" s="14"/>
    </row>
    <row r="1048126" customFormat="1" ht="13.5" spans="3:7">
      <c r="C1048126" s="14"/>
      <c r="G1048126" s="14"/>
    </row>
    <row r="1048127" customFormat="1" ht="13.5" spans="3:7">
      <c r="C1048127" s="14"/>
      <c r="G1048127" s="14"/>
    </row>
    <row r="1048128" customFormat="1" ht="13.5" spans="3:7">
      <c r="C1048128" s="14"/>
      <c r="G1048128" s="14"/>
    </row>
    <row r="1048129" customFormat="1" ht="13.5" spans="3:7">
      <c r="C1048129" s="14"/>
      <c r="G1048129" s="14"/>
    </row>
    <row r="1048130" customFormat="1" ht="13.5" spans="3:7">
      <c r="C1048130" s="14"/>
      <c r="G1048130" s="14"/>
    </row>
    <row r="1048131" customFormat="1" ht="13.5" spans="3:7">
      <c r="C1048131" s="14"/>
      <c r="G1048131" s="14"/>
    </row>
    <row r="1048132" customFormat="1" ht="13.5" spans="3:7">
      <c r="C1048132" s="14"/>
      <c r="G1048132" s="14"/>
    </row>
    <row r="1048133" customFormat="1" ht="13.5" spans="3:7">
      <c r="C1048133" s="14"/>
      <c r="G1048133" s="14"/>
    </row>
    <row r="1048134" customFormat="1" ht="13.5" spans="3:7">
      <c r="C1048134" s="14"/>
      <c r="G1048134" s="14"/>
    </row>
    <row r="1048135" customFormat="1" ht="13.5" spans="3:7">
      <c r="C1048135" s="14"/>
      <c r="G1048135" s="14"/>
    </row>
    <row r="1048136" customFormat="1" ht="13.5" spans="3:7">
      <c r="C1048136" s="14"/>
      <c r="G1048136" s="14"/>
    </row>
    <row r="1048137" customFormat="1" ht="13.5" spans="3:7">
      <c r="C1048137" s="14"/>
      <c r="G1048137" s="14"/>
    </row>
    <row r="1048138" customFormat="1" ht="13.5" spans="3:7">
      <c r="C1048138" s="14"/>
      <c r="G1048138" s="14"/>
    </row>
    <row r="1048139" customFormat="1" ht="13.5" spans="3:7">
      <c r="C1048139" s="14"/>
      <c r="G1048139" s="14"/>
    </row>
    <row r="1048140" customFormat="1" ht="13.5" spans="3:7">
      <c r="C1048140" s="14"/>
      <c r="G1048140" s="14"/>
    </row>
    <row r="1048141" customFormat="1" ht="13.5" spans="3:7">
      <c r="C1048141" s="14"/>
      <c r="G1048141" s="14"/>
    </row>
    <row r="1048142" customFormat="1" ht="13.5" spans="3:7">
      <c r="C1048142" s="14"/>
      <c r="G1048142" s="14"/>
    </row>
    <row r="1048143" customFormat="1" ht="13.5" spans="3:7">
      <c r="C1048143" s="14"/>
      <c r="G1048143" s="14"/>
    </row>
    <row r="1048144" customFormat="1" ht="13.5" spans="3:7">
      <c r="C1048144" s="14"/>
      <c r="G1048144" s="14"/>
    </row>
    <row r="1048145" customFormat="1" ht="13.5" spans="3:7">
      <c r="C1048145" s="14"/>
      <c r="G1048145" s="14"/>
    </row>
    <row r="1048146" customFormat="1" ht="13.5" spans="3:7">
      <c r="C1048146" s="14"/>
      <c r="G1048146" s="14"/>
    </row>
    <row r="1048147" customFormat="1" ht="13.5" spans="3:7">
      <c r="C1048147" s="14"/>
      <c r="G1048147" s="14"/>
    </row>
    <row r="1048148" customFormat="1" ht="13.5" spans="3:7">
      <c r="C1048148" s="14"/>
      <c r="G1048148" s="14"/>
    </row>
    <row r="1048149" customFormat="1" ht="13.5" spans="3:7">
      <c r="C1048149" s="14"/>
      <c r="G1048149" s="14"/>
    </row>
    <row r="1048150" customFormat="1" ht="13.5" spans="3:7">
      <c r="C1048150" s="14"/>
      <c r="G1048150" s="14"/>
    </row>
    <row r="1048151" customFormat="1" ht="13.5" spans="3:7">
      <c r="C1048151" s="14"/>
      <c r="G1048151" s="14"/>
    </row>
    <row r="1048152" customFormat="1" ht="13.5" spans="3:7">
      <c r="C1048152" s="14"/>
      <c r="G1048152" s="14"/>
    </row>
    <row r="1048153" customFormat="1" ht="13.5" spans="3:7">
      <c r="C1048153" s="14"/>
      <c r="G1048153" s="14"/>
    </row>
    <row r="1048154" customFormat="1" ht="13.5" spans="3:7">
      <c r="C1048154" s="14"/>
      <c r="G1048154" s="14"/>
    </row>
    <row r="1048155" customFormat="1" ht="13.5" spans="3:7">
      <c r="C1048155" s="14"/>
      <c r="G1048155" s="14"/>
    </row>
    <row r="1048156" customFormat="1" ht="13.5" spans="3:7">
      <c r="C1048156" s="14"/>
      <c r="G1048156" s="14"/>
    </row>
    <row r="1048157" customFormat="1" ht="13.5" spans="3:7">
      <c r="C1048157" s="14"/>
      <c r="G1048157" s="14"/>
    </row>
    <row r="1048158" customFormat="1" ht="13.5" spans="3:7">
      <c r="C1048158" s="14"/>
      <c r="G1048158" s="14"/>
    </row>
    <row r="1048159" customFormat="1" ht="13.5" spans="3:7">
      <c r="C1048159" s="14"/>
      <c r="G1048159" s="14"/>
    </row>
    <row r="1048160" customFormat="1" ht="13.5" spans="3:7">
      <c r="C1048160" s="14"/>
      <c r="G1048160" s="14"/>
    </row>
    <row r="1048161" customFormat="1" ht="13.5" spans="3:7">
      <c r="C1048161" s="14"/>
      <c r="G1048161" s="14"/>
    </row>
    <row r="1048162" customFormat="1" ht="13.5" spans="3:7">
      <c r="C1048162" s="14"/>
      <c r="G1048162" s="14"/>
    </row>
    <row r="1048163" customFormat="1" ht="13.5" spans="3:7">
      <c r="C1048163" s="14"/>
      <c r="G1048163" s="14"/>
    </row>
    <row r="1048164" customFormat="1" ht="13.5" spans="3:7">
      <c r="C1048164" s="14"/>
      <c r="G1048164" s="14"/>
    </row>
    <row r="1048165" customFormat="1" ht="13.5" spans="3:7">
      <c r="C1048165" s="14"/>
      <c r="G1048165" s="14"/>
    </row>
    <row r="1048166" customFormat="1" ht="13.5" spans="3:7">
      <c r="C1048166" s="14"/>
      <c r="G1048166" s="14"/>
    </row>
    <row r="1048167" customFormat="1" ht="13.5" spans="3:7">
      <c r="C1048167" s="14"/>
      <c r="G1048167" s="14"/>
    </row>
    <row r="1048168" customFormat="1" ht="13.5" spans="3:7">
      <c r="C1048168" s="14"/>
      <c r="G1048168" s="14"/>
    </row>
    <row r="1048169" customFormat="1" ht="13.5" spans="3:7">
      <c r="C1048169" s="14"/>
      <c r="G1048169" s="14"/>
    </row>
    <row r="1048170" customFormat="1" ht="13.5" spans="3:7">
      <c r="C1048170" s="14"/>
      <c r="G1048170" s="14"/>
    </row>
    <row r="1048171" customFormat="1" ht="13.5" spans="3:7">
      <c r="C1048171" s="14"/>
      <c r="G1048171" s="14"/>
    </row>
    <row r="1048172" customFormat="1" ht="13.5" spans="3:7">
      <c r="C1048172" s="14"/>
      <c r="G1048172" s="14"/>
    </row>
    <row r="1048173" customFormat="1" ht="13.5" spans="3:7">
      <c r="C1048173" s="14"/>
      <c r="G1048173" s="14"/>
    </row>
    <row r="1048174" customFormat="1" ht="13.5" spans="3:7">
      <c r="C1048174" s="14"/>
      <c r="G1048174" s="14"/>
    </row>
    <row r="1048175" customFormat="1" ht="13.5" spans="3:7">
      <c r="C1048175" s="14"/>
      <c r="G1048175" s="14"/>
    </row>
    <row r="1048176" customFormat="1" ht="13.5" spans="3:7">
      <c r="C1048176" s="14"/>
      <c r="G1048176" s="14"/>
    </row>
    <row r="1048177" customFormat="1" ht="13.5" spans="3:7">
      <c r="C1048177" s="14"/>
      <c r="G1048177" s="14"/>
    </row>
    <row r="1048178" customFormat="1" ht="13.5" spans="3:7">
      <c r="C1048178" s="14"/>
      <c r="G1048178" s="14"/>
    </row>
    <row r="1048179" customFormat="1" ht="13.5" spans="3:7">
      <c r="C1048179" s="14"/>
      <c r="G1048179" s="14"/>
    </row>
    <row r="1048180" customFormat="1" ht="13.5" spans="3:7">
      <c r="C1048180" s="14"/>
      <c r="G1048180" s="14"/>
    </row>
    <row r="1048181" customFormat="1" ht="13.5" spans="3:7">
      <c r="C1048181" s="14"/>
      <c r="G1048181" s="14"/>
    </row>
    <row r="1048182" customFormat="1" ht="13.5" spans="3:7">
      <c r="C1048182" s="14"/>
      <c r="G1048182" s="14"/>
    </row>
    <row r="1048183" customFormat="1" ht="13.5" spans="3:7">
      <c r="C1048183" s="14"/>
      <c r="G1048183" s="14"/>
    </row>
    <row r="1048184" customFormat="1" ht="13.5" spans="3:7">
      <c r="C1048184" s="14"/>
      <c r="G1048184" s="14"/>
    </row>
    <row r="1048185" customFormat="1" ht="13.5" spans="3:7">
      <c r="C1048185" s="14"/>
      <c r="G1048185" s="14"/>
    </row>
    <row r="1048186" customFormat="1" ht="13.5" spans="3:7">
      <c r="C1048186" s="14"/>
      <c r="G1048186" s="14"/>
    </row>
    <row r="1048187" customFormat="1" ht="13.5" spans="3:7">
      <c r="C1048187" s="14"/>
      <c r="G1048187" s="14"/>
    </row>
    <row r="1048188" customFormat="1" ht="13.5" spans="3:7">
      <c r="C1048188" s="14"/>
      <c r="G1048188" s="14"/>
    </row>
    <row r="1048189" customFormat="1" ht="13.5" spans="3:7">
      <c r="C1048189" s="14"/>
      <c r="G1048189" s="14"/>
    </row>
    <row r="1048190" customFormat="1" ht="13.5" spans="3:7">
      <c r="C1048190" s="14"/>
      <c r="G1048190" s="14"/>
    </row>
    <row r="1048191" customFormat="1" ht="13.5" spans="3:7">
      <c r="C1048191" s="14"/>
      <c r="G1048191" s="14"/>
    </row>
    <row r="1048192" customFormat="1" ht="13.5" spans="3:7">
      <c r="C1048192" s="14"/>
      <c r="G1048192" s="14"/>
    </row>
    <row r="1048193" customFormat="1" ht="13.5" spans="3:7">
      <c r="C1048193" s="14"/>
      <c r="G1048193" s="14"/>
    </row>
    <row r="1048194" customFormat="1" ht="13.5" spans="3:7">
      <c r="C1048194" s="14"/>
      <c r="G1048194" s="14"/>
    </row>
    <row r="1048195" customFormat="1" ht="13.5" spans="3:7">
      <c r="C1048195" s="14"/>
      <c r="G1048195" s="14"/>
    </row>
    <row r="1048196" customFormat="1" ht="13.5" spans="3:7">
      <c r="C1048196" s="14"/>
      <c r="G1048196" s="14"/>
    </row>
    <row r="1048197" customFormat="1" ht="13.5" spans="3:7">
      <c r="C1048197" s="14"/>
      <c r="G1048197" s="14"/>
    </row>
    <row r="1048198" customFormat="1" ht="13.5" spans="3:7">
      <c r="C1048198" s="14"/>
      <c r="G1048198" s="14"/>
    </row>
    <row r="1048199" customFormat="1" ht="13.5" spans="3:7">
      <c r="C1048199" s="14"/>
      <c r="G1048199" s="14"/>
    </row>
    <row r="1048200" customFormat="1" ht="13.5" spans="3:7">
      <c r="C1048200" s="14"/>
      <c r="G1048200" s="14"/>
    </row>
    <row r="1048201" customFormat="1" ht="13.5" spans="3:7">
      <c r="C1048201" s="14"/>
      <c r="G1048201" s="14"/>
    </row>
    <row r="1048202" customFormat="1" ht="13.5" spans="3:7">
      <c r="C1048202" s="14"/>
      <c r="G1048202" s="14"/>
    </row>
    <row r="1048203" customFormat="1" ht="13.5" spans="3:7">
      <c r="C1048203" s="14"/>
      <c r="G1048203" s="14"/>
    </row>
    <row r="1048204" customFormat="1" ht="13.5" spans="3:7">
      <c r="C1048204" s="14"/>
      <c r="G1048204" s="14"/>
    </row>
    <row r="1048205" customFormat="1" ht="13.5" spans="3:7">
      <c r="C1048205" s="14"/>
      <c r="G1048205" s="14"/>
    </row>
    <row r="1048206" customFormat="1" ht="13.5" spans="3:7">
      <c r="C1048206" s="14"/>
      <c r="G1048206" s="14"/>
    </row>
    <row r="1048207" customFormat="1" ht="13.5" spans="3:7">
      <c r="C1048207" s="14"/>
      <c r="G1048207" s="14"/>
    </row>
    <row r="1048208" customFormat="1" ht="13.5" spans="3:7">
      <c r="C1048208" s="14"/>
      <c r="G1048208" s="14"/>
    </row>
    <row r="1048209" customFormat="1" ht="13.5" spans="3:7">
      <c r="C1048209" s="14"/>
      <c r="G1048209" s="14"/>
    </row>
    <row r="1048210" customFormat="1" ht="13.5" spans="3:7">
      <c r="C1048210" s="14"/>
      <c r="G1048210" s="14"/>
    </row>
    <row r="1048211" customFormat="1" ht="13.5" spans="3:7">
      <c r="C1048211" s="14"/>
      <c r="G1048211" s="14"/>
    </row>
    <row r="1048212" customFormat="1" ht="13.5" spans="3:7">
      <c r="C1048212" s="14"/>
      <c r="G1048212" s="14"/>
    </row>
    <row r="1048213" customFormat="1" ht="13.5" spans="3:7">
      <c r="C1048213" s="14"/>
      <c r="G1048213" s="14"/>
    </row>
    <row r="1048214" customFormat="1" ht="13.5" spans="3:7">
      <c r="C1048214" s="14"/>
      <c r="G1048214" s="14"/>
    </row>
    <row r="1048215" customFormat="1" ht="13.5" spans="3:7">
      <c r="C1048215" s="14"/>
      <c r="G1048215" s="14"/>
    </row>
    <row r="1048216" customFormat="1" ht="13.5" spans="3:7">
      <c r="C1048216" s="14"/>
      <c r="G1048216" s="14"/>
    </row>
    <row r="1048217" customFormat="1" ht="13.5" spans="3:7">
      <c r="C1048217" s="14"/>
      <c r="G1048217" s="14"/>
    </row>
    <row r="1048218" customFormat="1" ht="13.5" spans="3:7">
      <c r="C1048218" s="14"/>
      <c r="G1048218" s="14"/>
    </row>
    <row r="1048219" customFormat="1" ht="13.5" spans="3:7">
      <c r="C1048219" s="14"/>
      <c r="G1048219" s="14"/>
    </row>
    <row r="1048220" customFormat="1" ht="13.5" spans="3:7">
      <c r="C1048220" s="14"/>
      <c r="G1048220" s="14"/>
    </row>
    <row r="1048221" customFormat="1" ht="13.5" spans="3:7">
      <c r="C1048221" s="14"/>
      <c r="G1048221" s="14"/>
    </row>
    <row r="1048222" customFormat="1" ht="13.5" spans="3:7">
      <c r="C1048222" s="14"/>
      <c r="G1048222" s="14"/>
    </row>
    <row r="1048223" customFormat="1" ht="13.5" spans="3:7">
      <c r="C1048223" s="14"/>
      <c r="G1048223" s="14"/>
    </row>
    <row r="1048224" customFormat="1" ht="13.5" spans="3:7">
      <c r="C1048224" s="14"/>
      <c r="G1048224" s="14"/>
    </row>
    <row r="1048225" customFormat="1" ht="13.5" spans="3:7">
      <c r="C1048225" s="14"/>
      <c r="G1048225" s="14"/>
    </row>
    <row r="1048226" customFormat="1" ht="13.5" spans="3:7">
      <c r="C1048226" s="14"/>
      <c r="G1048226" s="14"/>
    </row>
    <row r="1048227" customFormat="1" ht="13.5" spans="3:7">
      <c r="C1048227" s="14"/>
      <c r="G1048227" s="14"/>
    </row>
    <row r="1048228" customFormat="1" ht="13.5" spans="3:7">
      <c r="C1048228" s="14"/>
      <c r="G1048228" s="14"/>
    </row>
    <row r="1048229" customFormat="1" ht="13.5" spans="3:7">
      <c r="C1048229" s="14"/>
      <c r="G1048229" s="14"/>
    </row>
    <row r="1048230" customFormat="1" ht="13.5" spans="3:7">
      <c r="C1048230" s="14"/>
      <c r="G1048230" s="14"/>
    </row>
    <row r="1048231" customFormat="1" ht="13.5" spans="3:7">
      <c r="C1048231" s="14"/>
      <c r="G1048231" s="14"/>
    </row>
    <row r="1048232" customFormat="1" ht="13.5" spans="3:7">
      <c r="C1048232" s="14"/>
      <c r="G1048232" s="14"/>
    </row>
    <row r="1048233" customFormat="1" ht="13.5" spans="3:7">
      <c r="C1048233" s="14"/>
      <c r="G1048233" s="14"/>
    </row>
    <row r="1048234" customFormat="1" ht="13.5" spans="3:7">
      <c r="C1048234" s="14"/>
      <c r="G1048234" s="14"/>
    </row>
    <row r="1048235" customFormat="1" ht="13.5" spans="3:7">
      <c r="C1048235" s="14"/>
      <c r="G1048235" s="14"/>
    </row>
    <row r="1048236" customFormat="1" ht="13.5" spans="3:7">
      <c r="C1048236" s="14"/>
      <c r="G1048236" s="14"/>
    </row>
    <row r="1048237" customFormat="1" ht="13.5" spans="3:7">
      <c r="C1048237" s="14"/>
      <c r="G1048237" s="14"/>
    </row>
    <row r="1048238" customFormat="1" ht="13.5" spans="3:7">
      <c r="C1048238" s="14"/>
      <c r="G1048238" s="14"/>
    </row>
    <row r="1048239" customFormat="1" ht="13.5" spans="3:7">
      <c r="C1048239" s="14"/>
      <c r="G1048239" s="14"/>
    </row>
    <row r="1048240" customFormat="1" ht="13.5" spans="3:7">
      <c r="C1048240" s="14"/>
      <c r="G1048240" s="14"/>
    </row>
    <row r="1048241" customFormat="1" ht="13.5" spans="3:7">
      <c r="C1048241" s="14"/>
      <c r="G1048241" s="14"/>
    </row>
    <row r="1048242" customFormat="1" ht="13.5" spans="3:7">
      <c r="C1048242" s="14"/>
      <c r="G1048242" s="14"/>
    </row>
    <row r="1048243" customFormat="1" ht="13.5" spans="3:7">
      <c r="C1048243" s="14"/>
      <c r="G1048243" s="14"/>
    </row>
    <row r="1048244" customFormat="1" ht="13.5" spans="3:7">
      <c r="C1048244" s="14"/>
      <c r="G1048244" s="14"/>
    </row>
    <row r="1048245" customFormat="1" ht="13.5" spans="3:7">
      <c r="C1048245" s="14"/>
      <c r="G1048245" s="14"/>
    </row>
    <row r="1048246" customFormat="1" ht="13.5" spans="3:7">
      <c r="C1048246" s="14"/>
      <c r="G1048246" s="14"/>
    </row>
    <row r="1048247" customFormat="1" ht="13.5" spans="3:7">
      <c r="C1048247" s="14"/>
      <c r="G1048247" s="14"/>
    </row>
    <row r="1048248" customFormat="1" ht="13.5" spans="3:7">
      <c r="C1048248" s="14"/>
      <c r="G1048248" s="14"/>
    </row>
    <row r="1048249" customFormat="1" ht="13.5" spans="3:7">
      <c r="C1048249" s="14"/>
      <c r="G1048249" s="14"/>
    </row>
    <row r="1048250" customFormat="1" ht="13.5" spans="3:7">
      <c r="C1048250" s="14"/>
      <c r="G1048250" s="14"/>
    </row>
    <row r="1048251" customFormat="1" ht="13.5" spans="3:7">
      <c r="C1048251" s="14"/>
      <c r="G1048251" s="14"/>
    </row>
    <row r="1048252" customFormat="1" ht="13.5" spans="3:7">
      <c r="C1048252" s="14"/>
      <c r="G1048252" s="14"/>
    </row>
    <row r="1048253" customFormat="1" ht="13.5" spans="3:7">
      <c r="C1048253" s="14"/>
      <c r="G1048253" s="14"/>
    </row>
    <row r="1048254" customFormat="1" ht="13.5" spans="3:7">
      <c r="C1048254" s="14"/>
      <c r="G1048254" s="14"/>
    </row>
    <row r="1048255" customFormat="1" ht="13.5" spans="3:7">
      <c r="C1048255" s="14"/>
      <c r="G1048255" s="14"/>
    </row>
    <row r="1048256" customFormat="1" ht="13.5" spans="3:7">
      <c r="C1048256" s="14"/>
      <c r="G1048256" s="14"/>
    </row>
    <row r="1048257" customFormat="1" ht="13.5" spans="3:7">
      <c r="C1048257" s="14"/>
      <c r="G1048257" s="14"/>
    </row>
    <row r="1048258" customFormat="1" ht="13.5" spans="3:7">
      <c r="C1048258" s="14"/>
      <c r="G1048258" s="14"/>
    </row>
    <row r="1048259" customFormat="1" ht="13.5" spans="3:7">
      <c r="C1048259" s="14"/>
      <c r="G1048259" s="14"/>
    </row>
    <row r="1048260" customFormat="1" ht="13.5" spans="3:7">
      <c r="C1048260" s="14"/>
      <c r="G1048260" s="14"/>
    </row>
    <row r="1048261" customFormat="1" ht="13.5" spans="3:7">
      <c r="C1048261" s="14"/>
      <c r="G1048261" s="14"/>
    </row>
    <row r="1048262" customFormat="1" ht="13.5" spans="3:7">
      <c r="C1048262" s="14"/>
      <c r="G1048262" s="14"/>
    </row>
    <row r="1048263" customFormat="1" ht="13.5" spans="3:7">
      <c r="C1048263" s="14"/>
      <c r="G1048263" s="14"/>
    </row>
    <row r="1048264" customFormat="1" ht="13.5" spans="3:7">
      <c r="C1048264" s="14"/>
      <c r="G1048264" s="14"/>
    </row>
    <row r="1048265" customFormat="1" ht="13.5" spans="3:7">
      <c r="C1048265" s="14"/>
      <c r="G1048265" s="14"/>
    </row>
    <row r="1048266" customFormat="1" ht="13.5" spans="3:7">
      <c r="C1048266" s="14"/>
      <c r="G1048266" s="14"/>
    </row>
    <row r="1048267" customFormat="1" ht="13.5" spans="3:7">
      <c r="C1048267" s="14"/>
      <c r="G1048267" s="14"/>
    </row>
    <row r="1048268" customFormat="1" ht="13.5" spans="3:7">
      <c r="C1048268" s="14"/>
      <c r="G1048268" s="14"/>
    </row>
    <row r="1048269" customFormat="1" ht="13.5" spans="3:7">
      <c r="C1048269" s="14"/>
      <c r="G1048269" s="14"/>
    </row>
    <row r="1048270" customFormat="1" ht="13.5" spans="3:7">
      <c r="C1048270" s="14"/>
      <c r="G1048270" s="14"/>
    </row>
    <row r="1048271" customFormat="1" ht="13.5" spans="3:7">
      <c r="C1048271" s="14"/>
      <c r="G1048271" s="14"/>
    </row>
    <row r="1048272" customFormat="1" ht="13.5" spans="3:7">
      <c r="C1048272" s="14"/>
      <c r="G1048272" s="14"/>
    </row>
    <row r="1048273" customFormat="1" ht="13.5" spans="3:7">
      <c r="C1048273" s="14"/>
      <c r="G1048273" s="14"/>
    </row>
    <row r="1048274" customFormat="1" ht="13.5" spans="3:7">
      <c r="C1048274" s="14"/>
      <c r="G1048274" s="14"/>
    </row>
    <row r="1048275" customFormat="1" ht="13.5" spans="3:7">
      <c r="C1048275" s="14"/>
      <c r="G1048275" s="14"/>
    </row>
    <row r="1048276" customFormat="1" ht="13.5" spans="3:7">
      <c r="C1048276" s="14"/>
      <c r="G1048276" s="14"/>
    </row>
    <row r="1048277" customFormat="1" ht="13.5" spans="3:7">
      <c r="C1048277" s="14"/>
      <c r="G1048277" s="14"/>
    </row>
    <row r="1048278" customFormat="1" ht="13.5" spans="3:7">
      <c r="C1048278" s="14"/>
      <c r="G1048278" s="14"/>
    </row>
    <row r="1048279" customFormat="1" ht="13.5" spans="3:7">
      <c r="C1048279" s="14"/>
      <c r="G1048279" s="14"/>
    </row>
    <row r="1048280" customFormat="1" ht="13.5" spans="3:7">
      <c r="C1048280" s="14"/>
      <c r="G1048280" s="14"/>
    </row>
    <row r="1048281" customFormat="1" ht="13.5" spans="3:7">
      <c r="C1048281" s="14"/>
      <c r="G1048281" s="14"/>
    </row>
    <row r="1048282" customFormat="1" ht="13.5" spans="3:7">
      <c r="C1048282" s="14"/>
      <c r="G1048282" s="14"/>
    </row>
    <row r="1048283" customFormat="1" ht="13.5" spans="3:7">
      <c r="C1048283" s="14"/>
      <c r="G1048283" s="14"/>
    </row>
    <row r="1048284" customFormat="1" ht="13.5" spans="3:7">
      <c r="C1048284" s="14"/>
      <c r="G1048284" s="14"/>
    </row>
    <row r="1048285" customFormat="1" ht="13.5" spans="3:7">
      <c r="C1048285" s="14"/>
      <c r="G1048285" s="14"/>
    </row>
    <row r="1048286" customFormat="1" ht="13.5" spans="3:7">
      <c r="C1048286" s="14"/>
      <c r="G1048286" s="14"/>
    </row>
    <row r="1048287" customFormat="1" ht="13.5" spans="3:7">
      <c r="C1048287" s="14"/>
      <c r="G1048287" s="14"/>
    </row>
    <row r="1048288" customFormat="1" ht="13.5" spans="3:7">
      <c r="C1048288" s="14"/>
      <c r="G1048288" s="14"/>
    </row>
    <row r="1048289" customFormat="1" ht="13.5" spans="3:7">
      <c r="C1048289" s="14"/>
      <c r="G1048289" s="14"/>
    </row>
    <row r="1048290" customFormat="1" ht="13.5" spans="3:7">
      <c r="C1048290" s="14"/>
      <c r="G1048290" s="14"/>
    </row>
    <row r="1048291" customFormat="1" ht="13.5" spans="3:7">
      <c r="C1048291" s="14"/>
      <c r="G1048291" s="14"/>
    </row>
    <row r="1048292" customFormat="1" ht="13.5" spans="3:7">
      <c r="C1048292" s="14"/>
      <c r="G1048292" s="14"/>
    </row>
    <row r="1048293" customFormat="1" ht="13.5" spans="3:7">
      <c r="C1048293" s="14"/>
      <c r="G1048293" s="14"/>
    </row>
    <row r="1048294" customFormat="1" ht="13.5" spans="3:7">
      <c r="C1048294" s="14"/>
      <c r="G1048294" s="14"/>
    </row>
    <row r="1048295" customFormat="1" ht="13.5" spans="3:7">
      <c r="C1048295" s="14"/>
      <c r="G1048295" s="14"/>
    </row>
    <row r="1048296" customFormat="1" ht="13.5" spans="3:7">
      <c r="C1048296" s="14"/>
      <c r="G1048296" s="14"/>
    </row>
    <row r="1048297" customFormat="1" ht="13.5" spans="3:7">
      <c r="C1048297" s="14"/>
      <c r="G1048297" s="14"/>
    </row>
    <row r="1048298" customFormat="1" ht="13.5" spans="3:7">
      <c r="C1048298" s="14"/>
      <c r="G1048298" s="14"/>
    </row>
    <row r="1048299" customFormat="1" ht="13.5" spans="3:7">
      <c r="C1048299" s="14"/>
      <c r="G1048299" s="14"/>
    </row>
    <row r="1048300" customFormat="1" ht="13.5" spans="3:7">
      <c r="C1048300" s="14"/>
      <c r="G1048300" s="14"/>
    </row>
    <row r="1048301" customFormat="1" ht="13.5" spans="3:7">
      <c r="C1048301" s="14"/>
      <c r="G1048301" s="14"/>
    </row>
    <row r="1048302" customFormat="1" ht="13.5" spans="3:7">
      <c r="C1048302" s="14"/>
      <c r="G1048302" s="14"/>
    </row>
    <row r="1048303" customFormat="1" ht="13.5" spans="3:7">
      <c r="C1048303" s="14"/>
      <c r="G1048303" s="14"/>
    </row>
    <row r="1048304" customFormat="1" ht="13.5" spans="3:7">
      <c r="C1048304" s="14"/>
      <c r="G1048304" s="14"/>
    </row>
    <row r="1048305" customFormat="1" ht="13.5" spans="3:7">
      <c r="C1048305" s="14"/>
      <c r="G1048305" s="14"/>
    </row>
    <row r="1048306" customFormat="1" ht="13.5" spans="3:7">
      <c r="C1048306" s="14"/>
      <c r="G1048306" s="14"/>
    </row>
    <row r="1048307" customFormat="1" ht="13.5" spans="3:7">
      <c r="C1048307" s="14"/>
      <c r="G1048307" s="14"/>
    </row>
    <row r="1048308" customFormat="1" ht="13.5" spans="3:7">
      <c r="C1048308" s="14"/>
      <c r="G1048308" s="14"/>
    </row>
    <row r="1048309" customFormat="1" ht="13.5" spans="3:7">
      <c r="C1048309" s="14"/>
      <c r="G1048309" s="14"/>
    </row>
    <row r="1048310" customFormat="1" ht="13.5" spans="3:7">
      <c r="C1048310" s="14"/>
      <c r="G1048310" s="14"/>
    </row>
    <row r="1048311" customFormat="1" ht="13.5" spans="3:7">
      <c r="C1048311" s="14"/>
      <c r="G1048311" s="14"/>
    </row>
    <row r="1048312" customFormat="1" ht="13.5" spans="3:7">
      <c r="C1048312" s="14"/>
      <c r="G1048312" s="14"/>
    </row>
    <row r="1048313" customFormat="1" ht="13.5" spans="3:7">
      <c r="C1048313" s="14"/>
      <c r="G1048313" s="14"/>
    </row>
    <row r="1048314" customFormat="1" ht="13.5" spans="3:7">
      <c r="C1048314" s="14"/>
      <c r="G1048314" s="14"/>
    </row>
    <row r="1048315" customFormat="1" ht="13.5" spans="3:7">
      <c r="C1048315" s="14"/>
      <c r="G1048315" s="14"/>
    </row>
    <row r="1048316" customFormat="1" ht="13.5" spans="3:7">
      <c r="C1048316" s="14"/>
      <c r="G1048316" s="14"/>
    </row>
    <row r="1048317" customFormat="1" ht="13.5" spans="3:7">
      <c r="C1048317" s="14"/>
      <c r="G1048317" s="14"/>
    </row>
    <row r="1048318" customFormat="1" ht="13.5" spans="3:7">
      <c r="C1048318" s="14"/>
      <c r="G1048318" s="14"/>
    </row>
    <row r="1048319" customFormat="1" ht="13.5" spans="3:7">
      <c r="C1048319" s="14"/>
      <c r="G1048319" s="14"/>
    </row>
    <row r="1048320" customFormat="1" ht="13.5" spans="3:7">
      <c r="C1048320" s="14"/>
      <c r="G1048320" s="14"/>
    </row>
    <row r="1048321" customFormat="1" ht="13.5" spans="3:7">
      <c r="C1048321" s="14"/>
      <c r="G1048321" s="14"/>
    </row>
    <row r="1048322" customFormat="1" ht="13.5" spans="3:7">
      <c r="C1048322" s="14"/>
      <c r="G1048322" s="14"/>
    </row>
    <row r="1048323" customFormat="1" ht="13.5" spans="3:7">
      <c r="C1048323" s="14"/>
      <c r="G1048323" s="14"/>
    </row>
    <row r="1048324" customFormat="1" ht="13.5" spans="3:7">
      <c r="C1048324" s="14"/>
      <c r="G1048324" s="14"/>
    </row>
    <row r="1048325" customFormat="1" ht="13.5" spans="3:7">
      <c r="C1048325" s="14"/>
      <c r="G1048325" s="14"/>
    </row>
    <row r="1048326" customFormat="1" ht="13.5" spans="3:7">
      <c r="C1048326" s="14"/>
      <c r="G1048326" s="14"/>
    </row>
    <row r="1048327" customFormat="1" ht="13.5" spans="3:7">
      <c r="C1048327" s="14"/>
      <c r="G1048327" s="14"/>
    </row>
    <row r="1048328" customFormat="1" ht="13.5" spans="3:7">
      <c r="C1048328" s="14"/>
      <c r="G1048328" s="14"/>
    </row>
    <row r="1048329" customFormat="1" ht="13.5" spans="3:7">
      <c r="C1048329" s="14"/>
      <c r="G1048329" s="14"/>
    </row>
    <row r="1048330" customFormat="1" ht="13.5" spans="3:7">
      <c r="C1048330" s="14"/>
      <c r="G1048330" s="14"/>
    </row>
    <row r="1048331" customFormat="1" ht="13.5" spans="3:7">
      <c r="C1048331" s="14"/>
      <c r="G1048331" s="14"/>
    </row>
    <row r="1048332" customFormat="1" ht="13.5" spans="3:7">
      <c r="C1048332" s="14"/>
      <c r="G1048332" s="14"/>
    </row>
    <row r="1048333" customFormat="1" ht="13.5" spans="3:7">
      <c r="C1048333" s="14"/>
      <c r="G1048333" s="14"/>
    </row>
    <row r="1048334" customFormat="1" ht="13.5" spans="3:7">
      <c r="C1048334" s="14"/>
      <c r="G1048334" s="14"/>
    </row>
    <row r="1048335" customFormat="1" ht="13.5" spans="3:7">
      <c r="C1048335" s="14"/>
      <c r="G1048335" s="14"/>
    </row>
    <row r="1048336" customFormat="1" ht="13.5" spans="3:7">
      <c r="C1048336" s="14"/>
      <c r="G1048336" s="14"/>
    </row>
    <row r="1048337" customFormat="1" ht="13.5" spans="3:7">
      <c r="C1048337" s="14"/>
      <c r="G1048337" s="14"/>
    </row>
    <row r="1048338" customFormat="1" ht="13.5" spans="3:7">
      <c r="C1048338" s="14"/>
      <c r="G1048338" s="14"/>
    </row>
    <row r="1048339" customFormat="1" ht="13.5" spans="3:7">
      <c r="C1048339" s="14"/>
      <c r="G1048339" s="14"/>
    </row>
    <row r="1048340" customFormat="1" ht="13.5" spans="3:7">
      <c r="C1048340" s="14"/>
      <c r="G1048340" s="14"/>
    </row>
    <row r="1048341" customFormat="1" ht="13.5" spans="3:7">
      <c r="C1048341" s="14"/>
      <c r="G1048341" s="14"/>
    </row>
    <row r="1048342" customFormat="1" ht="13.5" spans="3:7">
      <c r="C1048342" s="14"/>
      <c r="G1048342" s="14"/>
    </row>
    <row r="1048343" customFormat="1" ht="13.5" spans="3:7">
      <c r="C1048343" s="14"/>
      <c r="G1048343" s="14"/>
    </row>
    <row r="1048344" customFormat="1" ht="13.5" spans="3:7">
      <c r="C1048344" s="14"/>
      <c r="G1048344" s="14"/>
    </row>
    <row r="1048345" customFormat="1" ht="13.5" spans="3:7">
      <c r="C1048345" s="14"/>
      <c r="G1048345" s="14"/>
    </row>
    <row r="1048346" customFormat="1" ht="13.5" spans="3:7">
      <c r="C1048346" s="14"/>
      <c r="G1048346" s="14"/>
    </row>
    <row r="1048347" customFormat="1" ht="13.5" spans="3:7">
      <c r="C1048347" s="14"/>
      <c r="G1048347" s="14"/>
    </row>
    <row r="1048348" customFormat="1" ht="13.5" spans="3:7">
      <c r="C1048348" s="14"/>
      <c r="G1048348" s="14"/>
    </row>
    <row r="1048349" customFormat="1" ht="13.5" spans="3:7">
      <c r="C1048349" s="14"/>
      <c r="G1048349" s="14"/>
    </row>
    <row r="1048350" customFormat="1" ht="13.5" spans="3:7">
      <c r="C1048350" s="14"/>
      <c r="G1048350" s="14"/>
    </row>
    <row r="1048351" customFormat="1" ht="13.5" spans="3:7">
      <c r="C1048351" s="14"/>
      <c r="G1048351" s="14"/>
    </row>
    <row r="1048352" customFormat="1" ht="13.5" spans="3:7">
      <c r="C1048352" s="14"/>
      <c r="G1048352" s="14"/>
    </row>
    <row r="1048353" customFormat="1" ht="13.5" spans="3:7">
      <c r="C1048353" s="14"/>
      <c r="G1048353" s="14"/>
    </row>
    <row r="1048354" customFormat="1" ht="13.5" spans="3:7">
      <c r="C1048354" s="14"/>
      <c r="G1048354" s="14"/>
    </row>
    <row r="1048355" customFormat="1" ht="13.5" spans="3:7">
      <c r="C1048355" s="14"/>
      <c r="G1048355" s="14"/>
    </row>
    <row r="1048356" customFormat="1" ht="13.5" spans="3:7">
      <c r="C1048356" s="14"/>
      <c r="G1048356" s="14"/>
    </row>
    <row r="1048357" customFormat="1" ht="13.5" spans="3:7">
      <c r="C1048357" s="14"/>
      <c r="G1048357" s="14"/>
    </row>
    <row r="1048358" customFormat="1" ht="13.5" spans="3:7">
      <c r="C1048358" s="14"/>
      <c r="G1048358" s="14"/>
    </row>
    <row r="1048359" customFormat="1" ht="13.5" spans="3:7">
      <c r="C1048359" s="14"/>
      <c r="G1048359" s="14"/>
    </row>
    <row r="1048360" customFormat="1" ht="13.5" spans="3:7">
      <c r="C1048360" s="14"/>
      <c r="G1048360" s="14"/>
    </row>
    <row r="1048361" customFormat="1" ht="13.5" spans="3:7">
      <c r="C1048361" s="14"/>
      <c r="G1048361" s="14"/>
    </row>
    <row r="1048362" customFormat="1" ht="13.5" spans="3:7">
      <c r="C1048362" s="14"/>
      <c r="G1048362" s="14"/>
    </row>
    <row r="1048363" customFormat="1" ht="13.5" spans="3:7">
      <c r="C1048363" s="14"/>
      <c r="G1048363" s="14"/>
    </row>
    <row r="1048364" customFormat="1" ht="13.5" spans="3:7">
      <c r="C1048364" s="14"/>
      <c r="G1048364" s="14"/>
    </row>
    <row r="1048365" customFormat="1" ht="13.5" spans="3:7">
      <c r="C1048365" s="14"/>
      <c r="G1048365" s="14"/>
    </row>
    <row r="1048366" customFormat="1" ht="13.5" spans="3:7">
      <c r="C1048366" s="14"/>
      <c r="G1048366" s="14"/>
    </row>
    <row r="1048367" customFormat="1" ht="13.5" spans="3:7">
      <c r="C1048367" s="14"/>
      <c r="G1048367" s="14"/>
    </row>
    <row r="1048368" customFormat="1" ht="13.5" spans="3:7">
      <c r="C1048368" s="14"/>
      <c r="G1048368" s="14"/>
    </row>
    <row r="1048369" customFormat="1" ht="13.5" spans="3:7">
      <c r="C1048369" s="14"/>
      <c r="G1048369" s="14"/>
    </row>
    <row r="1048370" customFormat="1" ht="13.5" spans="3:7">
      <c r="C1048370" s="14"/>
      <c r="G1048370" s="14"/>
    </row>
    <row r="1048371" customFormat="1" ht="13.5" spans="3:7">
      <c r="C1048371" s="14"/>
      <c r="G1048371" s="14"/>
    </row>
    <row r="1048372" customFormat="1" ht="13.5" spans="3:7">
      <c r="C1048372" s="14"/>
      <c r="G1048372" s="14"/>
    </row>
    <row r="1048373" customFormat="1" ht="13.5" spans="3:7">
      <c r="C1048373" s="14"/>
      <c r="G1048373" s="14"/>
    </row>
    <row r="1048374" customFormat="1" ht="13.5" spans="3:7">
      <c r="C1048374" s="14"/>
      <c r="G1048374" s="14"/>
    </row>
    <row r="1048375" customFormat="1" ht="13.5" spans="3:7">
      <c r="C1048375" s="14"/>
      <c r="G1048375" s="14"/>
    </row>
    <row r="1048376" customFormat="1" ht="13.5" spans="3:7">
      <c r="C1048376" s="14"/>
      <c r="G1048376" s="14"/>
    </row>
    <row r="1048377" customFormat="1" ht="13.5" spans="3:7">
      <c r="C1048377" s="14"/>
      <c r="G1048377" s="14"/>
    </row>
    <row r="1048378" customFormat="1" ht="13.5" spans="3:7">
      <c r="C1048378" s="14"/>
      <c r="G1048378" s="14"/>
    </row>
    <row r="1048379" customFormat="1" ht="13.5" spans="3:7">
      <c r="C1048379" s="14"/>
      <c r="G1048379" s="14"/>
    </row>
    <row r="1048380" customFormat="1" ht="13.5" spans="3:7">
      <c r="C1048380" s="14"/>
      <c r="G1048380" s="14"/>
    </row>
    <row r="1048381" customFormat="1" ht="13.5" spans="3:7">
      <c r="C1048381" s="14"/>
      <c r="G1048381" s="14"/>
    </row>
    <row r="1048382" customFormat="1" ht="13.5" spans="3:7">
      <c r="C1048382" s="14"/>
      <c r="G1048382" s="14"/>
    </row>
    <row r="1048383" customFormat="1" ht="13.5" spans="3:7">
      <c r="C1048383" s="14"/>
      <c r="G1048383" s="14"/>
    </row>
    <row r="1048384" customFormat="1" ht="13.5" spans="3:7">
      <c r="C1048384" s="14"/>
      <c r="G1048384" s="14"/>
    </row>
    <row r="1048385" customFormat="1" ht="13.5" spans="3:7">
      <c r="C1048385" s="14"/>
      <c r="G1048385" s="14"/>
    </row>
    <row r="1048386" customFormat="1" ht="13.5" spans="3:7">
      <c r="C1048386" s="14"/>
      <c r="G1048386" s="14"/>
    </row>
    <row r="1048387" customFormat="1" ht="13.5" spans="3:7">
      <c r="C1048387" s="14"/>
      <c r="G1048387" s="14"/>
    </row>
    <row r="1048388" customFormat="1" ht="13.5" spans="3:7">
      <c r="C1048388" s="14"/>
      <c r="G1048388" s="14"/>
    </row>
    <row r="1048389" customFormat="1" ht="13.5" spans="3:7">
      <c r="C1048389" s="14"/>
      <c r="G1048389" s="14"/>
    </row>
    <row r="1048390" customFormat="1" ht="13.5" spans="3:7">
      <c r="C1048390" s="14"/>
      <c r="G1048390" s="14"/>
    </row>
    <row r="1048391" customFormat="1" ht="13.5" spans="3:7">
      <c r="C1048391" s="14"/>
      <c r="G1048391" s="14"/>
    </row>
    <row r="1048392" customFormat="1" ht="13.5" spans="3:7">
      <c r="C1048392" s="14"/>
      <c r="G1048392" s="14"/>
    </row>
    <row r="1048393" customFormat="1" ht="13.5" spans="3:7">
      <c r="C1048393" s="14"/>
      <c r="G1048393" s="14"/>
    </row>
    <row r="1048394" customFormat="1" ht="13.5" spans="3:7">
      <c r="C1048394" s="14"/>
      <c r="G1048394" s="14"/>
    </row>
    <row r="1048395" customFormat="1" ht="13.5" spans="3:7">
      <c r="C1048395" s="14"/>
      <c r="G1048395" s="14"/>
    </row>
    <row r="1048396" customFormat="1" ht="13.5" spans="3:7">
      <c r="C1048396" s="14"/>
      <c r="G1048396" s="14"/>
    </row>
    <row r="1048397" customFormat="1" ht="13.5" spans="3:7">
      <c r="C1048397" s="14"/>
      <c r="G1048397" s="14"/>
    </row>
    <row r="1048398" customFormat="1" ht="13.5" spans="3:7">
      <c r="C1048398" s="14"/>
      <c r="G1048398" s="14"/>
    </row>
    <row r="1048399" customFormat="1" ht="13.5" spans="3:7">
      <c r="C1048399" s="14"/>
      <c r="G1048399" s="14"/>
    </row>
    <row r="1048400" customFormat="1" ht="13.5" spans="3:7">
      <c r="C1048400" s="14"/>
      <c r="G1048400" s="14"/>
    </row>
    <row r="1048401" customFormat="1" ht="13.5" spans="3:7">
      <c r="C1048401" s="14"/>
      <c r="G1048401" s="14"/>
    </row>
    <row r="1048402" customFormat="1" ht="13.5" spans="3:7">
      <c r="C1048402" s="14"/>
      <c r="G1048402" s="14"/>
    </row>
    <row r="1048403" customFormat="1" ht="13.5" spans="3:7">
      <c r="C1048403" s="14"/>
      <c r="G1048403" s="14"/>
    </row>
    <row r="1048404" customFormat="1" ht="13.5" spans="3:7">
      <c r="C1048404" s="14"/>
      <c r="G1048404" s="14"/>
    </row>
    <row r="1048405" customFormat="1" ht="13.5" spans="3:7">
      <c r="C1048405" s="14"/>
      <c r="G1048405" s="14"/>
    </row>
    <row r="1048406" customFormat="1" ht="13.5" spans="3:7">
      <c r="C1048406" s="14"/>
      <c r="G1048406" s="14"/>
    </row>
    <row r="1048407" customFormat="1" ht="13.5" spans="3:7">
      <c r="C1048407" s="14"/>
      <c r="G1048407" s="14"/>
    </row>
    <row r="1048408" customFormat="1" ht="13.5" spans="3:7">
      <c r="C1048408" s="14"/>
      <c r="G1048408" s="14"/>
    </row>
    <row r="1048409" customFormat="1" ht="13.5" spans="3:7">
      <c r="C1048409" s="14"/>
      <c r="G1048409" s="14"/>
    </row>
    <row r="1048410" customFormat="1" ht="13.5" spans="3:7">
      <c r="C1048410" s="14"/>
      <c r="G1048410" s="14"/>
    </row>
    <row r="1048411" customFormat="1" ht="13.5" spans="3:7">
      <c r="C1048411" s="14"/>
      <c r="G1048411" s="14"/>
    </row>
    <row r="1048412" customFormat="1" ht="13.5" spans="3:7">
      <c r="C1048412" s="14"/>
      <c r="G1048412" s="14"/>
    </row>
    <row r="1048413" customFormat="1" ht="13.5" spans="3:7">
      <c r="C1048413" s="14"/>
      <c r="G1048413" s="14"/>
    </row>
    <row r="1048414" customFormat="1" ht="13.5" spans="3:7">
      <c r="C1048414" s="14"/>
      <c r="G1048414" s="14"/>
    </row>
    <row r="1048415" customFormat="1" ht="13.5" spans="3:7">
      <c r="C1048415" s="14"/>
      <c r="G1048415" s="14"/>
    </row>
    <row r="1048416" customFormat="1" ht="13.5" spans="3:7">
      <c r="C1048416" s="14"/>
      <c r="G1048416" s="14"/>
    </row>
    <row r="1048417" customFormat="1" ht="13.5" spans="3:7">
      <c r="C1048417" s="14"/>
      <c r="G1048417" s="14"/>
    </row>
    <row r="1048418" customFormat="1" ht="13.5" spans="3:7">
      <c r="C1048418" s="14"/>
      <c r="G1048418" s="14"/>
    </row>
    <row r="1048419" customFormat="1" ht="13.5" spans="3:7">
      <c r="C1048419" s="14"/>
      <c r="G1048419" s="14"/>
    </row>
    <row r="1048420" customFormat="1" ht="13.5" spans="3:7">
      <c r="C1048420" s="14"/>
      <c r="G1048420" s="14"/>
    </row>
    <row r="1048421" customFormat="1" ht="13.5" spans="3:7">
      <c r="C1048421" s="14"/>
      <c r="G1048421" s="14"/>
    </row>
    <row r="1048422" customFormat="1" ht="13.5" spans="3:7">
      <c r="C1048422" s="14"/>
      <c r="G1048422" s="14"/>
    </row>
    <row r="1048423" customFormat="1" ht="13.5" spans="3:7">
      <c r="C1048423" s="14"/>
      <c r="G1048423" s="14"/>
    </row>
    <row r="1048424" customFormat="1" ht="13.5" spans="3:7">
      <c r="C1048424" s="14"/>
      <c r="G1048424" s="14"/>
    </row>
    <row r="1048425" customFormat="1" ht="13.5" spans="3:7">
      <c r="C1048425" s="14"/>
      <c r="G1048425" s="14"/>
    </row>
    <row r="1048426" customFormat="1" ht="13.5" spans="3:7">
      <c r="C1048426" s="14"/>
      <c r="G1048426" s="14"/>
    </row>
    <row r="1048427" customFormat="1" ht="13.5" spans="3:7">
      <c r="C1048427" s="14"/>
      <c r="G1048427" s="14"/>
    </row>
    <row r="1048428" customFormat="1" ht="13.5" spans="3:7">
      <c r="C1048428" s="14"/>
      <c r="G1048428" s="14"/>
    </row>
    <row r="1048429" customFormat="1" ht="13.5" spans="3:7">
      <c r="C1048429" s="14"/>
      <c r="G1048429" s="14"/>
    </row>
    <row r="1048430" customFormat="1" ht="13.5" spans="3:7">
      <c r="C1048430" s="14"/>
      <c r="G1048430" s="14"/>
    </row>
    <row r="1048431" customFormat="1" ht="13.5" spans="3:7">
      <c r="C1048431" s="14"/>
      <c r="G1048431" s="14"/>
    </row>
    <row r="1048432" customFormat="1" ht="13.5" spans="3:7">
      <c r="C1048432" s="14"/>
      <c r="G1048432" s="14"/>
    </row>
    <row r="1048433" customFormat="1" ht="13.5" spans="3:7">
      <c r="C1048433" s="14"/>
      <c r="G1048433" s="14"/>
    </row>
    <row r="1048434" customFormat="1" ht="13.5" spans="3:7">
      <c r="C1048434" s="14"/>
      <c r="G1048434" s="14"/>
    </row>
    <row r="1048435" customFormat="1" ht="13.5" spans="3:7">
      <c r="C1048435" s="14"/>
      <c r="G1048435" s="14"/>
    </row>
    <row r="1048436" customFormat="1" ht="13.5" spans="3:7">
      <c r="C1048436" s="14"/>
      <c r="G1048436" s="14"/>
    </row>
    <row r="1048437" customFormat="1" ht="13.5" spans="3:7">
      <c r="C1048437" s="14"/>
      <c r="G1048437" s="14"/>
    </row>
    <row r="1048438" customFormat="1" ht="13.5" spans="3:7">
      <c r="C1048438" s="14"/>
      <c r="G1048438" s="14"/>
    </row>
    <row r="1048439" customFormat="1" ht="13.5" spans="3:7">
      <c r="C1048439" s="14"/>
      <c r="G1048439" s="14"/>
    </row>
    <row r="1048440" customFormat="1" ht="13.5" spans="3:7">
      <c r="C1048440" s="14"/>
      <c r="G1048440" s="14"/>
    </row>
    <row r="1048441" customFormat="1" ht="13.5" spans="3:7">
      <c r="C1048441" s="14"/>
      <c r="G1048441" s="14"/>
    </row>
    <row r="1048442" customFormat="1" ht="13.5" spans="3:7">
      <c r="C1048442" s="14"/>
      <c r="G1048442" s="14"/>
    </row>
    <row r="1048443" customFormat="1" ht="13.5" spans="3:7">
      <c r="C1048443" s="14"/>
      <c r="G1048443" s="14"/>
    </row>
    <row r="1048444" customFormat="1" ht="13.5" spans="3:7">
      <c r="C1048444" s="14"/>
      <c r="G1048444" s="14"/>
    </row>
    <row r="1048445" customFormat="1" ht="13.5" spans="3:7">
      <c r="C1048445" s="14"/>
      <c r="G1048445" s="14"/>
    </row>
    <row r="1048446" customFormat="1" ht="13.5" spans="3:7">
      <c r="C1048446" s="14"/>
      <c r="G1048446" s="14"/>
    </row>
    <row r="1048447" customFormat="1" ht="13.5" spans="3:7">
      <c r="C1048447" s="14"/>
      <c r="G1048447" s="14"/>
    </row>
    <row r="1048448" customFormat="1" ht="13.5" spans="3:7">
      <c r="C1048448" s="14"/>
      <c r="G1048448" s="14"/>
    </row>
    <row r="1048449" customFormat="1" ht="13.5" spans="3:7">
      <c r="C1048449" s="14"/>
      <c r="G1048449" s="14"/>
    </row>
    <row r="1048450" customFormat="1" ht="13.5" spans="3:7">
      <c r="C1048450" s="14"/>
      <c r="G1048450" s="14"/>
    </row>
    <row r="1048451" customFormat="1" ht="13.5" spans="3:7">
      <c r="C1048451" s="14"/>
      <c r="G1048451" s="14"/>
    </row>
    <row r="1048452" customFormat="1" ht="13.5" spans="3:7">
      <c r="C1048452" s="14"/>
      <c r="G1048452" s="14"/>
    </row>
    <row r="1048453" customFormat="1" ht="13.5" spans="3:7">
      <c r="C1048453" s="14"/>
      <c r="G1048453" s="14"/>
    </row>
    <row r="1048454" customFormat="1" ht="13.5" spans="3:7">
      <c r="C1048454" s="14"/>
      <c r="G1048454" s="14"/>
    </row>
    <row r="1048455" customFormat="1" ht="13.5" spans="3:7">
      <c r="C1048455" s="14"/>
      <c r="G1048455" s="14"/>
    </row>
    <row r="1048456" customFormat="1" ht="13.5" spans="3:7">
      <c r="C1048456" s="14"/>
      <c r="G1048456" s="14"/>
    </row>
    <row r="1048457" customFormat="1" ht="13.5" spans="3:7">
      <c r="C1048457" s="14"/>
      <c r="G1048457" s="14"/>
    </row>
    <row r="1048458" customFormat="1" ht="13.5" spans="3:7">
      <c r="C1048458" s="14"/>
      <c r="G1048458" s="14"/>
    </row>
    <row r="1048459" customFormat="1" ht="13.5" spans="3:7">
      <c r="C1048459" s="14"/>
      <c r="G1048459" s="14"/>
    </row>
    <row r="1048460" customFormat="1" ht="13.5" spans="3:7">
      <c r="C1048460" s="14"/>
      <c r="G1048460" s="14"/>
    </row>
    <row r="1048461" customFormat="1" ht="13.5" spans="3:7">
      <c r="C1048461" s="14"/>
      <c r="G1048461" s="14"/>
    </row>
    <row r="1048462" customFormat="1" ht="13.5" spans="3:7">
      <c r="C1048462" s="14"/>
      <c r="G1048462" s="14"/>
    </row>
    <row r="1048463" customFormat="1" ht="13.5" spans="3:7">
      <c r="C1048463" s="14"/>
      <c r="G1048463" s="14"/>
    </row>
    <row r="1048464" customFormat="1" ht="13.5" spans="3:7">
      <c r="C1048464" s="14"/>
      <c r="G1048464" s="14"/>
    </row>
    <row r="1048465" customFormat="1" ht="13.5" spans="3:7">
      <c r="C1048465" s="14"/>
      <c r="G1048465" s="14"/>
    </row>
    <row r="1048466" customFormat="1" ht="13.5" spans="3:7">
      <c r="C1048466" s="14"/>
      <c r="G1048466" s="14"/>
    </row>
    <row r="1048467" customFormat="1" ht="13.5" spans="3:7">
      <c r="C1048467" s="14"/>
      <c r="G1048467" s="14"/>
    </row>
    <row r="1048468" customFormat="1" ht="13.5" spans="3:7">
      <c r="C1048468" s="14"/>
      <c r="G1048468" s="14"/>
    </row>
    <row r="1048469" customFormat="1" ht="13.5" spans="3:7">
      <c r="C1048469" s="14"/>
      <c r="G1048469" s="14"/>
    </row>
    <row r="1048470" customFormat="1" ht="13.5" spans="3:7">
      <c r="C1048470" s="14"/>
      <c r="G1048470" s="14"/>
    </row>
    <row r="1048471" customFormat="1" ht="13.5" spans="3:7">
      <c r="C1048471" s="14"/>
      <c r="G1048471" s="14"/>
    </row>
    <row r="1048472" customFormat="1" ht="13.5" spans="3:7">
      <c r="C1048472" s="14"/>
      <c r="G1048472" s="14"/>
    </row>
    <row r="1048473" customFormat="1" ht="13.5" spans="3:7">
      <c r="C1048473" s="14"/>
      <c r="G1048473" s="14"/>
    </row>
    <row r="1048474" customFormat="1" ht="13.5" spans="3:7">
      <c r="C1048474" s="14"/>
      <c r="G1048474" s="14"/>
    </row>
    <row r="1048475" customFormat="1" ht="13.5" spans="3:7">
      <c r="C1048475" s="14"/>
      <c r="G1048475" s="14"/>
    </row>
    <row r="1048476" customFormat="1" ht="13.5" spans="3:7">
      <c r="C1048476" s="14"/>
      <c r="G1048476" s="14"/>
    </row>
    <row r="1048477" customFormat="1" ht="13.5" spans="3:7">
      <c r="C1048477" s="14"/>
      <c r="G1048477" s="14"/>
    </row>
    <row r="1048478" customFormat="1" ht="13.5" spans="3:7">
      <c r="C1048478" s="14"/>
      <c r="G1048478" s="14"/>
    </row>
    <row r="1048479" customFormat="1" ht="13.5" spans="3:7">
      <c r="C1048479" s="14"/>
      <c r="G1048479" s="14"/>
    </row>
    <row r="1048480" customFormat="1" ht="13.5" spans="3:7">
      <c r="C1048480" s="14"/>
      <c r="G1048480" s="14"/>
    </row>
    <row r="1048481" customFormat="1" ht="13.5" spans="3:7">
      <c r="C1048481" s="14"/>
      <c r="G1048481" s="14"/>
    </row>
    <row r="1048482" customFormat="1" ht="13.5" spans="3:7">
      <c r="C1048482" s="14"/>
      <c r="G1048482" s="14"/>
    </row>
    <row r="1048483" customFormat="1" ht="13.5" spans="3:7">
      <c r="C1048483" s="14"/>
      <c r="G1048483" s="14"/>
    </row>
    <row r="1048484" customFormat="1" ht="13.5" spans="3:7">
      <c r="C1048484" s="14"/>
      <c r="G1048484" s="14"/>
    </row>
    <row r="1048485" customFormat="1" ht="13.5" spans="3:7">
      <c r="C1048485" s="14"/>
      <c r="G1048485" s="14"/>
    </row>
    <row r="1048486" customFormat="1" ht="13.5" spans="3:7">
      <c r="C1048486" s="14"/>
      <c r="G1048486" s="14"/>
    </row>
    <row r="1048487" customFormat="1" ht="13.5" spans="3:7">
      <c r="C1048487" s="14"/>
      <c r="G1048487" s="14"/>
    </row>
    <row r="1048488" customFormat="1" ht="13.5" spans="3:7">
      <c r="C1048488" s="14"/>
      <c r="G1048488" s="14"/>
    </row>
    <row r="1048489" customFormat="1" ht="13.5" spans="3:7">
      <c r="C1048489" s="14"/>
      <c r="G1048489" s="14"/>
    </row>
    <row r="1048490" customFormat="1" ht="13.5" spans="3:7">
      <c r="C1048490" s="14"/>
      <c r="G1048490" s="14"/>
    </row>
    <row r="1048491" customFormat="1" ht="13.5" spans="3:7">
      <c r="C1048491" s="14"/>
      <c r="G1048491" s="14"/>
    </row>
    <row r="1048492" customFormat="1" ht="13.5" spans="3:7">
      <c r="C1048492" s="14"/>
      <c r="G1048492" s="14"/>
    </row>
    <row r="1048493" customFormat="1" ht="13.5" spans="3:7">
      <c r="C1048493" s="14"/>
      <c r="G1048493" s="14"/>
    </row>
    <row r="1048494" customFormat="1" ht="13.5" spans="3:7">
      <c r="C1048494" s="14"/>
      <c r="G1048494" s="14"/>
    </row>
    <row r="1048495" customFormat="1" ht="13.5" spans="3:7">
      <c r="C1048495" s="14"/>
      <c r="G1048495" s="14"/>
    </row>
    <row r="1048496" customFormat="1" ht="13.5" spans="3:7">
      <c r="C1048496" s="14"/>
      <c r="G1048496" s="14"/>
    </row>
    <row r="1048497" customFormat="1" ht="13.5" spans="3:7">
      <c r="C1048497" s="14"/>
      <c r="G1048497" s="14"/>
    </row>
    <row r="1048498" customFormat="1" ht="13.5" spans="3:7">
      <c r="C1048498" s="14"/>
      <c r="G1048498" s="14"/>
    </row>
    <row r="1048499" customFormat="1" ht="13.5" spans="3:7">
      <c r="C1048499" s="14"/>
      <c r="G1048499" s="14"/>
    </row>
    <row r="1048500" customFormat="1" ht="13.5" spans="3:7">
      <c r="C1048500" s="14"/>
      <c r="G1048500" s="14"/>
    </row>
    <row r="1048501" customFormat="1" ht="13.5" spans="3:7">
      <c r="C1048501" s="14"/>
      <c r="G1048501" s="14"/>
    </row>
    <row r="1048502" customFormat="1" ht="13.5" spans="3:7">
      <c r="C1048502" s="14"/>
      <c r="G1048502" s="14"/>
    </row>
    <row r="1048503" customFormat="1" ht="13.5" spans="3:7">
      <c r="C1048503" s="14"/>
      <c r="G1048503" s="14"/>
    </row>
    <row r="1048504" customFormat="1" ht="13.5" spans="3:7">
      <c r="C1048504" s="14"/>
      <c r="G1048504" s="14"/>
    </row>
    <row r="1048505" customFormat="1" ht="13.5" spans="3:7">
      <c r="C1048505" s="14"/>
      <c r="G1048505" s="14"/>
    </row>
    <row r="1048506" customFormat="1" ht="13.5" spans="3:7">
      <c r="C1048506" s="14"/>
      <c r="G1048506" s="14"/>
    </row>
    <row r="1048507" customFormat="1" ht="13.5" spans="3:7">
      <c r="C1048507" s="14"/>
      <c r="G1048507" s="14"/>
    </row>
    <row r="1048508" customFormat="1" ht="13.5" spans="3:7">
      <c r="C1048508" s="14"/>
      <c r="G1048508" s="14"/>
    </row>
    <row r="1048509" customFormat="1" ht="13.5" spans="3:7">
      <c r="C1048509" s="14"/>
      <c r="G1048509" s="14"/>
    </row>
    <row r="1048510" customFormat="1" ht="13.5" spans="3:7">
      <c r="C1048510" s="14"/>
      <c r="G1048510" s="14"/>
    </row>
    <row r="1048511" customFormat="1" ht="13.5" spans="3:7">
      <c r="C1048511" s="14"/>
      <c r="G1048511" s="14"/>
    </row>
    <row r="1048512" customFormat="1" ht="13.5" spans="3:7">
      <c r="C1048512" s="14"/>
      <c r="G1048512" s="14"/>
    </row>
    <row r="1048513" customFormat="1" ht="13.5" spans="3:7">
      <c r="C1048513" s="14"/>
      <c r="G1048513" s="14"/>
    </row>
    <row r="1048514" customFormat="1" ht="13.5" spans="3:7">
      <c r="C1048514" s="14"/>
      <c r="G1048514" s="14"/>
    </row>
    <row r="1048515" customFormat="1" ht="13.5" spans="3:7">
      <c r="C1048515" s="14"/>
      <c r="G1048515" s="14"/>
    </row>
    <row r="1048516" customFormat="1" ht="13.5" spans="3:7">
      <c r="C1048516" s="14"/>
      <c r="G1048516" s="14"/>
    </row>
    <row r="1048517" customFormat="1" ht="13.5" spans="3:7">
      <c r="C1048517" s="14"/>
      <c r="G1048517" s="14"/>
    </row>
    <row r="1048518" customFormat="1" ht="13.5" spans="3:7">
      <c r="C1048518" s="14"/>
      <c r="G1048518" s="14"/>
    </row>
    <row r="1048519" customFormat="1" ht="13.5" spans="3:7">
      <c r="C1048519" s="14"/>
      <c r="G1048519" s="14"/>
    </row>
    <row r="1048520" customFormat="1" ht="13.5" spans="3:7">
      <c r="C1048520" s="14"/>
      <c r="G1048520" s="14"/>
    </row>
    <row r="1048521" customFormat="1" ht="13.5" spans="3:7">
      <c r="C1048521" s="14"/>
      <c r="G1048521" s="14"/>
    </row>
    <row r="1048522" customFormat="1" ht="13.5" spans="3:7">
      <c r="C1048522" s="14"/>
      <c r="G1048522" s="14"/>
    </row>
    <row r="1048523" customFormat="1" ht="13.5" spans="3:7">
      <c r="C1048523" s="14"/>
      <c r="G1048523" s="14"/>
    </row>
    <row r="1048524" customFormat="1" ht="13.5" spans="3:7">
      <c r="C1048524" s="14"/>
      <c r="G1048524" s="14"/>
    </row>
    <row r="1048525" customFormat="1" ht="13.5" spans="3:7">
      <c r="C1048525" s="14"/>
      <c r="G1048525" s="14"/>
    </row>
    <row r="1048526" customFormat="1" ht="13.5" spans="3:7">
      <c r="C1048526" s="14"/>
      <c r="G1048526" s="14"/>
    </row>
    <row r="1048527" customFormat="1" ht="13.5" spans="3:7">
      <c r="C1048527" s="14"/>
      <c r="G1048527" s="14"/>
    </row>
    <row r="1048528" customFormat="1" ht="13.5" spans="3:7">
      <c r="C1048528" s="14"/>
      <c r="G1048528" s="14"/>
    </row>
    <row r="1048529" customFormat="1" ht="13.5" spans="3:7">
      <c r="C1048529" s="14"/>
      <c r="G1048529" s="14"/>
    </row>
    <row r="1048530" customFormat="1" ht="13.5" spans="3:7">
      <c r="C1048530" s="14"/>
      <c r="G1048530" s="14"/>
    </row>
    <row r="1048531" customFormat="1" ht="13.5" spans="3:7">
      <c r="C1048531" s="14"/>
      <c r="G1048531" s="14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D$1048576" name="Range1"/>
  </protectedRange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635"/>
  <sheetViews>
    <sheetView topLeftCell="I1" workbookViewId="0">
      <selection activeCell="M211" sqref="M211:M213"/>
    </sheetView>
  </sheetViews>
  <sheetFormatPr defaultColWidth="9" defaultRowHeight="13.5"/>
  <cols>
    <col min="2" max="2" width="19.6" customWidth="1"/>
    <col min="3" max="4" width="9" style="1"/>
    <col min="6" max="6" width="21.3" customWidth="1"/>
    <col min="7" max="7" width="16.3166666666667" style="2" customWidth="1"/>
    <col min="8" max="8" width="16.275" style="3" customWidth="1"/>
    <col min="9" max="9" width="11.275" style="2" customWidth="1"/>
    <col min="10" max="10" width="12.85" style="2" customWidth="1"/>
    <col min="11" max="11" width="10.6" style="2" customWidth="1"/>
  </cols>
  <sheetData>
    <row r="1" spans="1:11">
      <c r="A1" s="4" t="s">
        <v>2566</v>
      </c>
      <c r="B1" s="5" t="s">
        <v>2567</v>
      </c>
      <c r="C1" s="6" t="s">
        <v>2568</v>
      </c>
      <c r="D1" s="7"/>
      <c r="F1" s="8" t="s">
        <v>1623</v>
      </c>
      <c r="G1" s="8" t="s">
        <v>2569</v>
      </c>
      <c r="H1" s="9" t="s">
        <v>2570</v>
      </c>
      <c r="I1" s="8" t="s">
        <v>2571</v>
      </c>
      <c r="J1" s="8" t="s">
        <v>2572</v>
      </c>
      <c r="K1" s="8" t="s">
        <v>2573</v>
      </c>
    </row>
    <row r="2" spans="1:11">
      <c r="A2" s="10" t="s">
        <v>2574</v>
      </c>
      <c r="B2" s="11" t="s">
        <v>2075</v>
      </c>
      <c r="C2" s="12">
        <v>11</v>
      </c>
      <c r="D2" s="7"/>
      <c r="F2" t="e">
        <f>'1&amp;2号构型'!#REF!</f>
        <v>#REF!</v>
      </c>
      <c r="G2" s="2" t="e">
        <f>VLOOKUP('1&amp;2号构型'!#REF!,B:C,2,0)=VALUE(MID('1&amp;2号构型'!#REF!,6,2))</f>
        <v>#REF!</v>
      </c>
      <c r="H2" s="3" t="e">
        <f>IF(LEN('1&amp;2号构型'!#REF!)=9,"TRUE","FALSE")</f>
        <v>#REF!</v>
      </c>
      <c r="I2" s="2" t="e">
        <f>VALUE(MID('1&amp;2号构型'!#REF!,1,2))=VALUE(MID('1&amp;2号构型'!#REF!,5,2))</f>
        <v>#REF!</v>
      </c>
      <c r="J2" s="2" t="e">
        <f>IF(LEN('1&amp;2号构型'!#REF!)=14,"TRUE","FALSE")</f>
        <v>#REF!</v>
      </c>
      <c r="K2" s="2" t="e">
        <f>RIGHT('1&amp;2号构型'!#REF!,4)</f>
        <v>#REF!</v>
      </c>
    </row>
    <row r="3" spans="1:11">
      <c r="A3" s="10" t="s">
        <v>2575</v>
      </c>
      <c r="B3" s="11" t="s">
        <v>1437</v>
      </c>
      <c r="C3" s="12">
        <v>12</v>
      </c>
      <c r="D3" s="7"/>
      <c r="F3" t="e">
        <f>'1&amp;2号构型'!#REF!</f>
        <v>#REF!</v>
      </c>
      <c r="G3" s="2" t="e">
        <f>VLOOKUP('1&amp;2号构型'!#REF!,B:C,2,0)=VALUE(MID('1&amp;2号构型'!#REF!,6,2))</f>
        <v>#REF!</v>
      </c>
      <c r="H3" s="3" t="e">
        <f>IF(LEN('1&amp;2号构型'!#REF!)=9,"TRUE","FALSE")</f>
        <v>#REF!</v>
      </c>
      <c r="I3" s="2" t="e">
        <f>VALUE(MID('1&amp;2号构型'!#REF!,1,2))=VALUE(MID('1&amp;2号构型'!#REF!,5,2))</f>
        <v>#REF!</v>
      </c>
      <c r="J3" s="2" t="e">
        <f>IF(LEN('1&amp;2号构型'!#REF!)=14,"TRUE","FALSE")</f>
        <v>#REF!</v>
      </c>
      <c r="K3" s="2" t="e">
        <f>RIGHT('1&amp;2号构型'!#REF!,4)</f>
        <v>#REF!</v>
      </c>
    </row>
    <row r="4" spans="1:11">
      <c r="A4" s="10" t="s">
        <v>2576</v>
      </c>
      <c r="B4" s="11" t="s">
        <v>1989</v>
      </c>
      <c r="C4" s="12">
        <v>13</v>
      </c>
      <c r="D4" s="7"/>
      <c r="F4" t="e">
        <f>'1&amp;2号构型'!#REF!</f>
        <v>#REF!</v>
      </c>
      <c r="G4" s="2" t="e">
        <f>VLOOKUP('1&amp;2号构型'!#REF!,B:C,2,0)=VALUE(MID('1&amp;2号构型'!#REF!,6,2))</f>
        <v>#REF!</v>
      </c>
      <c r="H4" s="3" t="e">
        <f>IF(LEN('1&amp;2号构型'!#REF!)=9,"TRUE","FALSE")</f>
        <v>#REF!</v>
      </c>
      <c r="I4" s="2" t="e">
        <f>VALUE(MID('1&amp;2号构型'!#REF!,1,2))=VALUE(MID('1&amp;2号构型'!#REF!,5,2))</f>
        <v>#REF!</v>
      </c>
      <c r="J4" s="2" t="e">
        <f>IF(LEN('1&amp;2号构型'!#REF!)=14,"TRUE","FALSE")</f>
        <v>#REF!</v>
      </c>
      <c r="K4" s="2" t="e">
        <f>RIGHT('1&amp;2号构型'!#REF!,4)</f>
        <v>#REF!</v>
      </c>
    </row>
    <row r="5" spans="1:11">
      <c r="A5" s="10" t="s">
        <v>2577</v>
      </c>
      <c r="B5" s="11" t="s">
        <v>2011</v>
      </c>
      <c r="C5" s="12">
        <v>19</v>
      </c>
      <c r="D5" s="7"/>
      <c r="F5" t="e">
        <f>'1&amp;2号构型'!#REF!</f>
        <v>#REF!</v>
      </c>
      <c r="G5" s="2" t="e">
        <f>VLOOKUP('1&amp;2号构型'!#REF!,B:C,2,0)=VALUE(MID('1&amp;2号构型'!#REF!,6,2))</f>
        <v>#REF!</v>
      </c>
      <c r="H5" s="3" t="e">
        <f>IF(LEN('1&amp;2号构型'!#REF!)=9,"TRUE","FALSE")</f>
        <v>#REF!</v>
      </c>
      <c r="I5" s="2" t="e">
        <f>VALUE(MID('1&amp;2号构型'!#REF!,1,2))=VALUE(MID('1&amp;2号构型'!#REF!,5,2))</f>
        <v>#REF!</v>
      </c>
      <c r="J5" s="2" t="e">
        <f>IF(LEN('1&amp;2号构型'!#REF!)=14,"TRUE","FALSE")</f>
        <v>#REF!</v>
      </c>
      <c r="K5" s="2" t="e">
        <f>RIGHT('1&amp;2号构型'!#REF!,4)</f>
        <v>#REF!</v>
      </c>
    </row>
    <row r="6" spans="1:11">
      <c r="A6" s="10" t="s">
        <v>2578</v>
      </c>
      <c r="B6" s="11" t="s">
        <v>1863</v>
      </c>
      <c r="C6" s="12">
        <v>21</v>
      </c>
      <c r="D6" s="7"/>
      <c r="F6" t="e">
        <f>'1&amp;2号构型'!#REF!</f>
        <v>#REF!</v>
      </c>
      <c r="G6" s="2" t="e">
        <f>VLOOKUP('1&amp;2号构型'!#REF!,B:C,2,0)=VALUE(MID('1&amp;2号构型'!#REF!,6,2))</f>
        <v>#REF!</v>
      </c>
      <c r="H6" s="3" t="e">
        <f>IF(LEN('1&amp;2号构型'!#REF!)=9,"TRUE","FALSE")</f>
        <v>#REF!</v>
      </c>
      <c r="I6" s="2" t="e">
        <f>VALUE(MID('1&amp;2号构型'!#REF!,1,2))=VALUE(MID('1&amp;2号构型'!#REF!,5,2))</f>
        <v>#REF!</v>
      </c>
      <c r="J6" s="2" t="e">
        <f>IF(LEN('1&amp;2号构型'!#REF!)=14,"TRUE","FALSE")</f>
        <v>#REF!</v>
      </c>
      <c r="K6" s="2" t="e">
        <f>RIGHT('1&amp;2号构型'!#REF!,4)</f>
        <v>#REF!</v>
      </c>
    </row>
    <row r="7" spans="1:11">
      <c r="A7" s="10" t="s">
        <v>2579</v>
      </c>
      <c r="B7" s="11" t="s">
        <v>1377</v>
      </c>
      <c r="C7" s="12">
        <v>22</v>
      </c>
      <c r="D7" s="7"/>
      <c r="F7" t="e">
        <f>'1&amp;2号构型'!#REF!</f>
        <v>#REF!</v>
      </c>
      <c r="G7" s="2" t="e">
        <f>VLOOKUP('1&amp;2号构型'!#REF!,B:C,2,0)=VALUE(MID('1&amp;2号构型'!#REF!,6,2))</f>
        <v>#REF!</v>
      </c>
      <c r="H7" s="3" t="e">
        <f>IF(LEN('1&amp;2号构型'!#REF!)=9,"TRUE","FALSE")</f>
        <v>#REF!</v>
      </c>
      <c r="I7" s="2" t="e">
        <f>VALUE(MID('1&amp;2号构型'!#REF!,1,2))=VALUE(MID('1&amp;2号构型'!#REF!,5,2))</f>
        <v>#REF!</v>
      </c>
      <c r="J7" s="2" t="e">
        <f>IF(LEN('1&amp;2号构型'!#REF!)=14,"TRUE","FALSE")</f>
        <v>#REF!</v>
      </c>
      <c r="K7" s="2" t="e">
        <f>RIGHT('1&amp;2号构型'!#REF!,4)</f>
        <v>#REF!</v>
      </c>
    </row>
    <row r="8" spans="1:11">
      <c r="A8" s="10" t="s">
        <v>2580</v>
      </c>
      <c r="B8" s="11" t="s">
        <v>2581</v>
      </c>
      <c r="C8" s="12">
        <v>23</v>
      </c>
      <c r="D8" s="7"/>
      <c r="F8" t="e">
        <f>'1&amp;2号构型'!#REF!</f>
        <v>#REF!</v>
      </c>
      <c r="G8" s="2" t="e">
        <f>VLOOKUP('1&amp;2号构型'!#REF!,B:C,2,0)=VALUE(MID('1&amp;2号构型'!#REF!,6,2))</f>
        <v>#REF!</v>
      </c>
      <c r="H8" s="3" t="e">
        <f>IF(LEN('1&amp;2号构型'!#REF!)=9,"TRUE","FALSE")</f>
        <v>#REF!</v>
      </c>
      <c r="I8" s="2" t="e">
        <f>VALUE(MID('1&amp;2号构型'!#REF!,1,2))=VALUE(MID('1&amp;2号构型'!#REF!,5,2))</f>
        <v>#REF!</v>
      </c>
      <c r="J8" s="2" t="e">
        <f>IF(LEN('1&amp;2号构型'!#REF!)=14,"TRUE","FALSE")</f>
        <v>#REF!</v>
      </c>
      <c r="K8" s="2" t="e">
        <f>RIGHT('1&amp;2号构型'!#REF!,4)</f>
        <v>#REF!</v>
      </c>
    </row>
    <row r="9" spans="1:11">
      <c r="A9" s="10" t="s">
        <v>2582</v>
      </c>
      <c r="B9" s="11" t="s">
        <v>1860</v>
      </c>
      <c r="C9" s="12">
        <v>24</v>
      </c>
      <c r="D9" s="7"/>
      <c r="F9" t="e">
        <f>'1&amp;2号构型'!#REF!</f>
        <v>#REF!</v>
      </c>
      <c r="G9" s="2" t="e">
        <f>VLOOKUP('1&amp;2号构型'!#REF!,B:C,2,0)=VALUE(MID('1&amp;2号构型'!#REF!,6,2))</f>
        <v>#REF!</v>
      </c>
      <c r="H9" s="3" t="e">
        <f>IF(LEN('1&amp;2号构型'!#REF!)=9,"TRUE","FALSE")</f>
        <v>#REF!</v>
      </c>
      <c r="I9" s="2" t="e">
        <f>VALUE(MID('1&amp;2号构型'!#REF!,1,2))=VALUE(MID('1&amp;2号构型'!#REF!,5,2))</f>
        <v>#REF!</v>
      </c>
      <c r="J9" s="2" t="e">
        <f>IF(LEN('1&amp;2号构型'!#REF!)=14,"TRUE","FALSE")</f>
        <v>#REF!</v>
      </c>
      <c r="K9" s="2" t="e">
        <f>RIGHT('1&amp;2号构型'!#REF!,4)</f>
        <v>#REF!</v>
      </c>
    </row>
    <row r="10" spans="1:11">
      <c r="A10" s="10" t="s">
        <v>2583</v>
      </c>
      <c r="B10" s="11" t="s">
        <v>1491</v>
      </c>
      <c r="C10" s="12">
        <v>25</v>
      </c>
      <c r="D10" s="7"/>
      <c r="F10" t="e">
        <f>'1&amp;2号构型'!#REF!</f>
        <v>#REF!</v>
      </c>
      <c r="G10" s="2" t="e">
        <f>VLOOKUP('1&amp;2号构型'!#REF!,B:C,2,0)=VALUE(MID('1&amp;2号构型'!#REF!,6,2))</f>
        <v>#REF!</v>
      </c>
      <c r="H10" s="3" t="e">
        <f>IF(LEN('1&amp;2号构型'!#REF!)=9,"TRUE","FALSE")</f>
        <v>#REF!</v>
      </c>
      <c r="I10" s="2" t="e">
        <f>VALUE(MID('1&amp;2号构型'!#REF!,1,2))=VALUE(MID('1&amp;2号构型'!#REF!,5,2))</f>
        <v>#REF!</v>
      </c>
      <c r="J10" s="2" t="e">
        <f>IF(LEN('1&amp;2号构型'!#REF!)=14,"TRUE","FALSE")</f>
        <v>#REF!</v>
      </c>
      <c r="K10" s="2" t="e">
        <f>RIGHT('1&amp;2号构型'!#REF!,4)</f>
        <v>#REF!</v>
      </c>
    </row>
    <row r="11" spans="1:11">
      <c r="A11" s="10" t="s">
        <v>2584</v>
      </c>
      <c r="B11" s="11" t="s">
        <v>1750</v>
      </c>
      <c r="C11" s="12">
        <v>26</v>
      </c>
      <c r="D11" s="7"/>
      <c r="F11" t="e">
        <f>'1&amp;2号构型'!#REF!</f>
        <v>#REF!</v>
      </c>
      <c r="G11" s="2" t="e">
        <f>VLOOKUP('1&amp;2号构型'!#REF!,B:C,2,0)=VALUE(MID('1&amp;2号构型'!#REF!,6,2))</f>
        <v>#REF!</v>
      </c>
      <c r="H11" s="3" t="e">
        <f>IF(LEN('1&amp;2号构型'!#REF!)=9,"TRUE","FALSE")</f>
        <v>#REF!</v>
      </c>
      <c r="I11" s="2" t="e">
        <f>VALUE(MID('1&amp;2号构型'!#REF!,1,2))=VALUE(MID('1&amp;2号构型'!#REF!,5,2))</f>
        <v>#REF!</v>
      </c>
      <c r="J11" s="2" t="e">
        <f>IF(LEN('1&amp;2号构型'!#REF!)=14,"TRUE","FALSE")</f>
        <v>#REF!</v>
      </c>
      <c r="K11" s="2" t="e">
        <f>RIGHT('1&amp;2号构型'!#REF!,4)</f>
        <v>#REF!</v>
      </c>
    </row>
    <row r="12" spans="1:11">
      <c r="A12" s="10" t="s">
        <v>2577</v>
      </c>
      <c r="B12" s="11" t="s">
        <v>2007</v>
      </c>
      <c r="C12" s="12">
        <v>29</v>
      </c>
      <c r="D12" s="7"/>
      <c r="F12" t="e">
        <f>'1&amp;2号构型'!#REF!</f>
        <v>#REF!</v>
      </c>
      <c r="G12" s="2" t="e">
        <f>VLOOKUP('1&amp;2号构型'!#REF!,B:C,2,0)=VALUE(MID('1&amp;2号构型'!#REF!,6,2))</f>
        <v>#REF!</v>
      </c>
      <c r="H12" s="3" t="e">
        <f>IF(LEN('1&amp;2号构型'!#REF!)=9,"TRUE","FALSE")</f>
        <v>#REF!</v>
      </c>
      <c r="I12" s="2" t="e">
        <f>VALUE(MID('1&amp;2号构型'!#REF!,1,2))=VALUE(MID('1&amp;2号构型'!#REF!,5,2))</f>
        <v>#REF!</v>
      </c>
      <c r="J12" s="2" t="e">
        <f>IF(LEN('1&amp;2号构型'!#REF!)=14,"TRUE","FALSE")</f>
        <v>#REF!</v>
      </c>
      <c r="K12" s="2" t="e">
        <f>RIGHT('1&amp;2号构型'!#REF!,4)</f>
        <v>#REF!</v>
      </c>
    </row>
    <row r="13" spans="1:11">
      <c r="A13" s="10" t="s">
        <v>2578</v>
      </c>
      <c r="B13" s="11" t="s">
        <v>1359</v>
      </c>
      <c r="C13" s="12">
        <v>31</v>
      </c>
      <c r="D13" s="7"/>
      <c r="F13" t="e">
        <f>'1&amp;2号构型'!#REF!</f>
        <v>#REF!</v>
      </c>
      <c r="G13" s="2" t="e">
        <f>VLOOKUP('1&amp;2号构型'!#REF!,B:C,2,0)=VALUE(MID('1&amp;2号构型'!#REF!,6,2))</f>
        <v>#REF!</v>
      </c>
      <c r="H13" s="3" t="e">
        <f>IF(LEN('1&amp;2号构型'!#REF!)=9,"TRUE","FALSE")</f>
        <v>#REF!</v>
      </c>
      <c r="I13" s="2" t="e">
        <f>VALUE(MID('1&amp;2号构型'!#REF!,1,2))=VALUE(MID('1&amp;2号构型'!#REF!,5,2))</f>
        <v>#REF!</v>
      </c>
      <c r="J13" s="2" t="e">
        <f>IF(LEN('1&amp;2号构型'!#REF!)=14,"TRUE","FALSE")</f>
        <v>#REF!</v>
      </c>
      <c r="K13" s="2" t="e">
        <f>RIGHT('1&amp;2号构型'!#REF!,4)</f>
        <v>#REF!</v>
      </c>
    </row>
    <row r="14" spans="1:11">
      <c r="A14" s="10" t="s">
        <v>2579</v>
      </c>
      <c r="B14" s="11" t="s">
        <v>1363</v>
      </c>
      <c r="C14" s="12">
        <v>32</v>
      </c>
      <c r="D14" s="7"/>
      <c r="F14" t="e">
        <f>'1&amp;2号构型'!#REF!</f>
        <v>#REF!</v>
      </c>
      <c r="G14" s="2" t="e">
        <f>VLOOKUP('1&amp;2号构型'!#REF!,B:C,2,0)=VALUE(MID('1&amp;2号构型'!#REF!,6,2))</f>
        <v>#REF!</v>
      </c>
      <c r="H14" s="3" t="e">
        <f>IF(LEN('1&amp;2号构型'!#REF!)=9,"TRUE","FALSE")</f>
        <v>#REF!</v>
      </c>
      <c r="I14" s="2" t="e">
        <f>VALUE(MID('1&amp;2号构型'!#REF!,1,2))=VALUE(MID('1&amp;2号构型'!#REF!,5,2))</f>
        <v>#REF!</v>
      </c>
      <c r="J14" s="2" t="e">
        <f>IF(LEN('1&amp;2号构型'!#REF!)=14,"TRUE","FALSE")</f>
        <v>#REF!</v>
      </c>
      <c r="K14" s="2" t="e">
        <f>RIGHT('1&amp;2号构型'!#REF!,4)</f>
        <v>#REF!</v>
      </c>
    </row>
    <row r="15" spans="1:11">
      <c r="A15" s="10" t="s">
        <v>2580</v>
      </c>
      <c r="B15" s="11" t="s">
        <v>2585</v>
      </c>
      <c r="C15" s="12">
        <v>33</v>
      </c>
      <c r="D15" s="7"/>
      <c r="F15" t="e">
        <f>'1&amp;2号构型'!#REF!</f>
        <v>#REF!</v>
      </c>
      <c r="G15" s="2" t="e">
        <f>VLOOKUP('1&amp;2号构型'!#REF!,B:C,2,0)=VALUE(MID('1&amp;2号构型'!#REF!,6,2))</f>
        <v>#REF!</v>
      </c>
      <c r="H15" s="3" t="e">
        <f>IF(LEN('1&amp;2号构型'!#REF!)=9,"TRUE","FALSE")</f>
        <v>#REF!</v>
      </c>
      <c r="I15" s="2" t="e">
        <f>VALUE(MID('1&amp;2号构型'!#REF!,1,2))=VALUE(MID('1&amp;2号构型'!#REF!,5,2))</f>
        <v>#REF!</v>
      </c>
      <c r="J15" s="2" t="e">
        <f>IF(LEN('1&amp;2号构型'!#REF!)=14,"TRUE","FALSE")</f>
        <v>#REF!</v>
      </c>
      <c r="K15" s="2" t="e">
        <f>RIGHT('1&amp;2号构型'!#REF!,4)</f>
        <v>#REF!</v>
      </c>
    </row>
    <row r="16" spans="1:11">
      <c r="A16" s="10" t="s">
        <v>2586</v>
      </c>
      <c r="B16" s="11" t="s">
        <v>1744</v>
      </c>
      <c r="C16" s="12">
        <v>34</v>
      </c>
      <c r="D16" s="7"/>
      <c r="F16" t="e">
        <f>'1&amp;2号构型'!#REF!</f>
        <v>#REF!</v>
      </c>
      <c r="G16" s="2" t="e">
        <f>VLOOKUP('1&amp;2号构型'!#REF!,B:C,2,0)=VALUE(MID('1&amp;2号构型'!#REF!,6,2))</f>
        <v>#REF!</v>
      </c>
      <c r="H16" s="3" t="e">
        <f>IF(LEN('1&amp;2号构型'!#REF!)=9,"TRUE","FALSE")</f>
        <v>#REF!</v>
      </c>
      <c r="I16" s="2" t="e">
        <f>VALUE(MID('1&amp;2号构型'!#REF!,1,2))=VALUE(MID('1&amp;2号构型'!#REF!,5,2))</f>
        <v>#REF!</v>
      </c>
      <c r="J16" s="2" t="e">
        <f>IF(LEN('1&amp;2号构型'!#REF!)=14,"TRUE","FALSE")</f>
        <v>#REF!</v>
      </c>
      <c r="K16" s="2" t="e">
        <f>RIGHT('1&amp;2号构型'!#REF!,4)</f>
        <v>#REF!</v>
      </c>
    </row>
    <row r="17" spans="1:11">
      <c r="A17" s="10" t="s">
        <v>2587</v>
      </c>
      <c r="B17" s="11" t="s">
        <v>102</v>
      </c>
      <c r="C17" s="12">
        <v>35</v>
      </c>
      <c r="D17" s="7"/>
      <c r="F17" t="e">
        <f>'1&amp;2号构型'!#REF!</f>
        <v>#REF!</v>
      </c>
      <c r="G17" s="2" t="e">
        <f>VLOOKUP('1&amp;2号构型'!#REF!,B:C,2,0)=VALUE(MID('1&amp;2号构型'!#REF!,6,2))</f>
        <v>#REF!</v>
      </c>
      <c r="H17" s="3" t="e">
        <f>IF(LEN('1&amp;2号构型'!#REF!)=9,"TRUE","FALSE")</f>
        <v>#REF!</v>
      </c>
      <c r="I17" s="2" t="e">
        <f>VALUE(MID('1&amp;2号构型'!#REF!,1,2))=VALUE(MID('1&amp;2号构型'!#REF!,5,2))</f>
        <v>#REF!</v>
      </c>
      <c r="J17" s="2" t="e">
        <f>IF(LEN('1&amp;2号构型'!#REF!)=14,"TRUE","FALSE")</f>
        <v>#REF!</v>
      </c>
      <c r="K17" s="2" t="e">
        <f>RIGHT('1&amp;2号构型'!#REF!,4)</f>
        <v>#REF!</v>
      </c>
    </row>
    <row r="18" spans="1:11">
      <c r="A18" s="10" t="s">
        <v>2588</v>
      </c>
      <c r="B18" s="11" t="s">
        <v>1840</v>
      </c>
      <c r="C18" s="12">
        <v>36</v>
      </c>
      <c r="D18" s="7"/>
      <c r="F18" t="e">
        <f>'1&amp;2号构型'!#REF!</f>
        <v>#REF!</v>
      </c>
      <c r="G18" s="2" t="e">
        <f>VLOOKUP('1&amp;2号构型'!#REF!,B:C,2,0)=VALUE(MID('1&amp;2号构型'!#REF!,6,2))</f>
        <v>#REF!</v>
      </c>
      <c r="H18" s="3" t="e">
        <f>IF(LEN('1&amp;2号构型'!#REF!)=9,"TRUE","FALSE")</f>
        <v>#REF!</v>
      </c>
      <c r="I18" s="2" t="e">
        <f>VALUE(MID('1&amp;2号构型'!#REF!,1,2))=VALUE(MID('1&amp;2号构型'!#REF!,5,2))</f>
        <v>#REF!</v>
      </c>
      <c r="J18" s="2" t="e">
        <f>IF(LEN('1&amp;2号构型'!#REF!)=14,"TRUE","FALSE")</f>
        <v>#REF!</v>
      </c>
      <c r="K18" s="2" t="e">
        <f>RIGHT('1&amp;2号构型'!#REF!,4)</f>
        <v>#REF!</v>
      </c>
    </row>
    <row r="19" spans="1:11">
      <c r="A19" s="10" t="s">
        <v>2589</v>
      </c>
      <c r="B19" s="11" t="s">
        <v>2238</v>
      </c>
      <c r="C19" s="12">
        <v>37</v>
      </c>
      <c r="D19" s="7"/>
      <c r="F19" t="e">
        <f>'1&amp;2号构型'!#REF!</f>
        <v>#REF!</v>
      </c>
      <c r="G19" s="2" t="e">
        <f>VLOOKUP('1&amp;2号构型'!#REF!,B:C,2,0)=VALUE(MID('1&amp;2号构型'!#REF!,6,2))</f>
        <v>#REF!</v>
      </c>
      <c r="H19" s="3" t="e">
        <f>IF(LEN('1&amp;2号构型'!#REF!)=9,"TRUE","FALSE")</f>
        <v>#REF!</v>
      </c>
      <c r="I19" s="2" t="e">
        <f>VALUE(MID('1&amp;2号构型'!#REF!,1,2))=VALUE(MID('1&amp;2号构型'!#REF!,5,2))</f>
        <v>#REF!</v>
      </c>
      <c r="J19" s="2" t="e">
        <f>IF(LEN('1&amp;2号构型'!#REF!)=14,"TRUE","FALSE")</f>
        <v>#REF!</v>
      </c>
      <c r="K19" s="2" t="e">
        <f>RIGHT('1&amp;2号构型'!#REF!,4)</f>
        <v>#REF!</v>
      </c>
    </row>
    <row r="20" spans="1:11">
      <c r="A20" s="10" t="s">
        <v>2590</v>
      </c>
      <c r="B20" s="11" t="s">
        <v>2591</v>
      </c>
      <c r="C20" s="12">
        <v>38</v>
      </c>
      <c r="D20" s="7"/>
      <c r="F20" t="e">
        <f>'1&amp;2号构型'!#REF!</f>
        <v>#REF!</v>
      </c>
      <c r="G20" s="2" t="e">
        <f>VLOOKUP('1&amp;2号构型'!#REF!,B:C,2,0)=VALUE(MID('1&amp;2号构型'!#REF!,6,2))</f>
        <v>#REF!</v>
      </c>
      <c r="H20" s="3" t="e">
        <f>IF(LEN('1&amp;2号构型'!#REF!)=9,"TRUE","FALSE")</f>
        <v>#REF!</v>
      </c>
      <c r="I20" s="2" t="e">
        <f>VALUE(MID('1&amp;2号构型'!#REF!,1,2))=VALUE(MID('1&amp;2号构型'!#REF!,5,2))</f>
        <v>#REF!</v>
      </c>
      <c r="J20" s="2" t="e">
        <f>IF(LEN('1&amp;2号构型'!#REF!)=14,"TRUE","FALSE")</f>
        <v>#REF!</v>
      </c>
      <c r="K20" s="2" t="e">
        <f>RIGHT('1&amp;2号构型'!#REF!,4)</f>
        <v>#REF!</v>
      </c>
    </row>
    <row r="21" spans="1:11">
      <c r="A21" s="10" t="s">
        <v>2577</v>
      </c>
      <c r="B21" s="11" t="s">
        <v>1494</v>
      </c>
      <c r="C21" s="12">
        <v>39</v>
      </c>
      <c r="D21" s="7"/>
      <c r="F21" t="e">
        <f>'1&amp;2号构型'!#REF!</f>
        <v>#REF!</v>
      </c>
      <c r="G21" s="2" t="e">
        <f>VLOOKUP('1&amp;2号构型'!#REF!,B:C,2,0)=VALUE(MID('1&amp;2号构型'!#REF!,6,2))</f>
        <v>#REF!</v>
      </c>
      <c r="H21" s="3" t="e">
        <f>IF(LEN('1&amp;2号构型'!#REF!)=9,"TRUE","FALSE")</f>
        <v>#REF!</v>
      </c>
      <c r="I21" s="2" t="e">
        <f>VALUE(MID('1&amp;2号构型'!#REF!,1,2))=VALUE(MID('1&amp;2号构型'!#REF!,5,2))</f>
        <v>#REF!</v>
      </c>
      <c r="J21" s="2" t="e">
        <f>IF(LEN('1&amp;2号构型'!#REF!)=14,"TRUE","FALSE")</f>
        <v>#REF!</v>
      </c>
      <c r="K21" s="2" t="e">
        <f>RIGHT('1&amp;2号构型'!#REF!,4)</f>
        <v>#REF!</v>
      </c>
    </row>
    <row r="22" spans="1:11">
      <c r="A22" s="10" t="s">
        <v>2592</v>
      </c>
      <c r="B22" s="11" t="s">
        <v>1439</v>
      </c>
      <c r="C22" s="12">
        <v>41</v>
      </c>
      <c r="D22" s="7"/>
      <c r="F22" t="e">
        <f>'1&amp;2号构型'!#REF!</f>
        <v>#REF!</v>
      </c>
      <c r="G22" s="2" t="e">
        <f>VLOOKUP('1&amp;2号构型'!#REF!,B:C,2,0)=VALUE(MID('1&amp;2号构型'!#REF!,6,2))</f>
        <v>#REF!</v>
      </c>
      <c r="H22" s="3" t="e">
        <f>IF(LEN('1&amp;2号构型'!#REF!)=9,"TRUE","FALSE")</f>
        <v>#REF!</v>
      </c>
      <c r="I22" s="2" t="e">
        <f>VALUE(MID('1&amp;2号构型'!#REF!,1,2))=VALUE(MID('1&amp;2号构型'!#REF!,5,2))</f>
        <v>#REF!</v>
      </c>
      <c r="J22" s="2" t="e">
        <f>IF(LEN('1&amp;2号构型'!#REF!)=14,"TRUE","FALSE")</f>
        <v>#REF!</v>
      </c>
      <c r="K22" s="2" t="e">
        <f>RIGHT('1&amp;2号构型'!#REF!,4)</f>
        <v>#REF!</v>
      </c>
    </row>
    <row r="23" spans="1:11">
      <c r="A23" s="10" t="s">
        <v>2593</v>
      </c>
      <c r="B23" s="11" t="s">
        <v>1793</v>
      </c>
      <c r="C23" s="12">
        <v>42</v>
      </c>
      <c r="D23" s="7"/>
      <c r="F23" t="e">
        <f>'1&amp;2号构型'!#REF!</f>
        <v>#REF!</v>
      </c>
      <c r="G23" s="2" t="e">
        <f>VLOOKUP('1&amp;2号构型'!#REF!,B:C,2,0)=VALUE(MID('1&amp;2号构型'!#REF!,6,2))</f>
        <v>#REF!</v>
      </c>
      <c r="H23" s="3" t="e">
        <f>IF(LEN('1&amp;2号构型'!#REF!)=9,"TRUE","FALSE")</f>
        <v>#REF!</v>
      </c>
      <c r="I23" s="2" t="e">
        <f>VALUE(MID('1&amp;2号构型'!#REF!,1,2))=VALUE(MID('1&amp;2号构型'!#REF!,5,2))</f>
        <v>#REF!</v>
      </c>
      <c r="J23" s="2" t="e">
        <f>IF(LEN('1&amp;2号构型'!#REF!)=14,"TRUE","FALSE")</f>
        <v>#REF!</v>
      </c>
      <c r="K23" s="2" t="e">
        <f>RIGHT('1&amp;2号构型'!#REF!,4)</f>
        <v>#REF!</v>
      </c>
    </row>
    <row r="24" spans="1:11">
      <c r="A24" s="10" t="s">
        <v>2594</v>
      </c>
      <c r="B24" s="11" t="s">
        <v>1795</v>
      </c>
      <c r="C24" s="12">
        <v>43</v>
      </c>
      <c r="D24" s="7"/>
      <c r="F24" t="e">
        <f>'1&amp;2号构型'!#REF!</f>
        <v>#REF!</v>
      </c>
      <c r="G24" s="2" t="e">
        <f>VLOOKUP('1&amp;2号构型'!#REF!,B:C,2,0)=VALUE(MID('1&amp;2号构型'!#REF!,6,2))</f>
        <v>#REF!</v>
      </c>
      <c r="H24" s="3" t="e">
        <f>IF(LEN('1&amp;2号构型'!#REF!)=9,"TRUE","FALSE")</f>
        <v>#REF!</v>
      </c>
      <c r="I24" s="2" t="e">
        <f>VALUE(MID('1&amp;2号构型'!#REF!,1,2))=VALUE(MID('1&amp;2号构型'!#REF!,5,2))</f>
        <v>#REF!</v>
      </c>
      <c r="J24" s="2" t="e">
        <f>IF(LEN('1&amp;2号构型'!#REF!)=14,"TRUE","FALSE")</f>
        <v>#REF!</v>
      </c>
      <c r="K24" s="2" t="e">
        <f>RIGHT('1&amp;2号构型'!#REF!,4)</f>
        <v>#REF!</v>
      </c>
    </row>
    <row r="25" spans="1:11">
      <c r="A25" s="10" t="s">
        <v>2595</v>
      </c>
      <c r="B25" s="11" t="s">
        <v>1797</v>
      </c>
      <c r="C25" s="12">
        <v>44</v>
      </c>
      <c r="D25" s="7"/>
      <c r="F25" t="e">
        <f>'1&amp;2号构型'!#REF!</f>
        <v>#REF!</v>
      </c>
      <c r="G25" s="2" t="e">
        <f>VLOOKUP('1&amp;2号构型'!#REF!,B:C,2,0)=VALUE(MID('1&amp;2号构型'!#REF!,6,2))</f>
        <v>#REF!</v>
      </c>
      <c r="H25" s="3" t="e">
        <f>IF(LEN('1&amp;2号构型'!#REF!)=9,"TRUE","FALSE")</f>
        <v>#REF!</v>
      </c>
      <c r="I25" s="2" t="e">
        <f>VALUE(MID('1&amp;2号构型'!#REF!,1,2))=VALUE(MID('1&amp;2号构型'!#REF!,5,2))</f>
        <v>#REF!</v>
      </c>
      <c r="J25" s="2" t="e">
        <f>IF(LEN('1&amp;2号构型'!#REF!)=14,"TRUE","FALSE")</f>
        <v>#REF!</v>
      </c>
      <c r="K25" s="2" t="e">
        <f>RIGHT('1&amp;2号构型'!#REF!,4)</f>
        <v>#REF!</v>
      </c>
    </row>
    <row r="26" spans="1:11">
      <c r="A26" s="10" t="s">
        <v>2596</v>
      </c>
      <c r="B26" s="11" t="s">
        <v>2597</v>
      </c>
      <c r="C26" s="12">
        <v>45</v>
      </c>
      <c r="D26" s="7"/>
      <c r="F26" t="e">
        <f>'1&amp;2号构型'!#REF!</f>
        <v>#REF!</v>
      </c>
      <c r="G26" s="2" t="e">
        <f>VLOOKUP('1&amp;2号构型'!#REF!,B:C,2,0)=VALUE(MID('1&amp;2号构型'!#REF!,6,2))</f>
        <v>#REF!</v>
      </c>
      <c r="H26" s="3" t="e">
        <f>IF(LEN('1&amp;2号构型'!#REF!)=9,"TRUE","FALSE")</f>
        <v>#REF!</v>
      </c>
      <c r="I26" s="2" t="e">
        <f>VALUE(MID('1&amp;2号构型'!#REF!,1,2))=VALUE(MID('1&amp;2号构型'!#REF!,5,2))</f>
        <v>#REF!</v>
      </c>
      <c r="J26" s="2" t="e">
        <f>IF(LEN('1&amp;2号构型'!#REF!)=14,"TRUE","FALSE")</f>
        <v>#REF!</v>
      </c>
      <c r="K26" s="2" t="e">
        <f>RIGHT('1&amp;2号构型'!#REF!,4)</f>
        <v>#REF!</v>
      </c>
    </row>
    <row r="27" spans="1:11">
      <c r="A27" s="10" t="s">
        <v>2577</v>
      </c>
      <c r="B27" s="11" t="s">
        <v>1497</v>
      </c>
      <c r="C27" s="12">
        <v>49</v>
      </c>
      <c r="D27" s="7"/>
      <c r="F27" t="e">
        <f>'1&amp;2号构型'!#REF!</f>
        <v>#REF!</v>
      </c>
      <c r="G27" s="2" t="e">
        <f>VLOOKUP('1&amp;2号构型'!#REF!,B:C,2,0)=VALUE(MID('1&amp;2号构型'!#REF!,6,2))</f>
        <v>#REF!</v>
      </c>
      <c r="H27" s="3" t="e">
        <f>IF(LEN('1&amp;2号构型'!#REF!)=9,"TRUE","FALSE")</f>
        <v>#REF!</v>
      </c>
      <c r="I27" s="2" t="e">
        <f>VALUE(MID('1&amp;2号构型'!#REF!,1,2))=VALUE(MID('1&amp;2号构型'!#REF!,5,2))</f>
        <v>#REF!</v>
      </c>
      <c r="J27" s="2" t="e">
        <f>IF(LEN('1&amp;2号构型'!#REF!)=14,"TRUE","FALSE")</f>
        <v>#REF!</v>
      </c>
      <c r="K27" s="2" t="e">
        <f>RIGHT('1&amp;2号构型'!#REF!,4)</f>
        <v>#REF!</v>
      </c>
    </row>
    <row r="28" spans="1:11">
      <c r="A28" s="10" t="s">
        <v>2598</v>
      </c>
      <c r="B28" s="11" t="s">
        <v>1356</v>
      </c>
      <c r="C28" s="12">
        <v>51</v>
      </c>
      <c r="D28" s="7"/>
      <c r="F28" t="e">
        <f>'1&amp;2号构型'!#REF!</f>
        <v>#REF!</v>
      </c>
      <c r="G28" s="2" t="e">
        <f>VLOOKUP('1&amp;2号构型'!#REF!,B:C,2,0)=VALUE(MID('1&amp;2号构型'!#REF!,6,2))</f>
        <v>#REF!</v>
      </c>
      <c r="H28" s="3" t="e">
        <f>IF(LEN('1&amp;2号构型'!#REF!)=9,"TRUE","FALSE")</f>
        <v>#REF!</v>
      </c>
      <c r="I28" s="2" t="e">
        <f>VALUE(MID('1&amp;2号构型'!#REF!,1,2))=VALUE(MID('1&amp;2号构型'!#REF!,5,2))</f>
        <v>#REF!</v>
      </c>
      <c r="J28" s="2" t="e">
        <f>IF(LEN('1&amp;2号构型'!#REF!)=14,"TRUE","FALSE")</f>
        <v>#REF!</v>
      </c>
      <c r="K28" s="2" t="e">
        <f>RIGHT('1&amp;2号构型'!#REF!,4)</f>
        <v>#REF!</v>
      </c>
    </row>
    <row r="29" spans="1:11">
      <c r="A29" s="10" t="s">
        <v>2599</v>
      </c>
      <c r="B29" s="11" t="s">
        <v>1443</v>
      </c>
      <c r="C29" s="12">
        <v>52</v>
      </c>
      <c r="D29" s="7"/>
      <c r="F29" t="e">
        <f>'1&amp;2号构型'!#REF!</f>
        <v>#REF!</v>
      </c>
      <c r="G29" s="2" t="e">
        <f>VLOOKUP('1&amp;2号构型'!#REF!,B:C,2,0)=VALUE(MID('1&amp;2号构型'!#REF!,6,2))</f>
        <v>#REF!</v>
      </c>
      <c r="H29" s="3" t="e">
        <f>IF(LEN('1&amp;2号构型'!#REF!)=9,"TRUE","FALSE")</f>
        <v>#REF!</v>
      </c>
      <c r="I29" s="2" t="e">
        <f>VALUE(MID('1&amp;2号构型'!#REF!,1,2))=VALUE(MID('1&amp;2号构型'!#REF!,5,2))</f>
        <v>#REF!</v>
      </c>
      <c r="J29" s="2" t="e">
        <f>IF(LEN('1&amp;2号构型'!#REF!)=14,"TRUE","FALSE")</f>
        <v>#REF!</v>
      </c>
      <c r="K29" s="2" t="e">
        <f>RIGHT('1&amp;2号构型'!#REF!,4)</f>
        <v>#REF!</v>
      </c>
    </row>
    <row r="30" spans="1:11">
      <c r="A30" s="10" t="s">
        <v>2600</v>
      </c>
      <c r="B30" s="11" t="s">
        <v>1799</v>
      </c>
      <c r="C30" s="12">
        <v>53</v>
      </c>
      <c r="D30" s="7"/>
      <c r="F30" t="e">
        <f>'1&amp;2号构型'!#REF!</f>
        <v>#REF!</v>
      </c>
      <c r="G30" s="2" t="e">
        <f>VLOOKUP('1&amp;2号构型'!#REF!,B:C,2,0)=VALUE(MID('1&amp;2号构型'!#REF!,6,2))</f>
        <v>#REF!</v>
      </c>
      <c r="H30" s="3" t="e">
        <f>IF(LEN('1&amp;2号构型'!#REF!)=9,"TRUE","FALSE")</f>
        <v>#REF!</v>
      </c>
      <c r="I30" s="2" t="e">
        <f>VALUE(MID('1&amp;2号构型'!#REF!,1,2))=VALUE(MID('1&amp;2号构型'!#REF!,5,2))</f>
        <v>#REF!</v>
      </c>
      <c r="J30" s="2" t="e">
        <f>IF(LEN('1&amp;2号构型'!#REF!)=14,"TRUE","FALSE")</f>
        <v>#REF!</v>
      </c>
      <c r="K30" s="2" t="e">
        <f>RIGHT('1&amp;2号构型'!#REF!,4)</f>
        <v>#REF!</v>
      </c>
    </row>
    <row r="31" spans="1:11">
      <c r="A31" s="10" t="s">
        <v>2601</v>
      </c>
      <c r="B31" s="11" t="s">
        <v>1801</v>
      </c>
      <c r="C31" s="12">
        <v>54</v>
      </c>
      <c r="D31" s="7"/>
      <c r="F31" t="e">
        <f>'1&amp;2号构型'!#REF!</f>
        <v>#REF!</v>
      </c>
      <c r="G31" s="2" t="e">
        <f>VLOOKUP('1&amp;2号构型'!#REF!,B:C,2,0)=VALUE(MID('1&amp;2号构型'!#REF!,6,2))</f>
        <v>#REF!</v>
      </c>
      <c r="H31" s="3" t="e">
        <f>IF(LEN('1&amp;2号构型'!#REF!)=9,"TRUE","FALSE")</f>
        <v>#REF!</v>
      </c>
      <c r="I31" s="2" t="e">
        <f>VALUE(MID('1&amp;2号构型'!#REF!,1,2))=VALUE(MID('1&amp;2号构型'!#REF!,5,2))</f>
        <v>#REF!</v>
      </c>
      <c r="J31" s="2" t="e">
        <f>IF(LEN('1&amp;2号构型'!#REF!)=14,"TRUE","FALSE")</f>
        <v>#REF!</v>
      </c>
      <c r="K31" s="2" t="e">
        <f>RIGHT('1&amp;2号构型'!#REF!,4)</f>
        <v>#REF!</v>
      </c>
    </row>
    <row r="32" spans="1:11">
      <c r="A32" s="10" t="s">
        <v>2602</v>
      </c>
      <c r="B32" s="11" t="s">
        <v>1445</v>
      </c>
      <c r="C32" s="12">
        <v>55</v>
      </c>
      <c r="D32" s="7"/>
      <c r="F32" t="e">
        <f>'1&amp;2号构型'!#REF!</f>
        <v>#REF!</v>
      </c>
      <c r="G32" s="2" t="e">
        <f>VLOOKUP('1&amp;2号构型'!#REF!,B:C,2,0)=VALUE(MID('1&amp;2号构型'!#REF!,6,2))</f>
        <v>#REF!</v>
      </c>
      <c r="H32" s="3" t="e">
        <f>IF(LEN('1&amp;2号构型'!#REF!)=9,"TRUE","FALSE")</f>
        <v>#REF!</v>
      </c>
      <c r="I32" s="2" t="e">
        <f>VALUE(MID('1&amp;2号构型'!#REF!,1,2))=VALUE(MID('1&amp;2号构型'!#REF!,5,2))</f>
        <v>#REF!</v>
      </c>
      <c r="J32" s="2" t="e">
        <f>IF(LEN('1&amp;2号构型'!#REF!)=14,"TRUE","FALSE")</f>
        <v>#REF!</v>
      </c>
      <c r="K32" s="2" t="e">
        <f>RIGHT('1&amp;2号构型'!#REF!,4)</f>
        <v>#REF!</v>
      </c>
    </row>
    <row r="33" spans="1:11">
      <c r="A33" s="10" t="s">
        <v>2577</v>
      </c>
      <c r="B33" s="11" t="s">
        <v>2135</v>
      </c>
      <c r="C33" s="12">
        <v>59</v>
      </c>
      <c r="D33" s="7"/>
      <c r="F33" t="e">
        <f>'1&amp;2号构型'!#REF!</f>
        <v>#REF!</v>
      </c>
      <c r="G33" s="2" t="e">
        <f>VLOOKUP('1&amp;2号构型'!#REF!,B:C,2,0)=VALUE(MID('1&amp;2号构型'!#REF!,6,2))</f>
        <v>#REF!</v>
      </c>
      <c r="H33" s="3" t="e">
        <f>IF(LEN('1&amp;2号构型'!#REF!)=9,"TRUE","FALSE")</f>
        <v>#REF!</v>
      </c>
      <c r="I33" s="2" t="e">
        <f>VALUE(MID('1&amp;2号构型'!#REF!,1,2))=VALUE(MID('1&amp;2号构型'!#REF!,5,2))</f>
        <v>#REF!</v>
      </c>
      <c r="J33" s="2" t="e">
        <f>IF(LEN('1&amp;2号构型'!#REF!)=14,"TRUE","FALSE")</f>
        <v>#REF!</v>
      </c>
      <c r="K33" s="2" t="e">
        <f>RIGHT('1&amp;2号构型'!#REF!,4)</f>
        <v>#REF!</v>
      </c>
    </row>
    <row r="34" spans="1:11">
      <c r="A34" s="10" t="s">
        <v>2603</v>
      </c>
      <c r="B34" s="11" t="s">
        <v>1903</v>
      </c>
      <c r="C34" s="12">
        <v>61</v>
      </c>
      <c r="D34" s="7"/>
      <c r="F34" t="e">
        <f>'1&amp;2号构型'!#REF!</f>
        <v>#REF!</v>
      </c>
      <c r="G34" s="2" t="e">
        <f>VLOOKUP('1&amp;2号构型'!#REF!,B:C,2,0)=VALUE(MID('1&amp;2号构型'!#REF!,6,2))</f>
        <v>#REF!</v>
      </c>
      <c r="H34" s="3" t="e">
        <f>IF(LEN('1&amp;2号构型'!#REF!)=9,"TRUE","FALSE")</f>
        <v>#REF!</v>
      </c>
      <c r="I34" s="2" t="e">
        <f>VALUE(MID('1&amp;2号构型'!#REF!,1,2))=VALUE(MID('1&amp;2号构型'!#REF!,5,2))</f>
        <v>#REF!</v>
      </c>
      <c r="J34" s="2" t="e">
        <f>IF(LEN('1&amp;2号构型'!#REF!)=14,"TRUE","FALSE")</f>
        <v>#REF!</v>
      </c>
      <c r="K34" s="2" t="e">
        <f>RIGHT('1&amp;2号构型'!#REF!,4)</f>
        <v>#REF!</v>
      </c>
    </row>
    <row r="35" spans="1:11">
      <c r="A35" s="10" t="s">
        <v>2604</v>
      </c>
      <c r="B35" s="11" t="s">
        <v>1764</v>
      </c>
      <c r="C35" s="12">
        <v>62</v>
      </c>
      <c r="D35" s="7"/>
      <c r="F35" t="e">
        <f>'1&amp;2号构型'!#REF!</f>
        <v>#REF!</v>
      </c>
      <c r="G35" s="2" t="e">
        <f>VLOOKUP('1&amp;2号构型'!#REF!,B:C,2,0)=VALUE(MID('1&amp;2号构型'!#REF!,6,2))</f>
        <v>#REF!</v>
      </c>
      <c r="H35" s="3" t="e">
        <f>IF(LEN('1&amp;2号构型'!#REF!)=9,"TRUE","FALSE")</f>
        <v>#REF!</v>
      </c>
      <c r="I35" s="2" t="e">
        <f>VALUE(MID('1&amp;2号构型'!#REF!,1,2))=VALUE(MID('1&amp;2号构型'!#REF!,5,2))</f>
        <v>#REF!</v>
      </c>
      <c r="J35" s="2" t="e">
        <f>IF(LEN('1&amp;2号构型'!#REF!)=14,"TRUE","FALSE")</f>
        <v>#REF!</v>
      </c>
      <c r="K35" s="2" t="e">
        <f>RIGHT('1&amp;2号构型'!#REF!,4)</f>
        <v>#REF!</v>
      </c>
    </row>
    <row r="36" spans="1:11">
      <c r="A36" s="10" t="s">
        <v>2605</v>
      </c>
      <c r="B36" s="11" t="s">
        <v>2428</v>
      </c>
      <c r="C36" s="12">
        <v>69</v>
      </c>
      <c r="D36" s="7"/>
      <c r="F36" t="e">
        <f>'1&amp;2号构型'!#REF!</f>
        <v>#REF!</v>
      </c>
      <c r="G36" s="2" t="e">
        <f>VLOOKUP('1&amp;2号构型'!#REF!,B:C,2,0)=VALUE(MID('1&amp;2号构型'!#REF!,6,2))</f>
        <v>#REF!</v>
      </c>
      <c r="H36" s="3" t="e">
        <f>IF(LEN('1&amp;2号构型'!#REF!)=9,"TRUE","FALSE")</f>
        <v>#REF!</v>
      </c>
      <c r="I36" s="2" t="e">
        <f>VALUE(MID('1&amp;2号构型'!#REF!,1,2))=VALUE(MID('1&amp;2号构型'!#REF!,5,2))</f>
        <v>#REF!</v>
      </c>
      <c r="J36" s="2" t="e">
        <f>IF(LEN('1&amp;2号构型'!#REF!)=14,"TRUE","FALSE")</f>
        <v>#REF!</v>
      </c>
      <c r="K36" s="2" t="e">
        <f>RIGHT('1&amp;2号构型'!#REF!,4)</f>
        <v>#REF!</v>
      </c>
    </row>
    <row r="37" spans="1:11">
      <c r="A37" s="10" t="s">
        <v>2606</v>
      </c>
      <c r="B37" s="11" t="s">
        <v>1774</v>
      </c>
      <c r="C37" s="12">
        <v>71</v>
      </c>
      <c r="D37" s="7"/>
      <c r="F37" t="e">
        <f>'1&amp;2号构型'!#REF!</f>
        <v>#REF!</v>
      </c>
      <c r="G37" s="2" t="e">
        <f>VLOOKUP('1&amp;2号构型'!#REF!,B:C,2,0)=VALUE(MID('1&amp;2号构型'!#REF!,6,2))</f>
        <v>#REF!</v>
      </c>
      <c r="H37" s="3" t="e">
        <f>IF(LEN('1&amp;2号构型'!#REF!)=9,"TRUE","FALSE")</f>
        <v>#REF!</v>
      </c>
      <c r="I37" s="2" t="e">
        <f>VALUE(MID('1&amp;2号构型'!#REF!,1,2))=VALUE(MID('1&amp;2号构型'!#REF!,5,2))</f>
        <v>#REF!</v>
      </c>
      <c r="J37" s="2" t="e">
        <f>IF(LEN('1&amp;2号构型'!#REF!)=14,"TRUE","FALSE")</f>
        <v>#REF!</v>
      </c>
      <c r="K37" s="2" t="e">
        <f>RIGHT('1&amp;2号构型'!#REF!,4)</f>
        <v>#REF!</v>
      </c>
    </row>
    <row r="38" spans="1:11">
      <c r="A38" s="10" t="s">
        <v>2607</v>
      </c>
      <c r="B38" s="11" t="s">
        <v>1778</v>
      </c>
      <c r="C38" s="12">
        <v>72</v>
      </c>
      <c r="D38" s="7"/>
      <c r="F38" t="e">
        <f>'1&amp;2号构型'!#REF!</f>
        <v>#REF!</v>
      </c>
      <c r="G38" s="2" t="e">
        <f>VLOOKUP('1&amp;2号构型'!#REF!,B:C,2,0)=VALUE(MID('1&amp;2号构型'!#REF!,6,2))</f>
        <v>#REF!</v>
      </c>
      <c r="H38" s="3" t="e">
        <f>IF(LEN('1&amp;2号构型'!#REF!)=9,"TRUE","FALSE")</f>
        <v>#REF!</v>
      </c>
      <c r="I38" s="2" t="e">
        <f>VALUE(MID('1&amp;2号构型'!#REF!,1,2))=VALUE(MID('1&amp;2号构型'!#REF!,5,2))</f>
        <v>#REF!</v>
      </c>
      <c r="J38" s="2" t="e">
        <f>IF(LEN('1&amp;2号构型'!#REF!)=14,"TRUE","FALSE")</f>
        <v>#REF!</v>
      </c>
      <c r="K38" s="2" t="e">
        <f>RIGHT('1&amp;2号构型'!#REF!,4)</f>
        <v>#REF!</v>
      </c>
    </row>
    <row r="39" spans="1:11">
      <c r="A39" s="10" t="s">
        <v>2608</v>
      </c>
      <c r="B39" s="11" t="s">
        <v>1781</v>
      </c>
      <c r="C39" s="12">
        <v>73</v>
      </c>
      <c r="D39" s="7"/>
      <c r="F39" t="e">
        <f>'1&amp;2号构型'!#REF!</f>
        <v>#REF!</v>
      </c>
      <c r="G39" s="2" t="e">
        <f>VLOOKUP('1&amp;2号构型'!#REF!,B:C,2,0)=VALUE(MID('1&amp;2号构型'!#REF!,6,2))</f>
        <v>#REF!</v>
      </c>
      <c r="H39" s="3" t="e">
        <f>IF(LEN('1&amp;2号构型'!#REF!)=9,"TRUE","FALSE")</f>
        <v>#REF!</v>
      </c>
      <c r="I39" s="2" t="e">
        <f>VALUE(MID('1&amp;2号构型'!#REF!,1,2))=VALUE(MID('1&amp;2号构型'!#REF!,5,2))</f>
        <v>#REF!</v>
      </c>
      <c r="J39" s="2" t="e">
        <f>IF(LEN('1&amp;2号构型'!#REF!)=14,"TRUE","FALSE")</f>
        <v>#REF!</v>
      </c>
      <c r="K39" s="2" t="e">
        <f>RIGHT('1&amp;2号构型'!#REF!,4)</f>
        <v>#REF!</v>
      </c>
    </row>
    <row r="40" spans="1:11">
      <c r="A40" s="10" t="s">
        <v>2609</v>
      </c>
      <c r="B40" s="11" t="s">
        <v>1783</v>
      </c>
      <c r="C40" s="12">
        <v>74</v>
      </c>
      <c r="D40" s="7"/>
      <c r="F40" t="e">
        <f>'1&amp;2号构型'!#REF!</f>
        <v>#REF!</v>
      </c>
      <c r="G40" s="2" t="e">
        <f>VLOOKUP('1&amp;2号构型'!#REF!,B:C,2,0)=VALUE(MID('1&amp;2号构型'!#REF!,6,2))</f>
        <v>#REF!</v>
      </c>
      <c r="H40" s="3" t="e">
        <f>IF(LEN('1&amp;2号构型'!#REF!)=9,"TRUE","FALSE")</f>
        <v>#REF!</v>
      </c>
      <c r="I40" s="2" t="e">
        <f>VALUE(MID('1&amp;2号构型'!#REF!,1,2))=VALUE(MID('1&amp;2号构型'!#REF!,5,2))</f>
        <v>#REF!</v>
      </c>
      <c r="J40" s="2" t="e">
        <f>IF(LEN('1&amp;2号构型'!#REF!)=14,"TRUE","FALSE")</f>
        <v>#REF!</v>
      </c>
      <c r="K40" s="2" t="e">
        <f>RIGHT('1&amp;2号构型'!#REF!,4)</f>
        <v>#REF!</v>
      </c>
    </row>
    <row r="41" spans="1:11">
      <c r="A41" s="10" t="s">
        <v>2610</v>
      </c>
      <c r="B41" s="11" t="s">
        <v>1785</v>
      </c>
      <c r="C41" s="12">
        <v>75</v>
      </c>
      <c r="D41" s="7"/>
      <c r="F41" t="e">
        <f>'1&amp;2号构型'!#REF!</f>
        <v>#REF!</v>
      </c>
      <c r="G41" s="2" t="e">
        <f>VLOOKUP('1&amp;2号构型'!#REF!,B:C,2,0)=VALUE(MID('1&amp;2号构型'!#REF!,6,2))</f>
        <v>#REF!</v>
      </c>
      <c r="H41" s="3" t="e">
        <f>IF(LEN('1&amp;2号构型'!#REF!)=9,"TRUE","FALSE")</f>
        <v>#REF!</v>
      </c>
      <c r="I41" s="2" t="e">
        <f>VALUE(MID('1&amp;2号构型'!#REF!,1,2))=VALUE(MID('1&amp;2号构型'!#REF!,5,2))</f>
        <v>#REF!</v>
      </c>
      <c r="J41" s="2" t="e">
        <f>IF(LEN('1&amp;2号构型'!#REF!)=14,"TRUE","FALSE")</f>
        <v>#REF!</v>
      </c>
      <c r="K41" s="2" t="e">
        <f>RIGHT('1&amp;2号构型'!#REF!,4)</f>
        <v>#REF!</v>
      </c>
    </row>
    <row r="42" spans="1:11">
      <c r="A42" s="10" t="s">
        <v>2577</v>
      </c>
      <c r="B42" s="11" t="s">
        <v>2611</v>
      </c>
      <c r="C42" s="12">
        <v>79</v>
      </c>
      <c r="D42" s="7"/>
      <c r="F42" t="e">
        <f>'1&amp;2号构型'!#REF!</f>
        <v>#REF!</v>
      </c>
      <c r="G42" s="2" t="e">
        <f>VLOOKUP('1&amp;2号构型'!#REF!,B:C,2,0)=VALUE(MID('1&amp;2号构型'!#REF!,6,2))</f>
        <v>#REF!</v>
      </c>
      <c r="H42" s="3" t="e">
        <f>IF(LEN('1&amp;2号构型'!#REF!)=9,"TRUE","FALSE")</f>
        <v>#REF!</v>
      </c>
      <c r="I42" s="2" t="e">
        <f>VALUE(MID('1&amp;2号构型'!#REF!,1,2))=VALUE(MID('1&amp;2号构型'!#REF!,5,2))</f>
        <v>#REF!</v>
      </c>
      <c r="J42" s="2" t="e">
        <f>IF(LEN('1&amp;2号构型'!#REF!)=14,"TRUE","FALSE")</f>
        <v>#REF!</v>
      </c>
      <c r="K42" s="2" t="e">
        <f>RIGHT('1&amp;2号构型'!#REF!,4)</f>
        <v>#REF!</v>
      </c>
    </row>
    <row r="43" spans="1:11">
      <c r="A43" s="10" t="s">
        <v>2612</v>
      </c>
      <c r="B43" s="11" t="s">
        <v>1448</v>
      </c>
      <c r="C43" s="12">
        <v>81</v>
      </c>
      <c r="D43" s="7"/>
      <c r="F43" t="e">
        <f>'1&amp;2号构型'!#REF!</f>
        <v>#REF!</v>
      </c>
      <c r="G43" s="2" t="e">
        <f>VLOOKUP('1&amp;2号构型'!#REF!,B:C,2,0)=VALUE(MID('1&amp;2号构型'!#REF!,6,2))</f>
        <v>#REF!</v>
      </c>
      <c r="H43" s="3" t="e">
        <f>IF(LEN('1&amp;2号构型'!#REF!)=9,"TRUE","FALSE")</f>
        <v>#REF!</v>
      </c>
      <c r="I43" s="2" t="e">
        <f>VALUE(MID('1&amp;2号构型'!#REF!,1,2))=VALUE(MID('1&amp;2号构型'!#REF!,5,2))</f>
        <v>#REF!</v>
      </c>
      <c r="J43" s="2" t="e">
        <f>IF(LEN('1&amp;2号构型'!#REF!)=14,"TRUE","FALSE")</f>
        <v>#REF!</v>
      </c>
      <c r="K43" s="2" t="e">
        <f>RIGHT('1&amp;2号构型'!#REF!,4)</f>
        <v>#REF!</v>
      </c>
    </row>
    <row r="44" spans="1:11">
      <c r="A44" s="10" t="s">
        <v>2613</v>
      </c>
      <c r="B44" s="11" t="s">
        <v>1888</v>
      </c>
      <c r="C44" s="12">
        <v>82</v>
      </c>
      <c r="D44" s="7"/>
      <c r="F44" t="e">
        <f>'1&amp;2号构型'!#REF!</f>
        <v>#REF!</v>
      </c>
      <c r="G44" s="2" t="e">
        <f>VLOOKUP('1&amp;2号构型'!#REF!,B:C,2,0)=VALUE(MID('1&amp;2号构型'!#REF!,6,2))</f>
        <v>#REF!</v>
      </c>
      <c r="H44" s="3" t="e">
        <f>IF(LEN('1&amp;2号构型'!#REF!)=9,"TRUE","FALSE")</f>
        <v>#REF!</v>
      </c>
      <c r="I44" s="2" t="e">
        <f>VALUE(MID('1&amp;2号构型'!#REF!,1,2))=VALUE(MID('1&amp;2号构型'!#REF!,5,2))</f>
        <v>#REF!</v>
      </c>
      <c r="J44" s="2" t="e">
        <f>IF(LEN('1&amp;2号构型'!#REF!)=14,"TRUE","FALSE")</f>
        <v>#REF!</v>
      </c>
      <c r="K44" s="2" t="e">
        <f>RIGHT('1&amp;2号构型'!#REF!,4)</f>
        <v>#REF!</v>
      </c>
    </row>
    <row r="45" spans="1:11">
      <c r="A45" s="10" t="s">
        <v>2614</v>
      </c>
      <c r="B45" s="11" t="s">
        <v>1879</v>
      </c>
      <c r="C45" s="12">
        <v>83</v>
      </c>
      <c r="D45" s="7"/>
      <c r="F45" t="e">
        <f>'1&amp;2号构型'!#REF!</f>
        <v>#REF!</v>
      </c>
      <c r="G45" s="2" t="e">
        <f>VLOOKUP('1&amp;2号构型'!#REF!,B:C,2,0)=VALUE(MID('1&amp;2号构型'!#REF!,6,2))</f>
        <v>#REF!</v>
      </c>
      <c r="H45" s="3" t="e">
        <f>IF(LEN('1&amp;2号构型'!#REF!)=9,"TRUE","FALSE")</f>
        <v>#REF!</v>
      </c>
      <c r="I45" s="2" t="e">
        <f>VALUE(MID('1&amp;2号构型'!#REF!,1,2))=VALUE(MID('1&amp;2号构型'!#REF!,5,2))</f>
        <v>#REF!</v>
      </c>
      <c r="J45" s="2" t="e">
        <f>IF(LEN('1&amp;2号构型'!#REF!)=14,"TRUE","FALSE")</f>
        <v>#REF!</v>
      </c>
      <c r="K45" s="2" t="e">
        <f>RIGHT('1&amp;2号构型'!#REF!,4)</f>
        <v>#REF!</v>
      </c>
    </row>
    <row r="46" spans="1:11">
      <c r="A46" s="10" t="s">
        <v>2577</v>
      </c>
      <c r="B46" s="11" t="s">
        <v>781</v>
      </c>
      <c r="C46" s="12">
        <v>89</v>
      </c>
      <c r="D46" s="7"/>
      <c r="F46" t="e">
        <f>'1&amp;2号构型'!#REF!</f>
        <v>#REF!</v>
      </c>
      <c r="G46" s="2" t="e">
        <f>VLOOKUP('1&amp;2号构型'!#REF!,B:C,2,0)=VALUE(MID('1&amp;2号构型'!#REF!,6,2))</f>
        <v>#REF!</v>
      </c>
      <c r="H46" s="3" t="e">
        <f>IF(LEN('1&amp;2号构型'!#REF!)=9,"TRUE","FALSE")</f>
        <v>#REF!</v>
      </c>
      <c r="I46" s="2" t="e">
        <f>VALUE(MID('1&amp;2号构型'!#REF!,1,2))=VALUE(MID('1&amp;2号构型'!#REF!,5,2))</f>
        <v>#REF!</v>
      </c>
      <c r="J46" s="2" t="e">
        <f>IF(LEN('1&amp;2号构型'!#REF!)=14,"TRUE","FALSE")</f>
        <v>#REF!</v>
      </c>
      <c r="K46" s="2" t="e">
        <f>RIGHT('1&amp;2号构型'!#REF!,4)</f>
        <v>#REF!</v>
      </c>
    </row>
    <row r="47" spans="1:11">
      <c r="F47" t="e">
        <f>'1&amp;2号构型'!#REF!</f>
        <v>#REF!</v>
      </c>
      <c r="G47" s="2" t="e">
        <f>VLOOKUP('1&amp;2号构型'!#REF!,B:C,2,0)=VALUE(MID('1&amp;2号构型'!#REF!,6,2))</f>
        <v>#REF!</v>
      </c>
      <c r="H47" s="3" t="e">
        <f>IF(LEN('1&amp;2号构型'!#REF!)=9,"TRUE","FALSE")</f>
        <v>#REF!</v>
      </c>
      <c r="I47" s="2" t="e">
        <f>VALUE(MID('1&amp;2号构型'!#REF!,1,2))=VALUE(MID('1&amp;2号构型'!#REF!,5,2))</f>
        <v>#REF!</v>
      </c>
      <c r="J47" s="2" t="e">
        <f>IF(LEN('1&amp;2号构型'!#REF!)=14,"TRUE","FALSE")</f>
        <v>#REF!</v>
      </c>
      <c r="K47" s="2" t="e">
        <f>RIGHT('1&amp;2号构型'!#REF!,4)</f>
        <v>#REF!</v>
      </c>
    </row>
    <row r="48" spans="1:11">
      <c r="F48" t="e">
        <f>'1&amp;2号构型'!#REF!</f>
        <v>#REF!</v>
      </c>
      <c r="G48" s="2" t="e">
        <f>VLOOKUP('1&amp;2号构型'!#REF!,B:C,2,0)=VALUE(MID('1&amp;2号构型'!#REF!,6,2))</f>
        <v>#REF!</v>
      </c>
      <c r="H48" s="3" t="e">
        <f>IF(LEN('1&amp;2号构型'!#REF!)=9,"TRUE","FALSE")</f>
        <v>#REF!</v>
      </c>
      <c r="I48" s="2" t="e">
        <f>VALUE(MID('1&amp;2号构型'!#REF!,1,2))=VALUE(MID('1&amp;2号构型'!#REF!,5,2))</f>
        <v>#REF!</v>
      </c>
      <c r="J48" s="2" t="e">
        <f>IF(LEN('1&amp;2号构型'!#REF!)=14,"TRUE","FALSE")</f>
        <v>#REF!</v>
      </c>
      <c r="K48" s="2" t="e">
        <f>RIGHT('1&amp;2号构型'!#REF!,4)</f>
        <v>#REF!</v>
      </c>
    </row>
    <row r="49" spans="6:11">
      <c r="F49" t="e">
        <f>'1&amp;2号构型'!#REF!</f>
        <v>#REF!</v>
      </c>
      <c r="G49" s="2" t="e">
        <f>VLOOKUP('1&amp;2号构型'!#REF!,B:C,2,0)=VALUE(MID('1&amp;2号构型'!#REF!,6,2))</f>
        <v>#REF!</v>
      </c>
      <c r="H49" s="3" t="e">
        <f>IF(LEN('1&amp;2号构型'!#REF!)=9,"TRUE","FALSE")</f>
        <v>#REF!</v>
      </c>
      <c r="I49" s="2" t="e">
        <f>VALUE(MID('1&amp;2号构型'!#REF!,1,2))=VALUE(MID('1&amp;2号构型'!#REF!,5,2))</f>
        <v>#REF!</v>
      </c>
      <c r="J49" s="2" t="e">
        <f>IF(LEN('1&amp;2号构型'!#REF!)=14,"TRUE","FALSE")</f>
        <v>#REF!</v>
      </c>
      <c r="K49" s="2" t="e">
        <f>RIGHT('1&amp;2号构型'!#REF!,4)</f>
        <v>#REF!</v>
      </c>
    </row>
    <row r="50" spans="6:11">
      <c r="F50" t="e">
        <f>'1&amp;2号构型'!#REF!</f>
        <v>#REF!</v>
      </c>
      <c r="G50" s="2" t="e">
        <f>VLOOKUP('1&amp;2号构型'!#REF!,B:C,2,0)=VALUE(MID('1&amp;2号构型'!#REF!,6,2))</f>
        <v>#REF!</v>
      </c>
      <c r="H50" s="3" t="e">
        <f>IF(LEN('1&amp;2号构型'!#REF!)=9,"TRUE","FALSE")</f>
        <v>#REF!</v>
      </c>
      <c r="I50" s="2" t="e">
        <f>VALUE(MID('1&amp;2号构型'!#REF!,1,2))=VALUE(MID('1&amp;2号构型'!#REF!,5,2))</f>
        <v>#REF!</v>
      </c>
      <c r="J50" s="2" t="e">
        <f>IF(LEN('1&amp;2号构型'!#REF!)=14,"TRUE","FALSE")</f>
        <v>#REF!</v>
      </c>
      <c r="K50" s="2" t="e">
        <f>RIGHT('1&amp;2号构型'!#REF!,4)</f>
        <v>#REF!</v>
      </c>
    </row>
    <row r="51" spans="6:11">
      <c r="F51" t="e">
        <f>'1&amp;2号构型'!#REF!</f>
        <v>#REF!</v>
      </c>
      <c r="G51" s="2" t="e">
        <f>VLOOKUP('1&amp;2号构型'!#REF!,B:C,2,0)=VALUE(MID('1&amp;2号构型'!#REF!,6,2))</f>
        <v>#REF!</v>
      </c>
      <c r="H51" s="3" t="e">
        <f>IF(LEN('1&amp;2号构型'!#REF!)=9,"TRUE","FALSE")</f>
        <v>#REF!</v>
      </c>
      <c r="I51" s="2" t="e">
        <f>VALUE(MID('1&amp;2号构型'!#REF!,1,2))=VALUE(MID('1&amp;2号构型'!#REF!,5,2))</f>
        <v>#REF!</v>
      </c>
      <c r="J51" s="2" t="e">
        <f>IF(LEN('1&amp;2号构型'!#REF!)=14,"TRUE","FALSE")</f>
        <v>#REF!</v>
      </c>
      <c r="K51" s="2" t="e">
        <f>RIGHT('1&amp;2号构型'!#REF!,4)</f>
        <v>#REF!</v>
      </c>
    </row>
    <row r="52" spans="6:11">
      <c r="F52" t="e">
        <f>'1&amp;2号构型'!#REF!</f>
        <v>#REF!</v>
      </c>
      <c r="G52" s="2" t="e">
        <f>VLOOKUP('1&amp;2号构型'!#REF!,B:C,2,0)=VALUE(MID('1&amp;2号构型'!#REF!,6,2))</f>
        <v>#REF!</v>
      </c>
      <c r="H52" s="3" t="e">
        <f>IF(LEN('1&amp;2号构型'!#REF!)=9,"TRUE","FALSE")</f>
        <v>#REF!</v>
      </c>
      <c r="I52" s="2" t="e">
        <f>VALUE(MID('1&amp;2号构型'!#REF!,1,2))=VALUE(MID('1&amp;2号构型'!#REF!,5,2))</f>
        <v>#REF!</v>
      </c>
      <c r="J52" s="2" t="e">
        <f>IF(LEN('1&amp;2号构型'!#REF!)=14,"TRUE","FALSE")</f>
        <v>#REF!</v>
      </c>
      <c r="K52" s="2" t="e">
        <f>RIGHT('1&amp;2号构型'!#REF!,4)</f>
        <v>#REF!</v>
      </c>
    </row>
    <row r="53" spans="6:11">
      <c r="F53" t="e">
        <f>'1&amp;2号构型'!#REF!</f>
        <v>#REF!</v>
      </c>
      <c r="G53" s="2" t="e">
        <f>VLOOKUP('1&amp;2号构型'!#REF!,B:C,2,0)=VALUE(MID('1&amp;2号构型'!#REF!,6,2))</f>
        <v>#REF!</v>
      </c>
      <c r="H53" s="3" t="e">
        <f>IF(LEN('1&amp;2号构型'!#REF!)=9,"TRUE","FALSE")</f>
        <v>#REF!</v>
      </c>
      <c r="I53" s="2" t="e">
        <f>VALUE(MID('1&amp;2号构型'!#REF!,1,2))=VALUE(MID('1&amp;2号构型'!#REF!,5,2))</f>
        <v>#REF!</v>
      </c>
      <c r="J53" s="2" t="e">
        <f>IF(LEN('1&amp;2号构型'!#REF!)=14,"TRUE","FALSE")</f>
        <v>#REF!</v>
      </c>
      <c r="K53" s="2" t="e">
        <f>RIGHT('1&amp;2号构型'!#REF!,4)</f>
        <v>#REF!</v>
      </c>
    </row>
    <row r="54" spans="6:11">
      <c r="F54" t="e">
        <f>'1&amp;2号构型'!#REF!</f>
        <v>#REF!</v>
      </c>
      <c r="G54" s="2" t="e">
        <f>VLOOKUP('1&amp;2号构型'!#REF!,B:C,2,0)=VALUE(MID('1&amp;2号构型'!#REF!,6,2))</f>
        <v>#REF!</v>
      </c>
      <c r="H54" s="3" t="e">
        <f>IF(LEN('1&amp;2号构型'!#REF!)=9,"TRUE","FALSE")</f>
        <v>#REF!</v>
      </c>
      <c r="I54" s="2" t="e">
        <f>VALUE(MID('1&amp;2号构型'!#REF!,1,2))=VALUE(MID('1&amp;2号构型'!#REF!,5,2))</f>
        <v>#REF!</v>
      </c>
      <c r="J54" s="2" t="e">
        <f>IF(LEN('1&amp;2号构型'!#REF!)=14,"TRUE","FALSE")</f>
        <v>#REF!</v>
      </c>
      <c r="K54" s="2" t="e">
        <f>RIGHT('1&amp;2号构型'!#REF!,4)</f>
        <v>#REF!</v>
      </c>
    </row>
    <row r="55" spans="6:11">
      <c r="F55" t="e">
        <f>'1&amp;2号构型'!#REF!</f>
        <v>#REF!</v>
      </c>
      <c r="G55" s="2" t="e">
        <f>VLOOKUP('1&amp;2号构型'!#REF!,B:C,2,0)=VALUE(MID('1&amp;2号构型'!#REF!,6,2))</f>
        <v>#REF!</v>
      </c>
      <c r="H55" s="3" t="e">
        <f>IF(LEN('1&amp;2号构型'!#REF!)=9,"TRUE","FALSE")</f>
        <v>#REF!</v>
      </c>
      <c r="I55" s="2" t="e">
        <f>VALUE(MID('1&amp;2号构型'!#REF!,1,2))=VALUE(MID('1&amp;2号构型'!#REF!,5,2))</f>
        <v>#REF!</v>
      </c>
      <c r="J55" s="2" t="e">
        <f>IF(LEN('1&amp;2号构型'!#REF!)=14,"TRUE","FALSE")</f>
        <v>#REF!</v>
      </c>
      <c r="K55" s="2" t="e">
        <f>RIGHT('1&amp;2号构型'!#REF!,4)</f>
        <v>#REF!</v>
      </c>
    </row>
    <row r="56" spans="6:11">
      <c r="F56" t="e">
        <f>'1&amp;2号构型'!#REF!</f>
        <v>#REF!</v>
      </c>
      <c r="G56" s="2" t="e">
        <f>VLOOKUP('1&amp;2号构型'!#REF!,B:C,2,0)=VALUE(MID('1&amp;2号构型'!#REF!,6,2))</f>
        <v>#REF!</v>
      </c>
      <c r="H56" s="3" t="e">
        <f>IF(LEN('1&amp;2号构型'!#REF!)=9,"TRUE","FALSE")</f>
        <v>#REF!</v>
      </c>
      <c r="I56" s="2" t="e">
        <f>VALUE(MID('1&amp;2号构型'!#REF!,1,2))=VALUE(MID('1&amp;2号构型'!#REF!,5,2))</f>
        <v>#REF!</v>
      </c>
      <c r="J56" s="2" t="e">
        <f>IF(LEN('1&amp;2号构型'!#REF!)=14,"TRUE","FALSE")</f>
        <v>#REF!</v>
      </c>
      <c r="K56" s="2" t="e">
        <f>RIGHT('1&amp;2号构型'!#REF!,4)</f>
        <v>#REF!</v>
      </c>
    </row>
    <row r="57" spans="6:11">
      <c r="F57" t="str">
        <f>'1&amp;2号构型'!B2</f>
        <v>ELT发射器</v>
      </c>
      <c r="G57" s="2" t="b">
        <f>VLOOKUP('1&amp;2号构型'!F2,B:C,2,0)=VALUE(MID('1&amp;2号构型'!D2,6,2))</f>
        <v>1</v>
      </c>
      <c r="H57" s="3" t="str">
        <f>IF(LEN('1&amp;2号构型'!D2)=9,"TRUE","FALSE")</f>
        <v>TRUE</v>
      </c>
      <c r="I57" s="2" t="b">
        <f>VALUE(MID('1&amp;2号构型'!C2,1,2))=VALUE(MID('1&amp;2号构型'!A2,5,2))</f>
        <v>1</v>
      </c>
      <c r="J57" s="2" t="str">
        <f>IF(LEN('1&amp;2号构型'!C2)=14,"TRUE","FALSE")</f>
        <v>TRUE</v>
      </c>
      <c r="K57" s="2" t="str">
        <f>RIGHT('1&amp;2号构型'!C2,4)</f>
        <v>G900</v>
      </c>
    </row>
    <row r="58" spans="6:11">
      <c r="F58" t="str">
        <f>'1&amp;2号构型'!B3</f>
        <v>ELT天线</v>
      </c>
      <c r="G58" s="2" t="b">
        <f>VLOOKUP('1&amp;2号构型'!F3,B:C,2,0)=VALUE(MID('1&amp;2号构型'!D3,6,2))</f>
        <v>1</v>
      </c>
      <c r="H58" s="3" t="str">
        <f>IF(LEN('1&amp;2号构型'!D3)=9,"TRUE","FALSE")</f>
        <v>TRUE</v>
      </c>
      <c r="I58" s="2" t="b">
        <f>VALUE(MID('1&amp;2号构型'!C3,1,2))=VALUE(MID('1&amp;2号构型'!A3,5,2))</f>
        <v>1</v>
      </c>
      <c r="J58" s="2" t="str">
        <f>IF(LEN('1&amp;2号构型'!C3)=14,"TRUE","FALSE")</f>
        <v>TRUE</v>
      </c>
      <c r="K58" s="2" t="str">
        <f>RIGHT('1&amp;2号构型'!C3,4)</f>
        <v>G900</v>
      </c>
    </row>
    <row r="59" spans="6:11">
      <c r="F59" t="str">
        <f>'1&amp;2号构型'!B4</f>
        <v>音频管理单元1</v>
      </c>
      <c r="G59" s="2" t="b">
        <f>VLOOKUP('1&amp;2号构型'!F4,B:C,2,0)=VALUE(MID('1&amp;2号构型'!D4,6,2))</f>
        <v>1</v>
      </c>
      <c r="H59" s="3" t="str">
        <f>IF(LEN('1&amp;2号构型'!D4)=9,"TRUE","FALSE")</f>
        <v>TRUE</v>
      </c>
      <c r="I59" s="2" t="b">
        <f>VALUE(MID('1&amp;2号构型'!C4,1,2))=VALUE(MID('1&amp;2号构型'!A4,5,2))</f>
        <v>1</v>
      </c>
      <c r="J59" s="2" t="str">
        <f>IF(LEN('1&amp;2号构型'!C4)=14,"TRUE","FALSE")</f>
        <v>TRUE</v>
      </c>
      <c r="K59" s="2" t="str">
        <f>RIGHT('1&amp;2号构型'!C4,4)</f>
        <v>G900</v>
      </c>
    </row>
    <row r="60" spans="6:11">
      <c r="F60" t="str">
        <f>'1&amp;2号构型'!B5</f>
        <v>音频管理单元2</v>
      </c>
      <c r="G60" s="2" t="b">
        <f>VLOOKUP('1&amp;2号构型'!F5,B:C,2,0)=VALUE(MID('1&amp;2号构型'!D5,6,2))</f>
        <v>1</v>
      </c>
      <c r="H60" s="3" t="str">
        <f>IF(LEN('1&amp;2号构型'!D5)=9,"TRUE","FALSE")</f>
        <v>TRUE</v>
      </c>
      <c r="I60" s="2" t="b">
        <f>VALUE(MID('1&amp;2号构型'!C5,1,2))=VALUE(MID('1&amp;2号构型'!A5,5,2))</f>
        <v>1</v>
      </c>
      <c r="J60" s="2" t="str">
        <f>IF(LEN('1&amp;2号构型'!C5)=14,"TRUE","FALSE")</f>
        <v>TRUE</v>
      </c>
      <c r="K60" s="2" t="str">
        <f>RIGHT('1&amp;2号构型'!C5,4)</f>
        <v>G900</v>
      </c>
    </row>
    <row r="61" spans="6:11">
      <c r="F61" t="str">
        <f>'1&amp;2号构型'!B6</f>
        <v>音频插孔面板1</v>
      </c>
      <c r="G61" s="2" t="b">
        <f>VLOOKUP('1&amp;2号构型'!F6,B:C,2,0)=VALUE(MID('1&amp;2号构型'!D6,6,2))</f>
        <v>1</v>
      </c>
      <c r="H61" s="3" t="str">
        <f>IF(LEN('1&amp;2号构型'!D6)=9,"TRUE","FALSE")</f>
        <v>TRUE</v>
      </c>
      <c r="I61" s="2" t="b">
        <f>VALUE(MID('1&amp;2号构型'!C6,1,2))=VALUE(MID('1&amp;2号构型'!A6,5,2))</f>
        <v>1</v>
      </c>
      <c r="J61" s="2" t="str">
        <f>IF(LEN('1&amp;2号构型'!C6)=14,"TRUE","FALSE")</f>
        <v>TRUE</v>
      </c>
      <c r="K61" s="2" t="str">
        <f>RIGHT('1&amp;2号构型'!C6,4)</f>
        <v>G900</v>
      </c>
    </row>
    <row r="62" spans="6:11">
      <c r="F62" t="str">
        <f>'1&amp;2号构型'!B7</f>
        <v>音频插孔面板2</v>
      </c>
      <c r="G62" s="2" t="b">
        <f>VLOOKUP('1&amp;2号构型'!F7,B:C,2,0)=VALUE(MID('1&amp;2号构型'!D7,6,2))</f>
        <v>1</v>
      </c>
      <c r="H62" s="3" t="str">
        <f>IF(LEN('1&amp;2号构型'!D7)=9,"TRUE","FALSE")</f>
        <v>TRUE</v>
      </c>
      <c r="I62" s="2" t="b">
        <f>VALUE(MID('1&amp;2号构型'!C7,1,2))=VALUE(MID('1&amp;2号构型'!A7,5,2))</f>
        <v>1</v>
      </c>
      <c r="J62" s="2" t="str">
        <f>IF(LEN('1&amp;2号构型'!C7)=14,"TRUE","FALSE")</f>
        <v>TRUE</v>
      </c>
      <c r="K62" s="2" t="str">
        <f>RIGHT('1&amp;2号构型'!C7,4)</f>
        <v>G900</v>
      </c>
    </row>
    <row r="63" spans="6:11">
      <c r="F63" t="str">
        <f>'1&amp;2号构型'!B8</f>
        <v>悬臂式耳机1</v>
      </c>
      <c r="G63" s="2" t="b">
        <f>VLOOKUP('1&amp;2号构型'!F8,B:C,2,0)=VALUE(MID('1&amp;2号构型'!D8,6,2))</f>
        <v>1</v>
      </c>
      <c r="H63" s="3" t="str">
        <f>IF(LEN('1&amp;2号构型'!D8)=9,"TRUE","FALSE")</f>
        <v>TRUE</v>
      </c>
      <c r="I63" s="2" t="b">
        <f>VALUE(MID('1&amp;2号构型'!C8,1,2))=VALUE(MID('1&amp;2号构型'!A8,5,2))</f>
        <v>1</v>
      </c>
      <c r="J63" s="2" t="str">
        <f>IF(LEN('1&amp;2号构型'!C8)=14,"TRUE","FALSE")</f>
        <v>TRUE</v>
      </c>
      <c r="K63" s="2" t="str">
        <f>RIGHT('1&amp;2号构型'!C8,4)</f>
        <v>G900</v>
      </c>
    </row>
    <row r="64" spans="6:11">
      <c r="F64" t="str">
        <f>'1&amp;2号构型'!B9</f>
        <v>悬臂式耳机2</v>
      </c>
      <c r="G64" s="2" t="b">
        <f>VLOOKUP('1&amp;2号构型'!F9,B:C,2,0)=VALUE(MID('1&amp;2号构型'!D9,6,2))</f>
        <v>1</v>
      </c>
      <c r="H64" s="3" t="str">
        <f>IF(LEN('1&amp;2号构型'!D9)=9,"TRUE","FALSE")</f>
        <v>TRUE</v>
      </c>
      <c r="I64" s="2" t="b">
        <f>VALUE(MID('1&amp;2号构型'!C9,1,2))=VALUE(MID('1&amp;2号构型'!A9,5,2))</f>
        <v>1</v>
      </c>
      <c r="J64" s="2" t="str">
        <f>IF(LEN('1&amp;2号构型'!C9)=14,"TRUE","FALSE")</f>
        <v>TRUE</v>
      </c>
      <c r="K64" s="2" t="str">
        <f>RIGHT('1&amp;2号构型'!C9,4)</f>
        <v>G900</v>
      </c>
    </row>
    <row r="65" spans="6:11">
      <c r="F65" t="str">
        <f>'1&amp;2号构型'!B10</f>
        <v>手持话筒1</v>
      </c>
      <c r="G65" s="2" t="b">
        <f>VLOOKUP('1&amp;2号构型'!F10,B:C,2,0)=VALUE(MID('1&amp;2号构型'!D10,6,2))</f>
        <v>1</v>
      </c>
      <c r="H65" s="3" t="str">
        <f>IF(LEN('1&amp;2号构型'!D10)=9,"TRUE","FALSE")</f>
        <v>TRUE</v>
      </c>
      <c r="I65" s="2" t="b">
        <f>VALUE(MID('1&amp;2号构型'!C10,1,2))=VALUE(MID('1&amp;2号构型'!A10,5,2))</f>
        <v>1</v>
      </c>
      <c r="J65" s="2" t="str">
        <f>IF(LEN('1&amp;2号构型'!C10)=14,"TRUE","FALSE")</f>
        <v>TRUE</v>
      </c>
      <c r="K65" s="2" t="str">
        <f>RIGHT('1&amp;2号构型'!C10,4)</f>
        <v>G900</v>
      </c>
    </row>
    <row r="66" spans="6:11">
      <c r="F66" t="str">
        <f>'1&amp;2号构型'!B11</f>
        <v>手持话筒2</v>
      </c>
      <c r="G66" s="2" t="b">
        <f>VLOOKUP('1&amp;2号构型'!F11,B:C,2,0)=VALUE(MID('1&amp;2号构型'!D11,6,2))</f>
        <v>1</v>
      </c>
      <c r="H66" s="3" t="str">
        <f>IF(LEN('1&amp;2号构型'!D11)=9,"TRUE","FALSE")</f>
        <v>TRUE</v>
      </c>
      <c r="I66" s="2" t="b">
        <f>VALUE(MID('1&amp;2号构型'!C11,1,2))=VALUE(MID('1&amp;2号构型'!A11,5,2))</f>
        <v>1</v>
      </c>
      <c r="J66" s="2" t="str">
        <f>IF(LEN('1&amp;2号构型'!C11)=14,"TRUE","FALSE")</f>
        <v>TRUE</v>
      </c>
      <c r="K66" s="2" t="str">
        <f>RIGHT('1&amp;2号构型'!C11,4)</f>
        <v>G900</v>
      </c>
    </row>
    <row r="67" spans="6:11">
      <c r="F67" t="str">
        <f>'1&amp;2号构型'!B12</f>
        <v>扬声器1</v>
      </c>
      <c r="G67" s="2" t="b">
        <f>VLOOKUP('1&amp;2号构型'!F12,B:C,2,0)=VALUE(MID('1&amp;2号构型'!D12,6,2))</f>
        <v>1</v>
      </c>
      <c r="H67" s="3" t="str">
        <f>IF(LEN('1&amp;2号构型'!D12)=9,"TRUE","FALSE")</f>
        <v>TRUE</v>
      </c>
      <c r="I67" s="2" t="b">
        <f>VALUE(MID('1&amp;2号构型'!C12,1,2))=VALUE(MID('1&amp;2号构型'!A12,5,2))</f>
        <v>1</v>
      </c>
      <c r="J67" s="2" t="str">
        <f>IF(LEN('1&amp;2号构型'!C12)=14,"TRUE","FALSE")</f>
        <v>TRUE</v>
      </c>
      <c r="K67" s="2" t="str">
        <f>RIGHT('1&amp;2号构型'!C12,4)</f>
        <v>G900</v>
      </c>
    </row>
    <row r="68" spans="6:11">
      <c r="F68" t="str">
        <f>'1&amp;2号构型'!B13</f>
        <v>扬声器2</v>
      </c>
      <c r="G68" s="2" t="b">
        <f>VLOOKUP('1&amp;2号构型'!F13,B:C,2,0)=VALUE(MID('1&amp;2号构型'!D13,6,2))</f>
        <v>1</v>
      </c>
      <c r="H68" s="3" t="str">
        <f>IF(LEN('1&amp;2号构型'!D13)=9,"TRUE","FALSE")</f>
        <v>TRUE</v>
      </c>
      <c r="I68" s="2" t="b">
        <f>VALUE(MID('1&amp;2号构型'!C13,1,2))=VALUE(MID('1&amp;2号构型'!A13,5,2))</f>
        <v>1</v>
      </c>
      <c r="J68" s="2" t="str">
        <f>IF(LEN('1&amp;2号构型'!C13)=14,"TRUE","FALSE")</f>
        <v>TRUE</v>
      </c>
      <c r="K68" s="2" t="str">
        <f>RIGHT('1&amp;2号构型'!C13,4)</f>
        <v>G900</v>
      </c>
    </row>
    <row r="69" spans="6:11">
      <c r="F69" t="str">
        <f>'1&amp;2号构型'!B14</f>
        <v>后缘型静电放电器1</v>
      </c>
      <c r="G69" s="2" t="b">
        <f>VLOOKUP('1&amp;2号构型'!F14,B:C,2,0)=VALUE(MID('1&amp;2号构型'!D14,6,2))</f>
        <v>1</v>
      </c>
      <c r="H69" s="3" t="str">
        <f>IF(LEN('1&amp;2号构型'!D14)=9,"TRUE","FALSE")</f>
        <v>TRUE</v>
      </c>
      <c r="I69" s="2" t="b">
        <f>VALUE(MID('1&amp;2号构型'!C14,1,2))=VALUE(MID('1&amp;2号构型'!A14,5,2))</f>
        <v>1</v>
      </c>
      <c r="J69" s="2" t="str">
        <f>IF(LEN('1&amp;2号构型'!C14)=14,"TRUE","FALSE")</f>
        <v>TRUE</v>
      </c>
      <c r="K69" s="2" t="str">
        <f>RIGHT('1&amp;2号构型'!C14,4)</f>
        <v>G900</v>
      </c>
    </row>
    <row r="70" spans="6:11">
      <c r="F70" t="str">
        <f>'1&amp;2号构型'!B15</f>
        <v>后缘型静电放电器2</v>
      </c>
      <c r="G70" s="2" t="b">
        <f>VLOOKUP('1&amp;2号构型'!F15,B:C,2,0)=VALUE(MID('1&amp;2号构型'!D15,6,2))</f>
        <v>1</v>
      </c>
      <c r="H70" s="3" t="str">
        <f>IF(LEN('1&amp;2号构型'!D15)=9,"TRUE","FALSE")</f>
        <v>TRUE</v>
      </c>
      <c r="I70" s="2" t="b">
        <f>VALUE(MID('1&amp;2号构型'!C15,1,2))=VALUE(MID('1&amp;2号构型'!A15,5,2))</f>
        <v>1</v>
      </c>
      <c r="J70" s="2" t="str">
        <f>IF(LEN('1&amp;2号构型'!C15)=14,"TRUE","FALSE")</f>
        <v>TRUE</v>
      </c>
      <c r="K70" s="2" t="str">
        <f>RIGHT('1&amp;2号构型'!C15,4)</f>
        <v>G900</v>
      </c>
    </row>
    <row r="71" spans="6:11">
      <c r="F71" t="str">
        <f>'1&amp;2号构型'!B16</f>
        <v>后缘型静电放电器3</v>
      </c>
      <c r="G71" s="2" t="b">
        <f>VLOOKUP('1&amp;2号构型'!F16,B:C,2,0)=VALUE(MID('1&amp;2号构型'!D16,6,2))</f>
        <v>1</v>
      </c>
      <c r="H71" s="3" t="str">
        <f>IF(LEN('1&amp;2号构型'!D16)=9,"TRUE","FALSE")</f>
        <v>TRUE</v>
      </c>
      <c r="I71" s="2" t="b">
        <f>VALUE(MID('1&amp;2号构型'!C16,1,2))=VALUE(MID('1&amp;2号构型'!A16,5,2))</f>
        <v>1</v>
      </c>
      <c r="J71" s="2" t="str">
        <f>IF(LEN('1&amp;2号构型'!C16)=14,"TRUE","FALSE")</f>
        <v>TRUE</v>
      </c>
      <c r="K71" s="2" t="str">
        <f>RIGHT('1&amp;2号构型'!C16,4)</f>
        <v>G900</v>
      </c>
    </row>
    <row r="72" spans="6:11">
      <c r="F72" t="str">
        <f>'1&amp;2号构型'!B17</f>
        <v>后缘型静电放电器4</v>
      </c>
      <c r="G72" s="2" t="b">
        <f>VLOOKUP('1&amp;2号构型'!F17,B:C,2,0)=VALUE(MID('1&amp;2号构型'!D17,6,2))</f>
        <v>1</v>
      </c>
      <c r="H72" s="3" t="str">
        <f>IF(LEN('1&amp;2号构型'!D17)=9,"TRUE","FALSE")</f>
        <v>TRUE</v>
      </c>
      <c r="I72" s="2" t="b">
        <f>VALUE(MID('1&amp;2号构型'!C17,1,2))=VALUE(MID('1&amp;2号构型'!A17,5,2))</f>
        <v>1</v>
      </c>
      <c r="J72" s="2" t="str">
        <f>IF(LEN('1&amp;2号构型'!C17)=14,"TRUE","FALSE")</f>
        <v>TRUE</v>
      </c>
      <c r="K72" s="2" t="str">
        <f>RIGHT('1&amp;2号构型'!C17,4)</f>
        <v>G900</v>
      </c>
    </row>
    <row r="73" spans="6:11">
      <c r="F73" t="str">
        <f>'1&amp;2号构型'!B18</f>
        <v>后缘型静电放电器5</v>
      </c>
      <c r="G73" s="2" t="b">
        <f>VLOOKUP('1&amp;2号构型'!F18,B:C,2,0)=VALUE(MID('1&amp;2号构型'!D18,6,2))</f>
        <v>1</v>
      </c>
      <c r="H73" s="3" t="str">
        <f>IF(LEN('1&amp;2号构型'!D18)=9,"TRUE","FALSE")</f>
        <v>TRUE</v>
      </c>
      <c r="I73" s="2" t="b">
        <f>VALUE(MID('1&amp;2号构型'!C18,1,2))=VALUE(MID('1&amp;2号构型'!A18,5,2))</f>
        <v>1</v>
      </c>
      <c r="J73" s="2" t="str">
        <f>IF(LEN('1&amp;2号构型'!C18)=14,"TRUE","FALSE")</f>
        <v>TRUE</v>
      </c>
      <c r="K73" s="2" t="str">
        <f>RIGHT('1&amp;2号构型'!C18,4)</f>
        <v>G900</v>
      </c>
    </row>
    <row r="74" spans="6:11">
      <c r="F74" t="str">
        <f>'1&amp;2号构型'!B19</f>
        <v>后缘型静电放电器6</v>
      </c>
      <c r="G74" s="2" t="b">
        <f>VLOOKUP('1&amp;2号构型'!F19,B:C,2,0)=VALUE(MID('1&amp;2号构型'!D19,6,2))</f>
        <v>1</v>
      </c>
      <c r="H74" s="3" t="str">
        <f>IF(LEN('1&amp;2号构型'!D19)=9,"TRUE","FALSE")</f>
        <v>TRUE</v>
      </c>
      <c r="I74" s="2" t="b">
        <f>VALUE(MID('1&amp;2号构型'!C19,1,2))=VALUE(MID('1&amp;2号构型'!A19,5,2))</f>
        <v>1</v>
      </c>
      <c r="J74" s="2" t="str">
        <f>IF(LEN('1&amp;2号构型'!C19)=14,"TRUE","FALSE")</f>
        <v>TRUE</v>
      </c>
      <c r="K74" s="2" t="str">
        <f>RIGHT('1&amp;2号构型'!C19,4)</f>
        <v>G900</v>
      </c>
    </row>
    <row r="75" spans="6:11">
      <c r="F75" t="str">
        <f>'1&amp;2号构型'!B20</f>
        <v>后缘型静电放电器7</v>
      </c>
      <c r="G75" s="2" t="b">
        <f>VLOOKUP('1&amp;2号构型'!F20,B:C,2,0)=VALUE(MID('1&amp;2号构型'!D20,6,2))</f>
        <v>1</v>
      </c>
      <c r="H75" s="3" t="str">
        <f>IF(LEN('1&amp;2号构型'!D20)=9,"TRUE","FALSE")</f>
        <v>TRUE</v>
      </c>
      <c r="I75" s="2" t="b">
        <f>VALUE(MID('1&amp;2号构型'!C20,1,2))=VALUE(MID('1&amp;2号构型'!A20,5,2))</f>
        <v>1</v>
      </c>
      <c r="J75" s="2" t="str">
        <f>IF(LEN('1&amp;2号构型'!C20)=14,"TRUE","FALSE")</f>
        <v>TRUE</v>
      </c>
      <c r="K75" s="2" t="str">
        <f>RIGHT('1&amp;2号构型'!C20,4)</f>
        <v>G900</v>
      </c>
    </row>
    <row r="76" spans="6:11">
      <c r="F76" t="str">
        <f>'1&amp;2号构型'!B21</f>
        <v>后缘型静电放电器8</v>
      </c>
      <c r="G76" s="2" t="b">
        <f>VLOOKUP('1&amp;2号构型'!F21,B:C,2,0)=VALUE(MID('1&amp;2号构型'!D21,6,2))</f>
        <v>1</v>
      </c>
      <c r="H76" s="3" t="str">
        <f>IF(LEN('1&amp;2号构型'!D21)=9,"TRUE","FALSE")</f>
        <v>TRUE</v>
      </c>
      <c r="I76" s="2" t="b">
        <f>VALUE(MID('1&amp;2号构型'!C21,1,2))=VALUE(MID('1&amp;2号构型'!A21,5,2))</f>
        <v>1</v>
      </c>
      <c r="J76" s="2" t="str">
        <f>IF(LEN('1&amp;2号构型'!C21)=14,"TRUE","FALSE")</f>
        <v>TRUE</v>
      </c>
      <c r="K76" s="2" t="str">
        <f>RIGHT('1&amp;2号构型'!C21,4)</f>
        <v>G900</v>
      </c>
    </row>
    <row r="77" spans="6:11">
      <c r="F77" t="str">
        <f>'1&amp;2号构型'!B22</f>
        <v>后缘型静电放电器9</v>
      </c>
      <c r="G77" s="2" t="b">
        <f>VLOOKUP('1&amp;2号构型'!F22,B:C,2,0)=VALUE(MID('1&amp;2号构型'!D22,6,2))</f>
        <v>1</v>
      </c>
      <c r="H77" s="3" t="str">
        <f>IF(LEN('1&amp;2号构型'!D22)=9,"TRUE","FALSE")</f>
        <v>TRUE</v>
      </c>
      <c r="I77" s="2" t="b">
        <f>VALUE(MID('1&amp;2号构型'!C22,1,2))=VALUE(MID('1&amp;2号构型'!A22,5,2))</f>
        <v>1</v>
      </c>
      <c r="J77" s="2" t="str">
        <f>IF(LEN('1&amp;2号构型'!C22)=14,"TRUE","FALSE")</f>
        <v>TRUE</v>
      </c>
      <c r="K77" s="2" t="str">
        <f>RIGHT('1&amp;2号构型'!C22,4)</f>
        <v>G900</v>
      </c>
    </row>
    <row r="78" spans="6:11">
      <c r="F78" t="str">
        <f>'1&amp;2号构型'!B23</f>
        <v>后缘型静电放电器10</v>
      </c>
      <c r="G78" s="2" t="b">
        <f>VLOOKUP('1&amp;2号构型'!F23,B:C,2,0)=VALUE(MID('1&amp;2号构型'!D23,6,2))</f>
        <v>1</v>
      </c>
      <c r="H78" s="3" t="str">
        <f>IF(LEN('1&amp;2号构型'!D23)=9,"TRUE","FALSE")</f>
        <v>TRUE</v>
      </c>
      <c r="I78" s="2" t="b">
        <f>VALUE(MID('1&amp;2号构型'!C23,1,2))=VALUE(MID('1&amp;2号构型'!A23,5,2))</f>
        <v>1</v>
      </c>
      <c r="J78" s="2" t="str">
        <f>IF(LEN('1&amp;2号构型'!C23)=14,"TRUE","FALSE")</f>
        <v>TRUE</v>
      </c>
      <c r="K78" s="2" t="str">
        <f>RIGHT('1&amp;2号构型'!C23,4)</f>
        <v>G900</v>
      </c>
    </row>
    <row r="79" spans="6:11">
      <c r="F79" t="str">
        <f>'1&amp;2号构型'!B24</f>
        <v>后缘型静电放电器11</v>
      </c>
      <c r="G79" s="2" t="b">
        <f>VLOOKUP('1&amp;2号构型'!F24,B:C,2,0)=VALUE(MID('1&amp;2号构型'!D24,6,2))</f>
        <v>1</v>
      </c>
      <c r="H79" s="3" t="str">
        <f>IF(LEN('1&amp;2号构型'!D24)=9,"TRUE","FALSE")</f>
        <v>TRUE</v>
      </c>
      <c r="I79" s="2" t="b">
        <f>VALUE(MID('1&amp;2号构型'!C24,1,2))=VALUE(MID('1&amp;2号构型'!A24,5,2))</f>
        <v>1</v>
      </c>
      <c r="J79" s="2" t="str">
        <f>IF(LEN('1&amp;2号构型'!C24)=14,"TRUE","FALSE")</f>
        <v>TRUE</v>
      </c>
      <c r="K79" s="2" t="str">
        <f>RIGHT('1&amp;2号构型'!C24,4)</f>
        <v>G900</v>
      </c>
    </row>
    <row r="80" spans="6:11">
      <c r="F80" t="str">
        <f>'1&amp;2号构型'!B25</f>
        <v>后缘型静电放电器12</v>
      </c>
      <c r="G80" s="2" t="b">
        <f>VLOOKUP('1&amp;2号构型'!F25,B:C,2,0)=VALUE(MID('1&amp;2号构型'!D25,6,2))</f>
        <v>1</v>
      </c>
      <c r="H80" s="3" t="str">
        <f>IF(LEN('1&amp;2号构型'!D25)=9,"TRUE","FALSE")</f>
        <v>TRUE</v>
      </c>
      <c r="I80" s="2" t="b">
        <f>VALUE(MID('1&amp;2号构型'!C25,1,2))=VALUE(MID('1&amp;2号构型'!A25,5,2))</f>
        <v>1</v>
      </c>
      <c r="J80" s="2" t="str">
        <f>IF(LEN('1&amp;2号构型'!C25)=14,"TRUE","FALSE")</f>
        <v>TRUE</v>
      </c>
      <c r="K80" s="2" t="str">
        <f>RIGHT('1&amp;2号构型'!C25,4)</f>
        <v>G900</v>
      </c>
    </row>
    <row r="81" spans="6:11">
      <c r="F81" t="str">
        <f>'1&amp;2号构型'!B26</f>
        <v>后缘型静电放电器13</v>
      </c>
      <c r="G81" s="2" t="b">
        <f>VLOOKUP('1&amp;2号构型'!F26,B:C,2,0)=VALUE(MID('1&amp;2号构型'!D26,6,2))</f>
        <v>1</v>
      </c>
      <c r="H81" s="3" t="str">
        <f>IF(LEN('1&amp;2号构型'!D26)=9,"TRUE","FALSE")</f>
        <v>TRUE</v>
      </c>
      <c r="I81" s="2" t="b">
        <f>VALUE(MID('1&amp;2号构型'!C26,1,2))=VALUE(MID('1&amp;2号构型'!A26,5,2))</f>
        <v>1</v>
      </c>
      <c r="J81" s="2" t="str">
        <f>IF(LEN('1&amp;2号构型'!C26)=14,"TRUE","FALSE")</f>
        <v>TRUE</v>
      </c>
      <c r="K81" s="2" t="str">
        <f>RIGHT('1&amp;2号构型'!C26,4)</f>
        <v>G900</v>
      </c>
    </row>
    <row r="82" spans="6:11">
      <c r="F82" t="str">
        <f>'1&amp;2号构型'!B27</f>
        <v>后缘型静电放电器14</v>
      </c>
      <c r="G82" s="2" t="b">
        <f>VLOOKUP('1&amp;2号构型'!F27,B:C,2,0)=VALUE(MID('1&amp;2号构型'!D27,6,2))</f>
        <v>1</v>
      </c>
      <c r="H82" s="3" t="str">
        <f>IF(LEN('1&amp;2号构型'!D27)=9,"TRUE","FALSE")</f>
        <v>TRUE</v>
      </c>
      <c r="I82" s="2" t="b">
        <f>VALUE(MID('1&amp;2号构型'!C27,1,2))=VALUE(MID('1&amp;2号构型'!A27,5,2))</f>
        <v>1</v>
      </c>
      <c r="J82" s="2" t="str">
        <f>IF(LEN('1&amp;2号构型'!C27)=14,"TRUE","FALSE")</f>
        <v>TRUE</v>
      </c>
      <c r="K82" s="2" t="str">
        <f>RIGHT('1&amp;2号构型'!C27,4)</f>
        <v>G900</v>
      </c>
    </row>
    <row r="83" spans="6:11">
      <c r="F83" t="str">
        <f>'1&amp;2号构型'!B28</f>
        <v>后缘型静电放电器15</v>
      </c>
      <c r="G83" s="2" t="b">
        <f>VLOOKUP('1&amp;2号构型'!F28,B:C,2,0)=VALUE(MID('1&amp;2号构型'!D28,6,2))</f>
        <v>1</v>
      </c>
      <c r="H83" s="3" t="str">
        <f>IF(LEN('1&amp;2号构型'!D28)=9,"TRUE","FALSE")</f>
        <v>TRUE</v>
      </c>
      <c r="I83" s="2" t="b">
        <f>VALUE(MID('1&amp;2号构型'!C28,1,2))=VALUE(MID('1&amp;2号构型'!A28,5,2))</f>
        <v>1</v>
      </c>
      <c r="J83" s="2" t="str">
        <f>IF(LEN('1&amp;2号构型'!C28)=14,"TRUE","FALSE")</f>
        <v>TRUE</v>
      </c>
      <c r="K83" s="2" t="str">
        <f>RIGHT('1&amp;2号构型'!C28,4)</f>
        <v>G900</v>
      </c>
    </row>
    <row r="84" spans="6:11">
      <c r="F84" t="str">
        <f>'1&amp;2号构型'!B29</f>
        <v>5G ATG机载CPE</v>
      </c>
      <c r="G84" s="2" t="b">
        <f>VLOOKUP('1&amp;2号构型'!F29,B:C,2,0)=VALUE(MID('1&amp;2号构型'!D29,6,2))</f>
        <v>0</v>
      </c>
      <c r="H84" s="3" t="str">
        <f>IF(LEN('1&amp;2号构型'!D29)=9,"TRUE","FALSE")</f>
        <v>TRUE</v>
      </c>
      <c r="I84" s="2" t="b">
        <f>VALUE(MID('1&amp;2号构型'!C29,1,2))=VALUE(MID('1&amp;2号构型'!A29,5,2))</f>
        <v>1</v>
      </c>
      <c r="J84" s="2" t="str">
        <f>IF(LEN('1&amp;2号构型'!C29)=14,"TRUE","FALSE")</f>
        <v>TRUE</v>
      </c>
      <c r="K84" s="2" t="str">
        <f>RIGHT('1&amp;2号构型'!C29,4)</f>
        <v>G900</v>
      </c>
    </row>
    <row r="85" spans="6:11">
      <c r="F85" t="str">
        <f>'1&amp;2号构型'!B30</f>
        <v>功率放大器</v>
      </c>
      <c r="G85" s="2" t="b">
        <f>VLOOKUP('1&amp;2号构型'!F30,B:C,2,0)=VALUE(MID('1&amp;2号构型'!D30,6,2))</f>
        <v>0</v>
      </c>
      <c r="H85" s="3" t="str">
        <f>IF(LEN('1&amp;2号构型'!D30)=9,"TRUE","FALSE")</f>
        <v>TRUE</v>
      </c>
      <c r="I85" s="2" t="b">
        <f>VALUE(MID('1&amp;2号构型'!C30,1,2))=VALUE(MID('1&amp;2号构型'!A30,5,2))</f>
        <v>1</v>
      </c>
      <c r="J85" s="2" t="str">
        <f>IF(LEN('1&amp;2号构型'!C30)=14,"TRUE","FALSE")</f>
        <v>TRUE</v>
      </c>
      <c r="K85" s="2" t="str">
        <f>RIGHT('1&amp;2号构型'!C30,4)</f>
        <v>U900</v>
      </c>
    </row>
    <row r="86" spans="6:11">
      <c r="F86" t="str">
        <f>'1&amp;2号构型'!B31</f>
        <v>5G ATG全向天线</v>
      </c>
      <c r="G86" s="2" t="b">
        <f>VLOOKUP('1&amp;2号构型'!F31,B:C,2,0)=VALUE(MID('1&amp;2号构型'!D31,6,2))</f>
        <v>1</v>
      </c>
      <c r="H86" s="3" t="str">
        <f>IF(LEN('1&amp;2号构型'!D31)=9,"TRUE","FALSE")</f>
        <v>TRUE</v>
      </c>
      <c r="I86" s="2" t="b">
        <f>VALUE(MID('1&amp;2号构型'!C31,1,2))=VALUE(MID('1&amp;2号构型'!A31,5,2))</f>
        <v>1</v>
      </c>
      <c r="J86" s="2" t="str">
        <f>IF(LEN('1&amp;2号构型'!C31)=14,"TRUE","FALSE")</f>
        <v>TRUE</v>
      </c>
      <c r="K86" s="2" t="str">
        <f>RIGHT('1&amp;2号构型'!C31,4)</f>
        <v>U900</v>
      </c>
    </row>
    <row r="87" spans="6:11">
      <c r="F87" t="str">
        <f>'1&amp;2号构型'!B32</f>
        <v>电源转换模块</v>
      </c>
      <c r="G87" s="2" t="b">
        <f>VLOOKUP('1&amp;2号构型'!F32,B:C,2,0)=VALUE(MID('1&amp;2号构型'!D32,6,2))</f>
        <v>0</v>
      </c>
      <c r="H87" s="3" t="str">
        <f>IF(LEN('1&amp;2号构型'!D32)=9,"TRUE","FALSE")</f>
        <v>TRUE</v>
      </c>
      <c r="I87" s="2" t="b">
        <f>VALUE(MID('1&amp;2号构型'!C32,1,2))=VALUE(MID('1&amp;2号构型'!A32,5,2))</f>
        <v>1</v>
      </c>
      <c r="J87" s="2" t="str">
        <f>IF(LEN('1&amp;2号构型'!C32)=14,"TRUE","FALSE")</f>
        <v>TRUE</v>
      </c>
      <c r="K87" s="2" t="str">
        <f>RIGHT('1&amp;2号构型'!C32,4)</f>
        <v>U900</v>
      </c>
    </row>
    <row r="88" spans="6:11">
      <c r="F88" t="e">
        <f>'1&amp;2号构型'!#REF!</f>
        <v>#REF!</v>
      </c>
      <c r="G88" s="2" t="e">
        <f>VLOOKUP('1&amp;2号构型'!#REF!,B:C,2,0)=VALUE(MID('1&amp;2号构型'!#REF!,6,2))</f>
        <v>#REF!</v>
      </c>
      <c r="H88" s="3" t="e">
        <f>IF(LEN('1&amp;2号构型'!#REF!)=9,"TRUE","FALSE")</f>
        <v>#REF!</v>
      </c>
      <c r="I88" s="2" t="e">
        <f>VALUE(MID('1&amp;2号构型'!#REF!,1,2))=VALUE(MID('1&amp;2号构型'!#REF!,5,2))</f>
        <v>#REF!</v>
      </c>
      <c r="J88" s="2" t="e">
        <f>IF(LEN('1&amp;2号构型'!#REF!)=14,"TRUE","FALSE")</f>
        <v>#REF!</v>
      </c>
      <c r="K88" s="2" t="e">
        <f>RIGHT('1&amp;2号构型'!#REF!,4)</f>
        <v>#REF!</v>
      </c>
    </row>
    <row r="89" spans="6:11">
      <c r="F89" t="str">
        <f>'1&amp;2号构型'!B33</f>
        <v>E 270V电池（含BMS）</v>
      </c>
      <c r="G89" s="2" t="b">
        <f>VLOOKUP('1&amp;2号构型'!F33,B:C,2,0)=VALUE(MID('1&amp;2号构型'!D33,6,2))</f>
        <v>1</v>
      </c>
      <c r="H89" s="3" t="str">
        <f>IF(LEN('1&amp;2号构型'!D33)=9,"TRUE","FALSE")</f>
        <v>TRUE</v>
      </c>
      <c r="I89" s="2" t="b">
        <f>VALUE(MID('1&amp;2号构型'!C33,1,2))=VALUE(MID('1&amp;2号构型'!A33,5,2))</f>
        <v>1</v>
      </c>
      <c r="J89" s="2" t="str">
        <f>IF(LEN('1&amp;2号构型'!C33)=14,"TRUE","FALSE")</f>
        <v>TRUE</v>
      </c>
      <c r="K89" s="2" t="str">
        <f>RIGHT('1&amp;2号构型'!C33,4)</f>
        <v>G900</v>
      </c>
    </row>
    <row r="90" spans="6:11">
      <c r="F90" t="str">
        <f>'1&amp;2号构型'!B34</f>
        <v>LR 270V电池（含BMS）</v>
      </c>
      <c r="G90" s="2" t="b">
        <f>VLOOKUP('1&amp;2号构型'!F34,B:C,2,0)=VALUE(MID('1&amp;2号构型'!D34,6,2))</f>
        <v>1</v>
      </c>
      <c r="H90" s="3" t="str">
        <f>IF(LEN('1&amp;2号构型'!D34)=9,"TRUE","FALSE")</f>
        <v>TRUE</v>
      </c>
      <c r="I90" s="2" t="b">
        <f>VALUE(MID('1&amp;2号构型'!C34,1,2))=VALUE(MID('1&amp;2号构型'!A34,5,2))</f>
        <v>1</v>
      </c>
      <c r="J90" s="2" t="str">
        <f>IF(LEN('1&amp;2号构型'!C34)=14,"TRUE","FALSE")</f>
        <v>TRUE</v>
      </c>
      <c r="K90" s="2" t="str">
        <f>RIGHT('1&amp;2号构型'!C34,4)</f>
        <v>G900</v>
      </c>
    </row>
    <row r="91" spans="6:11">
      <c r="F91" t="str">
        <f>'1&amp;2号构型'!B35</f>
        <v>应急28V电池（含BMS）</v>
      </c>
      <c r="G91" s="2" t="b">
        <f>VLOOKUP('1&amp;2号构型'!F35,B:C,2,0)=VALUE(MID('1&amp;2号构型'!D35,6,2))</f>
        <v>1</v>
      </c>
      <c r="H91" s="3" t="str">
        <f>IF(LEN('1&amp;2号构型'!D35)=9,"TRUE","FALSE")</f>
        <v>TRUE</v>
      </c>
      <c r="I91" s="2" t="b">
        <f>VALUE(MID('1&amp;2号构型'!C35,1,2))=VALUE(MID('1&amp;2号构型'!A35,5,2))</f>
        <v>1</v>
      </c>
      <c r="J91" s="2" t="str">
        <f>IF(LEN('1&amp;2号构型'!C35)=14,"TRUE","FALSE")</f>
        <v>TRUE</v>
      </c>
      <c r="K91" s="2" t="str">
        <f>RIGHT('1&amp;2号构型'!C35,4)</f>
        <v>G900</v>
      </c>
    </row>
    <row r="92" spans="6:11">
      <c r="F92" t="e">
        <f>'1&amp;2号构型'!#REF!</f>
        <v>#REF!</v>
      </c>
      <c r="G92" s="2" t="e">
        <f>VLOOKUP('1&amp;2号构型'!#REF!,B:C,2,0)=VALUE(MID('1&amp;2号构型'!#REF!,6,2))</f>
        <v>#REF!</v>
      </c>
      <c r="H92" s="3" t="e">
        <f>IF(LEN('1&amp;2号构型'!#REF!)=9,"TRUE","FALSE")</f>
        <v>#REF!</v>
      </c>
      <c r="I92" s="2" t="e">
        <f>VALUE(MID('1&amp;2号构型'!#REF!,1,2))=VALUE(MID('1&amp;2号构型'!#REF!,5,2))</f>
        <v>#REF!</v>
      </c>
      <c r="J92" s="2" t="e">
        <f>IF(LEN('1&amp;2号构型'!#REF!)=14,"TRUE","FALSE")</f>
        <v>#REF!</v>
      </c>
      <c r="K92" s="2" t="e">
        <f>RIGHT('1&amp;2号构型'!#REF!,4)</f>
        <v>#REF!</v>
      </c>
    </row>
    <row r="93" spans="6:11">
      <c r="F93" t="e">
        <f>'1&amp;2号构型'!#REF!</f>
        <v>#REF!</v>
      </c>
      <c r="G93" s="2" t="e">
        <f>VLOOKUP('1&amp;2号构型'!#REF!,B:C,2,0)=VALUE(MID('1&amp;2号构型'!#REF!,6,2))</f>
        <v>#REF!</v>
      </c>
      <c r="H93" s="3" t="e">
        <f>IF(LEN('1&amp;2号构型'!#REF!)=9,"TRUE","FALSE")</f>
        <v>#REF!</v>
      </c>
      <c r="I93" s="2" t="e">
        <f>VALUE(MID('1&amp;2号构型'!#REF!,1,2))=VALUE(MID('1&amp;2号构型'!#REF!,5,2))</f>
        <v>#REF!</v>
      </c>
      <c r="J93" s="2" t="e">
        <f>IF(LEN('1&amp;2号构型'!#REF!)=14,"TRUE","FALSE")</f>
        <v>#REF!</v>
      </c>
      <c r="K93" s="2" t="e">
        <f>RIGHT('1&amp;2号构型'!#REF!,4)</f>
        <v>#REF!</v>
      </c>
    </row>
    <row r="94" spans="6:11">
      <c r="F94" t="str">
        <f>'1&amp;2号构型'!B37</f>
        <v>左配电盘箱</v>
      </c>
      <c r="G94" s="2" t="b">
        <f>VLOOKUP('1&amp;2号构型'!F37,B:C,2,0)=VALUE(MID('1&amp;2号构型'!D37,6,2))</f>
        <v>1</v>
      </c>
      <c r="H94" s="3" t="str">
        <f>IF(LEN('1&amp;2号构型'!D37)=9,"TRUE","FALSE")</f>
        <v>TRUE</v>
      </c>
      <c r="I94" s="2" t="b">
        <f>VALUE(MID('1&amp;2号构型'!C37,1,2))=VALUE(MID('1&amp;2号构型'!A37,5,2))</f>
        <v>1</v>
      </c>
      <c r="J94" s="2" t="str">
        <f>IF(LEN('1&amp;2号构型'!C37)=14,"TRUE","FALSE")</f>
        <v>TRUE</v>
      </c>
      <c r="K94" s="2" t="str">
        <f>RIGHT('1&amp;2号构型'!C37,4)</f>
        <v>G900</v>
      </c>
    </row>
    <row r="95" spans="6:11">
      <c r="F95" t="str">
        <f>'1&amp;2号构型'!B38</f>
        <v>右配电盘箱</v>
      </c>
      <c r="G95" s="2" t="b">
        <f>VLOOKUP('1&amp;2号构型'!F38,B:C,2,0)=VALUE(MID('1&amp;2号构型'!D38,6,2))</f>
        <v>1</v>
      </c>
      <c r="H95" s="3" t="str">
        <f>IF(LEN('1&amp;2号构型'!D38)=9,"TRUE","FALSE")</f>
        <v>TRUE</v>
      </c>
      <c r="I95" s="2" t="b">
        <f>VALUE(MID('1&amp;2号构型'!C38,1,2))=VALUE(MID('1&amp;2号构型'!A38,5,2))</f>
        <v>1</v>
      </c>
      <c r="J95" s="2" t="str">
        <f>IF(LEN('1&amp;2号构型'!C38)=14,"TRUE","FALSE")</f>
        <v>TRUE</v>
      </c>
      <c r="K95" s="2" t="str">
        <f>RIGHT('1&amp;2号构型'!C38,4)</f>
        <v>G900</v>
      </c>
    </row>
    <row r="96" spans="6:11">
      <c r="F96" t="str">
        <f>'1&amp;2号构型'!B39</f>
        <v>应急配电盘箱</v>
      </c>
      <c r="G96" s="2" t="b">
        <f>VLOOKUP('1&amp;2号构型'!F39,B:C,2,0)=VALUE(MID('1&amp;2号构型'!D39,6,2))</f>
        <v>1</v>
      </c>
      <c r="H96" s="3" t="str">
        <f>IF(LEN('1&amp;2号构型'!D39)=9,"TRUE","FALSE")</f>
        <v>TRUE</v>
      </c>
      <c r="I96" s="2" t="b">
        <f>VALUE(MID('1&amp;2号构型'!C39,1,2))=VALUE(MID('1&amp;2号构型'!A39,5,2))</f>
        <v>1</v>
      </c>
      <c r="J96" s="2" t="str">
        <f>IF(LEN('1&amp;2号构型'!C39)=14,"TRUE","FALSE")</f>
        <v>TRUE</v>
      </c>
      <c r="K96" s="2" t="str">
        <f>RIGHT('1&amp;2号构型'!C39,4)</f>
        <v>G900</v>
      </c>
    </row>
    <row r="97" spans="6:11">
      <c r="F97" t="str">
        <f>'1&amp;2号构型'!B40</f>
        <v>远程配电装置 RPDU1</v>
      </c>
      <c r="G97" s="2" t="b">
        <f>VLOOKUP('1&amp;2号构型'!F40,B:C,2,0)=VALUE(MID('1&amp;2号构型'!D40,6,2))</f>
        <v>0</v>
      </c>
      <c r="H97" s="3" t="str">
        <f>IF(LEN('1&amp;2号构型'!D40)=9,"TRUE","FALSE")</f>
        <v>TRUE</v>
      </c>
      <c r="I97" s="2" t="b">
        <f>VALUE(MID('1&amp;2号构型'!C40,1,2))=VALUE(MID('1&amp;2号构型'!A40,5,2))</f>
        <v>1</v>
      </c>
      <c r="J97" s="2" t="str">
        <f>IF(LEN('1&amp;2号构型'!C40)=14,"TRUE","FALSE")</f>
        <v>TRUE</v>
      </c>
      <c r="K97" s="2" t="str">
        <f>RIGHT('1&amp;2号构型'!C40,4)</f>
        <v>G900</v>
      </c>
    </row>
    <row r="98" spans="6:11">
      <c r="F98" t="str">
        <f>'1&amp;2号构型'!B41</f>
        <v>远程配电装置 RPDU2</v>
      </c>
      <c r="G98" s="2" t="b">
        <f>VLOOKUP('1&amp;2号构型'!F41,B:C,2,0)=VALUE(MID('1&amp;2号构型'!D41,6,2))</f>
        <v>0</v>
      </c>
      <c r="H98" s="3" t="str">
        <f>IF(LEN('1&amp;2号构型'!D41)=9,"TRUE","FALSE")</f>
        <v>TRUE</v>
      </c>
      <c r="I98" s="2" t="b">
        <f>VALUE(MID('1&amp;2号构型'!C41,1,2))=VALUE(MID('1&amp;2号构型'!A41,5,2))</f>
        <v>1</v>
      </c>
      <c r="J98" s="2" t="str">
        <f>IF(LEN('1&amp;2号构型'!C41)=14,"TRUE","FALSE")</f>
        <v>TRUE</v>
      </c>
      <c r="K98" s="2" t="str">
        <f>RIGHT('1&amp;2号构型'!C41,4)</f>
        <v>G900</v>
      </c>
    </row>
    <row r="99" spans="6:11">
      <c r="F99" t="str">
        <f>'1&amp;2号构型'!B42</f>
        <v>远程配电装置 RPDU3</v>
      </c>
      <c r="G99" s="2" t="b">
        <f>VLOOKUP('1&amp;2号构型'!F42,B:C,2,0)=VALUE(MID('1&amp;2号构型'!D42,6,2))</f>
        <v>0</v>
      </c>
      <c r="H99" s="3" t="str">
        <f>IF(LEN('1&amp;2号构型'!D42)=9,"TRUE","FALSE")</f>
        <v>TRUE</v>
      </c>
      <c r="I99" s="2" t="b">
        <f>VALUE(MID('1&amp;2号构型'!C42,1,2))=VALUE(MID('1&amp;2号构型'!A42,5,2))</f>
        <v>1</v>
      </c>
      <c r="J99" s="2" t="str">
        <f>IF(LEN('1&amp;2号构型'!C42)=14,"TRUE","FALSE")</f>
        <v>TRUE</v>
      </c>
      <c r="K99" s="2" t="str">
        <f>RIGHT('1&amp;2号构型'!C42,4)</f>
        <v>G900</v>
      </c>
    </row>
    <row r="100" spans="6:11">
      <c r="F100" t="str">
        <f>'1&amp;2号构型'!B43</f>
        <v>远程配电装置 RPDU4</v>
      </c>
      <c r="G100" s="2" t="b">
        <f>VLOOKUP('1&amp;2号构型'!F43,B:C,2,0)=VALUE(MID('1&amp;2号构型'!D43,6,2))</f>
        <v>0</v>
      </c>
      <c r="H100" s="3" t="str">
        <f>IF(LEN('1&amp;2号构型'!D43)=9,"TRUE","FALSE")</f>
        <v>TRUE</v>
      </c>
      <c r="I100" s="2" t="b">
        <f>VALUE(MID('1&amp;2号构型'!C43,1,2))=VALUE(MID('1&amp;2号构型'!A43,5,2))</f>
        <v>1</v>
      </c>
      <c r="J100" s="2" t="str">
        <f>IF(LEN('1&amp;2号构型'!C43)=14,"TRUE","FALSE")</f>
        <v>TRUE</v>
      </c>
      <c r="K100" s="2" t="str">
        <f>RIGHT('1&amp;2号构型'!C43,4)</f>
        <v>G900</v>
      </c>
    </row>
    <row r="101" spans="6:11">
      <c r="F101" t="str">
        <f>'1&amp;2号构型'!B44</f>
        <v>L270/28V DCDC</v>
      </c>
      <c r="G101" s="2" t="b">
        <f>VLOOKUP('1&amp;2号构型'!F44,B:C,2,0)=VALUE(MID('1&amp;2号构型'!D44,6,2))</f>
        <v>0</v>
      </c>
      <c r="H101" s="3" t="str">
        <f>IF(LEN('1&amp;2号构型'!D44)=9,"TRUE","FALSE")</f>
        <v>TRUE</v>
      </c>
      <c r="I101" s="2" t="b">
        <f>VALUE(MID('1&amp;2号构型'!C44,1,2))=VALUE(MID('1&amp;2号构型'!A44,5,2))</f>
        <v>1</v>
      </c>
      <c r="J101" s="2" t="str">
        <f>IF(LEN('1&amp;2号构型'!C44)=14,"TRUE","FALSE")</f>
        <v>TRUE</v>
      </c>
      <c r="K101" s="2" t="str">
        <f>RIGHT('1&amp;2号构型'!C44,4)</f>
        <v>G900</v>
      </c>
    </row>
    <row r="102" spans="6:11">
      <c r="F102" t="str">
        <f>'1&amp;2号构型'!B45</f>
        <v>R270/28V DCDC</v>
      </c>
      <c r="G102" s="2" t="b">
        <f>VLOOKUP('1&amp;2号构型'!F45,B:C,2,0)=VALUE(MID('1&amp;2号构型'!D45,6,2))</f>
        <v>0</v>
      </c>
      <c r="H102" s="3" t="str">
        <f>IF(LEN('1&amp;2号构型'!D45)=9,"TRUE","FALSE")</f>
        <v>TRUE</v>
      </c>
      <c r="I102" s="2" t="b">
        <f>VALUE(MID('1&amp;2号构型'!C45,1,2))=VALUE(MID('1&amp;2号构型'!A45,5,2))</f>
        <v>1</v>
      </c>
      <c r="J102" s="2" t="str">
        <f>IF(LEN('1&amp;2号构型'!C45)=14,"TRUE","FALSE")</f>
        <v>TRUE</v>
      </c>
      <c r="K102" s="2" t="str">
        <f>RIGHT('1&amp;2号构型'!C45,4)</f>
        <v>G900</v>
      </c>
    </row>
    <row r="103" spans="6:11">
      <c r="F103" t="str">
        <f>'1&amp;2号构型'!B46</f>
        <v>E270/28V DCDC</v>
      </c>
      <c r="G103" s="2" t="b">
        <f>VLOOKUP('1&amp;2号构型'!F46,B:C,2,0)=VALUE(MID('1&amp;2号构型'!D46,6,2))</f>
        <v>1</v>
      </c>
      <c r="H103" s="3" t="str">
        <f>IF(LEN('1&amp;2号构型'!D46)=9,"TRUE","FALSE")</f>
        <v>TRUE</v>
      </c>
      <c r="I103" s="2" t="b">
        <f>VALUE(MID('1&amp;2号构型'!C46,1,2))=VALUE(MID('1&amp;2号构型'!A46,5,2))</f>
        <v>1</v>
      </c>
      <c r="J103" s="2" t="str">
        <f>IF(LEN('1&amp;2号构型'!C46)=14,"TRUE","FALSE")</f>
        <v>TRUE</v>
      </c>
      <c r="K103" s="2" t="str">
        <f>RIGHT('1&amp;2号构型'!C46,4)</f>
        <v>G900</v>
      </c>
    </row>
    <row r="104" spans="6:11">
      <c r="F104" t="str">
        <f>'1&amp;2号构型'!B47</f>
        <v>中央操纵台控制板</v>
      </c>
      <c r="G104" s="2" t="b">
        <f>VLOOKUP('1&amp;2号构型'!F47,B:C,2,0)=VALUE(MID('1&amp;2号构型'!D47,6,2))</f>
        <v>1</v>
      </c>
      <c r="H104" s="3" t="str">
        <f>IF(LEN('1&amp;2号构型'!D47)=9,"TRUE","FALSE")</f>
        <v>TRUE</v>
      </c>
      <c r="I104" s="2" t="b">
        <f>VALUE(MID('1&amp;2号构型'!C47,1,2))=VALUE(MID('1&amp;2号构型'!A47,5,2))</f>
        <v>1</v>
      </c>
      <c r="J104" s="2" t="str">
        <f>IF(LEN('1&amp;2号构型'!C47)=14,"TRUE","FALSE")</f>
        <v>TRUE</v>
      </c>
      <c r="K104" s="2" t="str">
        <f>RIGHT('1&amp;2号构型'!C47,4)</f>
        <v>G900</v>
      </c>
    </row>
    <row r="105" spans="6:11">
      <c r="F105" t="str">
        <f>'1&amp;2号构型'!B48</f>
        <v>应急控制板</v>
      </c>
      <c r="G105" s="2" t="b">
        <f>VLOOKUP('1&amp;2号构型'!F48,B:C,2,0)=VALUE(MID('1&amp;2号构型'!D48,6,2))</f>
        <v>1</v>
      </c>
      <c r="H105" s="3" t="str">
        <f>IF(LEN('1&amp;2号构型'!D48)=9,"TRUE","FALSE")</f>
        <v>TRUE</v>
      </c>
      <c r="I105" s="2" t="b">
        <f>VALUE(MID('1&amp;2号构型'!C48,1,2))=VALUE(MID('1&amp;2号构型'!A48,5,2))</f>
        <v>1</v>
      </c>
      <c r="J105" s="2" t="str">
        <f>IF(LEN('1&amp;2号构型'!C48)=14,"TRUE","FALSE")</f>
        <v>TRUE</v>
      </c>
      <c r="K105" s="2" t="str">
        <f>RIGHT('1&amp;2号构型'!C48,4)</f>
        <v>G900</v>
      </c>
    </row>
    <row r="106" spans="6:11">
      <c r="F106" t="str">
        <f>'1&amp;2号构型'!B49</f>
        <v>电源控制板</v>
      </c>
      <c r="G106" s="2" t="b">
        <f>VLOOKUP('1&amp;2号构型'!F49,B:C,2,0)=VALUE(MID('1&amp;2号构型'!D49,6,2))</f>
        <v>1</v>
      </c>
      <c r="H106" s="3" t="str">
        <f>IF(LEN('1&amp;2号构型'!D49)=9,"TRUE","FALSE")</f>
        <v>TRUE</v>
      </c>
      <c r="I106" s="2" t="b">
        <f>VALUE(MID('1&amp;2号构型'!C49,1,2))=VALUE(MID('1&amp;2号构型'!A49,5,2))</f>
        <v>1</v>
      </c>
      <c r="J106" s="2" t="str">
        <f>IF(LEN('1&amp;2号构型'!C49)=14,"TRUE","FALSE")</f>
        <v>TRUE</v>
      </c>
      <c r="K106" s="2" t="str">
        <f>RIGHT('1&amp;2号构型'!C49,4)</f>
        <v>G900</v>
      </c>
    </row>
    <row r="107" spans="6:11">
      <c r="F107" t="str">
        <f>'1&amp;2号构型'!B50</f>
        <v>推力手柄</v>
      </c>
      <c r="G107" s="2" t="b">
        <f>VLOOKUP('1&amp;2号构型'!F50,B:C,2,0)=VALUE(MID('1&amp;2号构型'!D50,6,2))</f>
        <v>1</v>
      </c>
      <c r="H107" s="3" t="str">
        <f>IF(LEN('1&amp;2号构型'!D50)=9,"TRUE","FALSE")</f>
        <v>TRUE</v>
      </c>
      <c r="I107" s="2" t="b">
        <f>VALUE(MID('1&amp;2号构型'!C50,1,2))=VALUE(MID('1&amp;2号构型'!A50,5,2))</f>
        <v>1</v>
      </c>
      <c r="J107" s="2" t="str">
        <f>IF(LEN('1&amp;2号构型'!C50)=14,"TRUE","FALSE")</f>
        <v>TRUE</v>
      </c>
      <c r="K107" s="2" t="str">
        <f>RIGHT('1&amp;2号构型'!C50,4)</f>
        <v>G900</v>
      </c>
    </row>
    <row r="108" spans="6:11">
      <c r="F108" t="str">
        <f>'1&amp;2号构型'!B51</f>
        <v>驾驶员座椅左</v>
      </c>
      <c r="G108" s="2" t="b">
        <f>VLOOKUP('1&amp;2号构型'!F51,B:C,2,0)=VALUE(MID('1&amp;2号构型'!D51,6,2))</f>
        <v>1</v>
      </c>
      <c r="H108" s="3" t="str">
        <f>IF(LEN('1&amp;2号构型'!D51)=9,"TRUE","FALSE")</f>
        <v>TRUE</v>
      </c>
      <c r="I108" s="2" t="b">
        <f>VALUE(MID('1&amp;2号构型'!C51,1,2))=VALUE(MID('1&amp;2号构型'!A51,5,2))</f>
        <v>1</v>
      </c>
      <c r="J108" s="2" t="str">
        <f>IF(LEN('1&amp;2号构型'!C51)=14,"TRUE","FALSE")</f>
        <v>TRUE</v>
      </c>
      <c r="K108" s="2" t="str">
        <f>RIGHT('1&amp;2号构型'!C51,4)</f>
        <v>G900</v>
      </c>
    </row>
    <row r="109" spans="6:11">
      <c r="F109" t="str">
        <f>'1&amp;2号构型'!B52</f>
        <v>驾驶员座椅右</v>
      </c>
      <c r="G109" s="2" t="b">
        <f>VLOOKUP('1&amp;2号构型'!F52,B:C,2,0)=VALUE(MID('1&amp;2号构型'!D52,6,2))</f>
        <v>1</v>
      </c>
      <c r="H109" s="3" t="str">
        <f>IF(LEN('1&amp;2号构型'!D52)=9,"TRUE","FALSE")</f>
        <v>TRUE</v>
      </c>
      <c r="I109" s="2" t="b">
        <f>VALUE(MID('1&amp;2号构型'!C52,1,2))=VALUE(MID('1&amp;2号构型'!A52,5,2))</f>
        <v>1</v>
      </c>
      <c r="J109" s="2" t="str">
        <f>IF(LEN('1&amp;2号构型'!C52)=14,"TRUE","FALSE")</f>
        <v>TRUE</v>
      </c>
      <c r="K109" s="2" t="str">
        <f>RIGHT('1&amp;2号构型'!C52,4)</f>
        <v>G900</v>
      </c>
    </row>
    <row r="110" spans="6:11">
      <c r="F110" t="str">
        <f>'1&amp;2号构型'!B53</f>
        <v>驾驶舱天花板支架</v>
      </c>
      <c r="G110" s="2" t="b">
        <f>VLOOKUP('1&amp;2号构型'!F53,B:C,2,0)=VALUE(MID('1&amp;2号构型'!D53,6,2))</f>
        <v>1</v>
      </c>
      <c r="H110" s="3" t="str">
        <f>IF(LEN('1&amp;2号构型'!D53)=9,"TRUE","FALSE")</f>
        <v>TRUE</v>
      </c>
      <c r="I110" s="2" t="b">
        <f>VALUE(MID('1&amp;2号构型'!C53,1,2))=VALUE(MID('1&amp;2号构型'!A53,5,2))</f>
        <v>1</v>
      </c>
      <c r="J110" s="2" t="str">
        <f>IF(LEN('1&amp;2号构型'!C53)=14,"TRUE","FALSE")</f>
        <v>TRUE</v>
      </c>
      <c r="K110" s="2" t="str">
        <f>RIGHT('1&amp;2号构型'!C53,4)</f>
        <v>G200</v>
      </c>
    </row>
    <row r="111" spans="6:11">
      <c r="F111" t="str">
        <f>'1&amp;2号构型'!B54</f>
        <v>驾驶舱天花板</v>
      </c>
      <c r="G111" s="2" t="b">
        <f>VLOOKUP('1&amp;2号构型'!F54,B:C,2,0)=VALUE(MID('1&amp;2号构型'!D54,6,2))</f>
        <v>1</v>
      </c>
      <c r="H111" s="3" t="str">
        <f>IF(LEN('1&amp;2号构型'!D54)=9,"TRUE","FALSE")</f>
        <v>TRUE</v>
      </c>
      <c r="I111" s="2" t="b">
        <f>VALUE(MID('1&amp;2号构型'!C54,1,2))=VALUE(MID('1&amp;2号构型'!A54,5,2))</f>
        <v>1</v>
      </c>
      <c r="J111" s="2" t="str">
        <f>IF(LEN('1&amp;2号构型'!C54)=14,"TRUE","FALSE")</f>
        <v>TRUE</v>
      </c>
      <c r="K111" s="2" t="str">
        <f>RIGHT('1&amp;2号构型'!C54,4)</f>
        <v>G200</v>
      </c>
    </row>
    <row r="112" spans="6:11">
      <c r="F112" t="str">
        <f>'1&amp;2号构型'!B55</f>
        <v>驾驶舱窗框装饰罩</v>
      </c>
      <c r="G112" s="2" t="b">
        <f>VLOOKUP('1&amp;2号构型'!F55,B:C,2,0)=VALUE(MID('1&amp;2号构型'!D55,6,2))</f>
        <v>1</v>
      </c>
      <c r="H112" s="3" t="str">
        <f>IF(LEN('1&amp;2号构型'!D55)=9,"TRUE","FALSE")</f>
        <v>TRUE</v>
      </c>
      <c r="I112" s="2" t="b">
        <f>VALUE(MID('1&amp;2号构型'!C55,1,2))=VALUE(MID('1&amp;2号构型'!A55,5,2))</f>
        <v>1</v>
      </c>
      <c r="J112" s="2" t="str">
        <f>IF(LEN('1&amp;2号构型'!C55)=14,"TRUE","FALSE")</f>
        <v>TRUE</v>
      </c>
      <c r="K112" s="2" t="str">
        <f>RIGHT('1&amp;2号构型'!C55,4)</f>
        <v>G200</v>
      </c>
    </row>
    <row r="113" spans="6:11">
      <c r="F113" t="str">
        <f>'1&amp;2号构型'!B56</f>
        <v>驾驶舱窗框装饰罩支架</v>
      </c>
      <c r="G113" s="2" t="b">
        <f>VLOOKUP('1&amp;2号构型'!F56,B:C,2,0)=VALUE(MID('1&amp;2号构型'!D56,6,2))</f>
        <v>1</v>
      </c>
      <c r="H113" s="3" t="str">
        <f>IF(LEN('1&amp;2号构型'!D56)=9,"TRUE","FALSE")</f>
        <v>TRUE</v>
      </c>
      <c r="I113" s="2" t="b">
        <f>VALUE(MID('1&amp;2号构型'!C56,1,2))=VALUE(MID('1&amp;2号构型'!A56,5,2))</f>
        <v>1</v>
      </c>
      <c r="J113" s="2" t="str">
        <f>IF(LEN('1&amp;2号构型'!C56)=14,"TRUE","FALSE")</f>
        <v>TRUE</v>
      </c>
      <c r="K113" s="2" t="str">
        <f>RIGHT('1&amp;2号构型'!C56,4)</f>
        <v>G200</v>
      </c>
    </row>
    <row r="114" spans="6:11">
      <c r="F114" t="str">
        <f>'1&amp;2号构型'!B57</f>
        <v>驾驶舱后装饰板</v>
      </c>
      <c r="G114" s="2" t="b">
        <f>VLOOKUP('1&amp;2号构型'!F57,B:C,2,0)=VALUE(MID('1&amp;2号构型'!D57,6,2))</f>
        <v>1</v>
      </c>
      <c r="H114" s="3" t="str">
        <f>IF(LEN('1&amp;2号构型'!D57)=9,"TRUE","FALSE")</f>
        <v>TRUE</v>
      </c>
      <c r="I114" s="2" t="b">
        <f>VALUE(MID('1&amp;2号构型'!C57,1,2))=VALUE(MID('1&amp;2号构型'!A57,5,2))</f>
        <v>1</v>
      </c>
      <c r="J114" s="2" t="str">
        <f>IF(LEN('1&amp;2号构型'!C57)=14,"TRUE","FALSE")</f>
        <v>TRUE</v>
      </c>
      <c r="K114" s="2" t="str">
        <f>RIGHT('1&amp;2号构型'!C57,4)</f>
        <v>G200</v>
      </c>
    </row>
    <row r="115" spans="6:11">
      <c r="F115" t="str">
        <f>'1&amp;2号构型'!B58</f>
        <v>遮光罩装饰</v>
      </c>
      <c r="G115" s="2" t="b">
        <f>VLOOKUP('1&amp;2号构型'!F58,B:C,2,0)=VALUE(MID('1&amp;2号构型'!D58,6,2))</f>
        <v>1</v>
      </c>
      <c r="H115" s="3" t="str">
        <f>IF(LEN('1&amp;2号构型'!D58)=9,"TRUE","FALSE")</f>
        <v>TRUE</v>
      </c>
      <c r="I115" s="2" t="b">
        <f>VALUE(MID('1&amp;2号构型'!C58,1,2))=VALUE(MID('1&amp;2号构型'!A58,5,2))</f>
        <v>1</v>
      </c>
      <c r="J115" s="2" t="str">
        <f>IF(LEN('1&amp;2号构型'!C58)=14,"TRUE","FALSE")</f>
        <v>TRUE</v>
      </c>
      <c r="K115" s="2" t="str">
        <f>RIGHT('1&amp;2号构型'!C58,4)</f>
        <v>G200</v>
      </c>
    </row>
    <row r="116" spans="6:11">
      <c r="F116" t="str">
        <f>'1&amp;2号构型'!B59</f>
        <v>中央操纵台装饰</v>
      </c>
      <c r="G116" s="2" t="b">
        <f>VLOOKUP('1&amp;2号构型'!F59,B:C,2,0)=VALUE(MID('1&amp;2号构型'!D59,6,2))</f>
        <v>1</v>
      </c>
      <c r="H116" s="3" t="str">
        <f>IF(LEN('1&amp;2号构型'!D59)=9,"TRUE","FALSE")</f>
        <v>TRUE</v>
      </c>
      <c r="I116" s="2" t="b">
        <f>VALUE(MID('1&amp;2号构型'!C59,1,2))=VALUE(MID('1&amp;2号构型'!A59,5,2))</f>
        <v>1</v>
      </c>
      <c r="J116" s="2" t="str">
        <f>IF(LEN('1&amp;2号构型'!C59)=14,"TRUE","FALSE")</f>
        <v>TRUE</v>
      </c>
      <c r="K116" s="2" t="str">
        <f>RIGHT('1&amp;2号构型'!C59,4)</f>
        <v>G200</v>
      </c>
    </row>
    <row r="117" spans="6:11">
      <c r="F117" t="str">
        <f>'1&amp;2号构型'!B60</f>
        <v>左侧操纵台</v>
      </c>
      <c r="G117" s="2" t="b">
        <f>VLOOKUP('1&amp;2号构型'!F60,B:C,2,0)=VALUE(MID('1&amp;2号构型'!D60,6,2))</f>
        <v>1</v>
      </c>
      <c r="H117" s="3" t="str">
        <f>IF(LEN('1&amp;2号构型'!D60)=9,"TRUE","FALSE")</f>
        <v>TRUE</v>
      </c>
      <c r="I117" s="2" t="b">
        <f>VALUE(MID('1&amp;2号构型'!C60,1,2))=VALUE(MID('1&amp;2号构型'!A60,5,2))</f>
        <v>1</v>
      </c>
      <c r="J117" s="2" t="str">
        <f>IF(LEN('1&amp;2号构型'!C60)=14,"TRUE","FALSE")</f>
        <v>TRUE</v>
      </c>
      <c r="K117" s="2" t="str">
        <f>RIGHT('1&amp;2号构型'!C60,4)</f>
        <v>G200</v>
      </c>
    </row>
    <row r="118" spans="6:11">
      <c r="F118" t="str">
        <f>'1&amp;2号构型'!B61</f>
        <v>右侧操纵台</v>
      </c>
      <c r="G118" s="2" t="b">
        <f>VLOOKUP('1&amp;2号构型'!F61,B:C,2,0)=VALUE(MID('1&amp;2号构型'!D61,6,2))</f>
        <v>1</v>
      </c>
      <c r="H118" s="3" t="str">
        <f>IF(LEN('1&amp;2号构型'!D61)=9,"TRUE","FALSE")</f>
        <v>TRUE</v>
      </c>
      <c r="I118" s="2" t="b">
        <f>VALUE(MID('1&amp;2号构型'!C61,1,2))=VALUE(MID('1&amp;2号构型'!A61,5,2))</f>
        <v>1</v>
      </c>
      <c r="J118" s="2" t="str">
        <f>IF(LEN('1&amp;2号构型'!C61)=14,"TRUE","FALSE")</f>
        <v>TRUE</v>
      </c>
      <c r="K118" s="2" t="str">
        <f>RIGHT('1&amp;2号构型'!C61,4)</f>
        <v>G200</v>
      </c>
    </row>
    <row r="119" spans="6:11">
      <c r="F119" t="str">
        <f>'1&amp;2号构型'!B62</f>
        <v>左侧操纵台支架</v>
      </c>
      <c r="G119" s="2" t="b">
        <f>VLOOKUP('1&amp;2号构型'!F62,B:C,2,0)=VALUE(MID('1&amp;2号构型'!D62,6,2))</f>
        <v>1</v>
      </c>
      <c r="H119" s="3" t="str">
        <f>IF(LEN('1&amp;2号构型'!D62)=9,"TRUE","FALSE")</f>
        <v>TRUE</v>
      </c>
      <c r="I119" s="2" t="b">
        <f>VALUE(MID('1&amp;2号构型'!C62,1,2))=VALUE(MID('1&amp;2号构型'!A62,5,2))</f>
        <v>1</v>
      </c>
      <c r="J119" s="2" t="str">
        <f>IF(LEN('1&amp;2号构型'!C62)=14,"TRUE","FALSE")</f>
        <v>TRUE</v>
      </c>
      <c r="K119" s="2" t="str">
        <f>RIGHT('1&amp;2号构型'!C62,4)</f>
        <v>G200</v>
      </c>
    </row>
    <row r="120" spans="6:11">
      <c r="F120" t="str">
        <f>'1&amp;2号构型'!B63</f>
        <v>右侧操纵台支架</v>
      </c>
      <c r="G120" s="2" t="b">
        <f>VLOOKUP('1&amp;2号构型'!F63,B:C,2,0)=VALUE(MID('1&amp;2号构型'!D63,6,2))</f>
        <v>1</v>
      </c>
      <c r="H120" s="3" t="str">
        <f>IF(LEN('1&amp;2号构型'!D63)=9,"TRUE","FALSE")</f>
        <v>TRUE</v>
      </c>
      <c r="I120" s="2" t="b">
        <f>VALUE(MID('1&amp;2号构型'!C63,1,2))=VALUE(MID('1&amp;2号构型'!A63,5,2))</f>
        <v>1</v>
      </c>
      <c r="J120" s="2" t="str">
        <f>IF(LEN('1&amp;2号构型'!C63)=14,"TRUE","FALSE")</f>
        <v>TRUE</v>
      </c>
      <c r="K120" s="2" t="str">
        <f>RIGHT('1&amp;2号构型'!C63,4)</f>
        <v>G200</v>
      </c>
    </row>
    <row r="121" spans="6:11">
      <c r="F121" t="str">
        <f>'1&amp;2号构型'!B64</f>
        <v>遮阳板</v>
      </c>
      <c r="G121" s="2" t="b">
        <f>VLOOKUP('1&amp;2号构型'!F64,B:C,2,0)=VALUE(MID('1&amp;2号构型'!D64,6,2))</f>
        <v>1</v>
      </c>
      <c r="H121" s="3" t="str">
        <f>IF(LEN('1&amp;2号构型'!D64)=9,"TRUE","FALSE")</f>
        <v>TRUE</v>
      </c>
      <c r="I121" s="2" t="b">
        <f>VALUE(MID('1&amp;2号构型'!C64,1,2))=VALUE(MID('1&amp;2号构型'!A64,5,2))</f>
        <v>1</v>
      </c>
      <c r="J121" s="2" t="str">
        <f>IF(LEN('1&amp;2号构型'!C64)=14,"TRUE","FALSE")</f>
        <v>TRUE</v>
      </c>
      <c r="K121" s="2" t="str">
        <f>RIGHT('1&amp;2号构型'!C64,4)</f>
        <v>G900</v>
      </c>
    </row>
    <row r="122" spans="6:11">
      <c r="F122" t="str">
        <f>'1&amp;2号构型'!B65</f>
        <v>目视定位仪</v>
      </c>
      <c r="G122" s="2" t="b">
        <f>VLOOKUP('1&amp;2号构型'!F65,B:C,2,0)=VALUE(MID('1&amp;2号构型'!D65,6,2))</f>
        <v>1</v>
      </c>
      <c r="H122" s="3" t="str">
        <f>IF(LEN('1&amp;2号构型'!D65)=9,"TRUE","FALSE")</f>
        <v>TRUE</v>
      </c>
      <c r="I122" s="2" t="b">
        <f>VALUE(MID('1&amp;2号构型'!C65,1,2))=VALUE(MID('1&amp;2号构型'!A65,5,2))</f>
        <v>1</v>
      </c>
      <c r="J122" s="2" t="str">
        <f>IF(LEN('1&amp;2号构型'!C65)=14,"TRUE","FALSE")</f>
        <v>TRUE</v>
      </c>
      <c r="K122" s="2" t="str">
        <f>RIGHT('1&amp;2号构型'!C65,4)</f>
        <v>G900</v>
      </c>
    </row>
    <row r="123" spans="6:11">
      <c r="F123" t="str">
        <f>'1&amp;2号构型'!B66</f>
        <v>驾驶员辅助手柄</v>
      </c>
      <c r="G123" s="2" t="b">
        <f>VLOOKUP('1&amp;2号构型'!F66,B:C,2,0)=VALUE(MID('1&amp;2号构型'!D66,6,2))</f>
        <v>1</v>
      </c>
      <c r="H123" s="3" t="str">
        <f>IF(LEN('1&amp;2号构型'!D66)=9,"TRUE","FALSE")</f>
        <v>TRUE</v>
      </c>
      <c r="I123" s="2" t="b">
        <f>VALUE(MID('1&amp;2号构型'!C66,1,2))=VALUE(MID('1&amp;2号构型'!A66,5,2))</f>
        <v>1</v>
      </c>
      <c r="J123" s="2" t="str">
        <f>IF(LEN('1&amp;2号构型'!C66)=14,"TRUE","FALSE")</f>
        <v>TRUE</v>
      </c>
      <c r="K123" s="2" t="str">
        <f>RIGHT('1&amp;2号构型'!C66,4)</f>
        <v>G900</v>
      </c>
    </row>
    <row r="124" spans="6:11">
      <c r="F124" t="str">
        <f>'1&amp;2号构型'!B67</f>
        <v>驾驶舱门</v>
      </c>
      <c r="G124" s="2" t="b">
        <f>VLOOKUP('1&amp;2号构型'!F67,B:C,2,0)=VALUE(MID('1&amp;2号构型'!D67,6,2))</f>
        <v>1</v>
      </c>
      <c r="H124" s="3" t="str">
        <f>IF(LEN('1&amp;2号构型'!D67)=9,"TRUE","FALSE")</f>
        <v>TRUE</v>
      </c>
      <c r="I124" s="2" t="b">
        <f>VALUE(MID('1&amp;2号构型'!C67,1,2))=VALUE(MID('1&amp;2号构型'!A67,5,2))</f>
        <v>1</v>
      </c>
      <c r="J124" s="2" t="str">
        <f>IF(LEN('1&amp;2号构型'!C67)=14,"TRUE","FALSE")</f>
        <v>TRUE</v>
      </c>
      <c r="K124" s="2" t="str">
        <f>RIGHT('1&amp;2号构型'!C67,4)</f>
        <v>G200</v>
      </c>
    </row>
    <row r="125" spans="6:11">
      <c r="F125" t="str">
        <f>'1&amp;2号构型'!B68</f>
        <v>驾驶舱地板覆盖物</v>
      </c>
      <c r="G125" s="2" t="b">
        <f>VLOOKUP('1&amp;2号构型'!F68,B:C,2,0)=VALUE(MID('1&amp;2号构型'!D68,6,2))</f>
        <v>1</v>
      </c>
      <c r="H125" s="3" t="str">
        <f>IF(LEN('1&amp;2号构型'!D68)=9,"TRUE","FALSE")</f>
        <v>TRUE</v>
      </c>
      <c r="I125" s="2" t="b">
        <f>VALUE(MID('1&amp;2号构型'!C68,1,2))=VALUE(MID('1&amp;2号构型'!A68,5,2))</f>
        <v>1</v>
      </c>
      <c r="J125" s="2" t="str">
        <f>IF(LEN('1&amp;2号构型'!C68)=14,"TRUE","FALSE")</f>
        <v>TRUE</v>
      </c>
      <c r="K125" s="2" t="str">
        <f>RIGHT('1&amp;2号构型'!C68,4)</f>
        <v>G900</v>
      </c>
    </row>
    <row r="126" spans="6:11">
      <c r="F126" t="str">
        <f>'1&amp;2号构型'!B69</f>
        <v>驾驶舱标记标牌</v>
      </c>
      <c r="G126" s="2" t="b">
        <f>VLOOKUP('1&amp;2号构型'!F69,B:C,2,0)=VALUE(MID('1&amp;2号构型'!D69,6,2))</f>
        <v>1</v>
      </c>
      <c r="H126" s="3" t="str">
        <f>IF(LEN('1&amp;2号构型'!D69)=9,"TRUE","FALSE")</f>
        <v>TRUE</v>
      </c>
      <c r="I126" s="2" t="b">
        <f>VALUE(MID('1&amp;2号构型'!C69,1,2))=VALUE(MID('1&amp;2号构型'!A69,5,2))</f>
        <v>1</v>
      </c>
      <c r="J126" s="2" t="str">
        <f>IF(LEN('1&amp;2号构型'!C69)=14,"TRUE","FALSE")</f>
        <v>TRUE</v>
      </c>
      <c r="K126" s="2" t="str">
        <f>RIGHT('1&amp;2号构型'!C69,4)</f>
        <v>G900</v>
      </c>
    </row>
    <row r="127" spans="6:11">
      <c r="F127" t="e">
        <f>'1&amp;2号构型'!#REF!</f>
        <v>#REF!</v>
      </c>
      <c r="G127" s="2" t="e">
        <f>VLOOKUP('1&amp;2号构型'!#REF!,B:C,2,0)=VALUE(MID('1&amp;2号构型'!#REF!,6,2))</f>
        <v>#REF!</v>
      </c>
      <c r="H127" s="3" t="e">
        <f>IF(LEN('1&amp;2号构型'!#REF!)=9,"TRUE","FALSE")</f>
        <v>#REF!</v>
      </c>
      <c r="I127" s="2" t="e">
        <f>VALUE(MID('1&amp;2号构型'!#REF!,1,2))=VALUE(MID('1&amp;2号构型'!#REF!,5,2))</f>
        <v>#REF!</v>
      </c>
      <c r="J127" s="2" t="e">
        <f>IF(LEN('1&amp;2号构型'!#REF!)=14,"TRUE","FALSE")</f>
        <v>#REF!</v>
      </c>
      <c r="K127" s="2" t="e">
        <f>RIGHT('1&amp;2号构型'!#REF!,4)</f>
        <v>#REF!</v>
      </c>
    </row>
    <row r="128" spans="6:11">
      <c r="F128" t="e">
        <f>'1&amp;2号构型'!#REF!</f>
        <v>#REF!</v>
      </c>
      <c r="G128" s="2" t="e">
        <f>VLOOKUP('1&amp;2号构型'!#REF!,B:C,2,0)=VALUE(MID('1&amp;2号构型'!#REF!,6,2))</f>
        <v>#REF!</v>
      </c>
      <c r="H128" s="3" t="e">
        <f>IF(LEN('1&amp;2号构型'!#REF!)=9,"TRUE","FALSE")</f>
        <v>#REF!</v>
      </c>
      <c r="I128" s="2" t="e">
        <f>VALUE(MID('1&amp;2号构型'!#REF!,1,2))=VALUE(MID('1&amp;2号构型'!#REF!,5,2))</f>
        <v>#REF!</v>
      </c>
      <c r="J128" s="2" t="e">
        <f>IF(LEN('1&amp;2号构型'!#REF!)=14,"TRUE","FALSE")</f>
        <v>#REF!</v>
      </c>
      <c r="K128" s="2" t="e">
        <f>RIGHT('1&amp;2号构型'!#REF!,4)</f>
        <v>#REF!</v>
      </c>
    </row>
    <row r="129" spans="6:11">
      <c r="F129" t="e">
        <f>'1&amp;2号构型'!#REF!</f>
        <v>#REF!</v>
      </c>
      <c r="G129" s="2" t="e">
        <f>VLOOKUP('1&amp;2号构型'!#REF!,B:C,2,0)=VALUE(MID('1&amp;2号构型'!#REF!,6,2))</f>
        <v>#REF!</v>
      </c>
      <c r="H129" s="3" t="e">
        <f>IF(LEN('1&amp;2号构型'!#REF!)=9,"TRUE","FALSE")</f>
        <v>#REF!</v>
      </c>
      <c r="I129" s="2" t="e">
        <f>VALUE(MID('1&amp;2号构型'!#REF!,1,2))=VALUE(MID('1&amp;2号构型'!#REF!,5,2))</f>
        <v>#REF!</v>
      </c>
      <c r="J129" s="2" t="e">
        <f>IF(LEN('1&amp;2号构型'!#REF!)=14,"TRUE","FALSE")</f>
        <v>#REF!</v>
      </c>
      <c r="K129" s="2" t="e">
        <f>RIGHT('1&amp;2号构型'!#REF!,4)</f>
        <v>#REF!</v>
      </c>
    </row>
    <row r="130" spans="6:11">
      <c r="F130" t="e">
        <f>'1&amp;2号构型'!#REF!</f>
        <v>#REF!</v>
      </c>
      <c r="G130" s="2" t="e">
        <f>VLOOKUP('1&amp;2号构型'!#REF!,B:C,2,0)=VALUE(MID('1&amp;2号构型'!#REF!,6,2))</f>
        <v>#REF!</v>
      </c>
      <c r="H130" s="3" t="e">
        <f>IF(LEN('1&amp;2号构型'!#REF!)=9,"TRUE","FALSE")</f>
        <v>#REF!</v>
      </c>
      <c r="I130" s="2" t="e">
        <f>VALUE(MID('1&amp;2号构型'!#REF!,1,2))=VALUE(MID('1&amp;2号构型'!#REF!,5,2))</f>
        <v>#REF!</v>
      </c>
      <c r="J130" s="2" t="e">
        <f>IF(LEN('1&amp;2号构型'!#REF!)=14,"TRUE","FALSE")</f>
        <v>#REF!</v>
      </c>
      <c r="K130" s="2" t="e">
        <f>RIGHT('1&amp;2号构型'!#REF!,4)</f>
        <v>#REF!</v>
      </c>
    </row>
    <row r="131" spans="6:11">
      <c r="F131" t="e">
        <f>'1&amp;2号构型'!#REF!</f>
        <v>#REF!</v>
      </c>
      <c r="G131" s="2" t="e">
        <f>VLOOKUP('1&amp;2号构型'!#REF!,B:C,2,0)=VALUE(MID('1&amp;2号构型'!#REF!,6,2))</f>
        <v>#REF!</v>
      </c>
      <c r="H131" s="3" t="e">
        <f>IF(LEN('1&amp;2号构型'!#REF!)=9,"TRUE","FALSE")</f>
        <v>#REF!</v>
      </c>
      <c r="I131" s="2" t="e">
        <f>VALUE(MID('1&amp;2号构型'!#REF!,1,2))=VALUE(MID('1&amp;2号构型'!#REF!,5,2))</f>
        <v>#REF!</v>
      </c>
      <c r="J131" s="2" t="e">
        <f>IF(LEN('1&amp;2号构型'!#REF!)=14,"TRUE","FALSE")</f>
        <v>#REF!</v>
      </c>
      <c r="K131" s="2" t="e">
        <f>RIGHT('1&amp;2号构型'!#REF!,4)</f>
        <v>#REF!</v>
      </c>
    </row>
    <row r="132" spans="6:11">
      <c r="F132" t="e">
        <f>'1&amp;2号构型'!#REF!</f>
        <v>#REF!</v>
      </c>
      <c r="G132" s="2" t="e">
        <f>VLOOKUP('1&amp;2号构型'!#REF!,B:C,2,0)=VALUE(MID('1&amp;2号构型'!#REF!,6,2))</f>
        <v>#REF!</v>
      </c>
      <c r="H132" s="3" t="e">
        <f>IF(LEN('1&amp;2号构型'!#REF!)=9,"TRUE","FALSE")</f>
        <v>#REF!</v>
      </c>
      <c r="I132" s="2" t="e">
        <f>VALUE(MID('1&amp;2号构型'!#REF!,1,2))=VALUE(MID('1&amp;2号构型'!#REF!,5,2))</f>
        <v>#REF!</v>
      </c>
      <c r="J132" s="2" t="e">
        <f>IF(LEN('1&amp;2号构型'!#REF!)=14,"TRUE","FALSE")</f>
        <v>#REF!</v>
      </c>
      <c r="K132" s="2" t="e">
        <f>RIGHT('1&amp;2号构型'!#REF!,4)</f>
        <v>#REF!</v>
      </c>
    </row>
    <row r="133" spans="6:11">
      <c r="F133" t="e">
        <f>'1&amp;2号构型'!#REF!</f>
        <v>#REF!</v>
      </c>
      <c r="G133" s="2" t="e">
        <f>VLOOKUP('1&amp;2号构型'!#REF!,B:C,2,0)=VALUE(MID('1&amp;2号构型'!#REF!,6,2))</f>
        <v>#REF!</v>
      </c>
      <c r="H133" s="3" t="e">
        <f>IF(LEN('1&amp;2号构型'!#REF!)=9,"TRUE","FALSE")</f>
        <v>#REF!</v>
      </c>
      <c r="I133" s="2" t="e">
        <f>VALUE(MID('1&amp;2号构型'!#REF!,1,2))=VALUE(MID('1&amp;2号构型'!#REF!,5,2))</f>
        <v>#REF!</v>
      </c>
      <c r="J133" s="2" t="e">
        <f>IF(LEN('1&amp;2号构型'!#REF!)=14,"TRUE","FALSE")</f>
        <v>#REF!</v>
      </c>
      <c r="K133" s="2" t="e">
        <f>RIGHT('1&amp;2号构型'!#REF!,4)</f>
        <v>#REF!</v>
      </c>
    </row>
    <row r="134" spans="6:11">
      <c r="F134" t="e">
        <f>'1&amp;2号构型'!#REF!</f>
        <v>#REF!</v>
      </c>
      <c r="G134" s="2" t="e">
        <f>VLOOKUP('1&amp;2号构型'!#REF!,B:C,2,0)=VALUE(MID('1&amp;2号构型'!#REF!,6,2))</f>
        <v>#REF!</v>
      </c>
      <c r="H134" s="3" t="e">
        <f>IF(LEN('1&amp;2号构型'!#REF!)=9,"TRUE","FALSE")</f>
        <v>#REF!</v>
      </c>
      <c r="I134" s="2" t="e">
        <f>VALUE(MID('1&amp;2号构型'!#REF!,1,2))=VALUE(MID('1&amp;2号构型'!#REF!,5,2))</f>
        <v>#REF!</v>
      </c>
      <c r="J134" s="2" t="e">
        <f>IF(LEN('1&amp;2号构型'!#REF!)=14,"TRUE","FALSE")</f>
        <v>#REF!</v>
      </c>
      <c r="K134" s="2" t="e">
        <f>RIGHT('1&amp;2号构型'!#REF!,4)</f>
        <v>#REF!</v>
      </c>
    </row>
    <row r="135" spans="6:11">
      <c r="F135" t="e">
        <f>'1&amp;2号构型'!#REF!</f>
        <v>#REF!</v>
      </c>
      <c r="G135" s="2" t="e">
        <f>VLOOKUP('1&amp;2号构型'!#REF!,B:C,2,0)=VALUE(MID('1&amp;2号构型'!#REF!,6,2))</f>
        <v>#REF!</v>
      </c>
      <c r="H135" s="3" t="e">
        <f>IF(LEN('1&amp;2号构型'!#REF!)=9,"TRUE","FALSE")</f>
        <v>#REF!</v>
      </c>
      <c r="I135" s="2" t="e">
        <f>VALUE(MID('1&amp;2号构型'!#REF!,1,2))=VALUE(MID('1&amp;2号构型'!#REF!,5,2))</f>
        <v>#REF!</v>
      </c>
      <c r="J135" s="2" t="e">
        <f>IF(LEN('1&amp;2号构型'!#REF!)=14,"TRUE","FALSE")</f>
        <v>#REF!</v>
      </c>
      <c r="K135" s="2" t="e">
        <f>RIGHT('1&amp;2号构型'!#REF!,4)</f>
        <v>#REF!</v>
      </c>
    </row>
    <row r="136" spans="6:11">
      <c r="F136" t="e">
        <f>'1&amp;2号构型'!#REF!</f>
        <v>#REF!</v>
      </c>
      <c r="G136" s="2" t="e">
        <f>VLOOKUP('1&amp;2号构型'!#REF!,B:C,2,0)=VALUE(MID('1&amp;2号构型'!#REF!,6,2))</f>
        <v>#REF!</v>
      </c>
      <c r="H136" s="3" t="e">
        <f>IF(LEN('1&amp;2号构型'!#REF!)=9,"TRUE","FALSE")</f>
        <v>#REF!</v>
      </c>
      <c r="I136" s="2" t="e">
        <f>VALUE(MID('1&amp;2号构型'!#REF!,1,2))=VALUE(MID('1&amp;2号构型'!#REF!,5,2))</f>
        <v>#REF!</v>
      </c>
      <c r="J136" s="2" t="e">
        <f>IF(LEN('1&amp;2号构型'!#REF!)=14,"TRUE","FALSE")</f>
        <v>#REF!</v>
      </c>
      <c r="K136" s="2" t="e">
        <f>RIGHT('1&amp;2号构型'!#REF!,4)</f>
        <v>#REF!</v>
      </c>
    </row>
    <row r="137" spans="6:11">
      <c r="F137" t="e">
        <f>'1&amp;2号构型'!#REF!</f>
        <v>#REF!</v>
      </c>
      <c r="G137" s="2" t="e">
        <f>VLOOKUP('1&amp;2号构型'!#REF!,B:C,2,0)=VALUE(MID('1&amp;2号构型'!#REF!,6,2))</f>
        <v>#REF!</v>
      </c>
      <c r="H137" s="3" t="e">
        <f>IF(LEN('1&amp;2号构型'!#REF!)=9,"TRUE","FALSE")</f>
        <v>#REF!</v>
      </c>
      <c r="I137" s="2" t="e">
        <f>VALUE(MID('1&amp;2号构型'!#REF!,1,2))=VALUE(MID('1&amp;2号构型'!#REF!,5,2))</f>
        <v>#REF!</v>
      </c>
      <c r="J137" s="2" t="e">
        <f>IF(LEN('1&amp;2号构型'!#REF!)=14,"TRUE","FALSE")</f>
        <v>#REF!</v>
      </c>
      <c r="K137" s="2" t="e">
        <f>RIGHT('1&amp;2号构型'!#REF!,4)</f>
        <v>#REF!</v>
      </c>
    </row>
    <row r="138" spans="6:11">
      <c r="F138" t="str">
        <f>'1&amp;2号构型'!B80</f>
        <v>左内侧副翼作动器</v>
      </c>
      <c r="G138" s="2" t="b">
        <f>VLOOKUP('1&amp;2号构型'!F80,B:C,2,0)=VALUE(MID('1&amp;2号构型'!D80,6,2))</f>
        <v>1</v>
      </c>
      <c r="H138" s="3" t="str">
        <f>IF(LEN('1&amp;2号构型'!D80)=9,"TRUE","FALSE")</f>
        <v>TRUE</v>
      </c>
      <c r="I138" s="2" t="b">
        <f>VALUE(MID('1&amp;2号构型'!C80,1,2))=VALUE(MID('1&amp;2号构型'!A80,5,2))</f>
        <v>1</v>
      </c>
      <c r="J138" s="2" t="str">
        <f>IF(LEN('1&amp;2号构型'!C80)=14,"TRUE","FALSE")</f>
        <v>TRUE</v>
      </c>
      <c r="K138" s="2" t="str">
        <f>RIGHT('1&amp;2号构型'!C80,4)</f>
        <v>G900</v>
      </c>
    </row>
    <row r="139" spans="6:11">
      <c r="F139" t="str">
        <f>'1&amp;2号构型'!B81</f>
        <v>左外侧副翼作动器</v>
      </c>
      <c r="G139" s="2" t="b">
        <f>VLOOKUP('1&amp;2号构型'!F81,B:C,2,0)=VALUE(MID('1&amp;2号构型'!D81,6,2))</f>
        <v>1</v>
      </c>
      <c r="H139" s="3" t="str">
        <f>IF(LEN('1&amp;2号构型'!D81)=9,"TRUE","FALSE")</f>
        <v>TRUE</v>
      </c>
      <c r="I139" s="2" t="b">
        <f>VALUE(MID('1&amp;2号构型'!C81,1,2))=VALUE(MID('1&amp;2号构型'!A81,5,2))</f>
        <v>1</v>
      </c>
      <c r="J139" s="2" t="str">
        <f>IF(LEN('1&amp;2号构型'!C81)=14,"TRUE","FALSE")</f>
        <v>TRUE</v>
      </c>
      <c r="K139" s="2" t="str">
        <f>RIGHT('1&amp;2号构型'!C81,4)</f>
        <v>G900</v>
      </c>
    </row>
    <row r="140" spans="6:11">
      <c r="F140" t="str">
        <f>'1&amp;2号构型'!B82</f>
        <v>右内侧副翼作动器</v>
      </c>
      <c r="G140" s="2" t="b">
        <f>VLOOKUP('1&amp;2号构型'!F82,B:C,2,0)=VALUE(MID('1&amp;2号构型'!D82,6,2))</f>
        <v>1</v>
      </c>
      <c r="H140" s="3" t="str">
        <f>IF(LEN('1&amp;2号构型'!D82)=9,"TRUE","FALSE")</f>
        <v>TRUE</v>
      </c>
      <c r="I140" s="2" t="b">
        <f>VALUE(MID('1&amp;2号构型'!C82,1,2))=VALUE(MID('1&amp;2号构型'!A82,5,2))</f>
        <v>1</v>
      </c>
      <c r="J140" s="2" t="str">
        <f>IF(LEN('1&amp;2号构型'!C82)=14,"TRUE","FALSE")</f>
        <v>TRUE</v>
      </c>
      <c r="K140" s="2" t="str">
        <f>RIGHT('1&amp;2号构型'!C82,4)</f>
        <v>G900</v>
      </c>
    </row>
    <row r="141" spans="6:11">
      <c r="F141" t="str">
        <f>'1&amp;2号构型'!B83</f>
        <v>右外侧副翼作动器</v>
      </c>
      <c r="G141" s="2" t="b">
        <f>VLOOKUP('1&amp;2号构型'!F83,B:C,2,0)=VALUE(MID('1&amp;2号构型'!D83,6,2))</f>
        <v>1</v>
      </c>
      <c r="H141" s="3" t="str">
        <f>IF(LEN('1&amp;2号构型'!D83)=9,"TRUE","FALSE")</f>
        <v>TRUE</v>
      </c>
      <c r="I141" s="2" t="b">
        <f>VALUE(MID('1&amp;2号构型'!C83,1,2))=VALUE(MID('1&amp;2号构型'!A83,5,2))</f>
        <v>1</v>
      </c>
      <c r="J141" s="2" t="str">
        <f>IF(LEN('1&amp;2号构型'!C83)=14,"TRUE","FALSE")</f>
        <v>TRUE</v>
      </c>
      <c r="K141" s="2" t="str">
        <f>RIGHT('1&amp;2号构型'!C83,4)</f>
        <v>G900</v>
      </c>
    </row>
    <row r="142" spans="6:11">
      <c r="F142" t="str">
        <f>'1&amp;2号构型'!B84</f>
        <v>左侧杆</v>
      </c>
      <c r="G142" s="2" t="b">
        <f>VLOOKUP('1&amp;2号构型'!F84,B:C,2,0)=VALUE(MID('1&amp;2号构型'!D84,6,2))</f>
        <v>1</v>
      </c>
      <c r="H142" s="3" t="str">
        <f>IF(LEN('1&amp;2号构型'!D84)=9,"TRUE","FALSE")</f>
        <v>TRUE</v>
      </c>
      <c r="I142" s="2" t="b">
        <f>VALUE(MID('1&amp;2号构型'!C84,1,2))=VALUE(MID('1&amp;2号构型'!A84,5,2))</f>
        <v>1</v>
      </c>
      <c r="J142" s="2" t="str">
        <f>IF(LEN('1&amp;2号构型'!C84)=14,"TRUE","FALSE")</f>
        <v>TRUE</v>
      </c>
      <c r="K142" s="2" t="str">
        <f>RIGHT('1&amp;2号构型'!C84,4)</f>
        <v>G900</v>
      </c>
    </row>
    <row r="143" spans="6:11">
      <c r="F143" t="str">
        <f>'1&amp;2号构型'!B85</f>
        <v>右侧杆</v>
      </c>
      <c r="G143" s="2" t="b">
        <f>VLOOKUP('1&amp;2号构型'!F85,B:C,2,0)=VALUE(MID('1&amp;2号构型'!D85,6,2))</f>
        <v>1</v>
      </c>
      <c r="H143" s="3" t="str">
        <f>IF(LEN('1&amp;2号构型'!D85)=9,"TRUE","FALSE")</f>
        <v>TRUE</v>
      </c>
      <c r="I143" s="2" t="b">
        <f>VALUE(MID('1&amp;2号构型'!C85,1,2))=VALUE(MID('1&amp;2号构型'!A85,5,2))</f>
        <v>1</v>
      </c>
      <c r="J143" s="2" t="str">
        <f>IF(LEN('1&amp;2号构型'!C85)=14,"TRUE","FALSE")</f>
        <v>TRUE</v>
      </c>
      <c r="K143" s="2" t="str">
        <f>RIGHT('1&amp;2号构型'!C85,4)</f>
        <v>G900</v>
      </c>
    </row>
    <row r="144" spans="6:11">
      <c r="F144" t="str">
        <f>'1&amp;2号构型'!B86</f>
        <v>方向舵上侧作动器</v>
      </c>
      <c r="G144" s="2" t="b">
        <f>VLOOKUP('1&amp;2号构型'!F86,B:C,2,0)=VALUE(MID('1&amp;2号构型'!D86,6,2))</f>
        <v>1</v>
      </c>
      <c r="H144" s="3" t="str">
        <f>IF(LEN('1&amp;2号构型'!D86)=9,"TRUE","FALSE")</f>
        <v>TRUE</v>
      </c>
      <c r="I144" s="2" t="b">
        <f>VALUE(MID('1&amp;2号构型'!C86,1,2))=VALUE(MID('1&amp;2号构型'!A86,5,2))</f>
        <v>1</v>
      </c>
      <c r="J144" s="2" t="str">
        <f>IF(LEN('1&amp;2号构型'!C86)=14,"TRUE","FALSE")</f>
        <v>TRUE</v>
      </c>
      <c r="K144" s="2" t="str">
        <f>RIGHT('1&amp;2号构型'!C86,4)</f>
        <v>G900</v>
      </c>
    </row>
    <row r="145" spans="6:11">
      <c r="F145" t="str">
        <f>'1&amp;2号构型'!B87</f>
        <v>方向舵下侧作动器</v>
      </c>
      <c r="G145" s="2" t="b">
        <f>VLOOKUP('1&amp;2号构型'!F87,B:C,2,0)=VALUE(MID('1&amp;2号构型'!D87,6,2))</f>
        <v>1</v>
      </c>
      <c r="H145" s="3" t="str">
        <f>IF(LEN('1&amp;2号构型'!D87)=9,"TRUE","FALSE")</f>
        <v>TRUE</v>
      </c>
      <c r="I145" s="2" t="b">
        <f>VALUE(MID('1&amp;2号构型'!C87,1,2))=VALUE(MID('1&amp;2号构型'!A87,5,2))</f>
        <v>1</v>
      </c>
      <c r="J145" s="2" t="str">
        <f>IF(LEN('1&amp;2号构型'!C87)=14,"TRUE","FALSE")</f>
        <v>TRUE</v>
      </c>
      <c r="K145" s="2" t="str">
        <f>RIGHT('1&amp;2号构型'!C87,4)</f>
        <v>G900</v>
      </c>
    </row>
    <row r="146" spans="6:11">
      <c r="F146" t="str">
        <f>'1&amp;2号构型'!B88</f>
        <v>脚蹬单元</v>
      </c>
      <c r="G146" s="2" t="b">
        <f>VLOOKUP('1&amp;2号构型'!F88,B:C,2,0)=VALUE(MID('1&amp;2号构型'!D88,6,2))</f>
        <v>1</v>
      </c>
      <c r="H146" s="3" t="str">
        <f>IF(LEN('1&amp;2号构型'!D88)=9,"TRUE","FALSE")</f>
        <v>TRUE</v>
      </c>
      <c r="I146" s="2" t="b">
        <f>VALUE(MID('1&amp;2号构型'!C88,1,2))=VALUE(MID('1&amp;2号构型'!A88,5,2))</f>
        <v>1</v>
      </c>
      <c r="J146" s="2" t="str">
        <f>IF(LEN('1&amp;2号构型'!C88)=14,"TRUE","FALSE")</f>
        <v>TRUE</v>
      </c>
      <c r="K146" s="2" t="str">
        <f>RIGHT('1&amp;2号构型'!C88,4)</f>
        <v>G900</v>
      </c>
    </row>
    <row r="147" spans="6:11">
      <c r="F147" t="str">
        <f>'1&amp;2号构型'!B89</f>
        <v>左升降舵内侧作动器</v>
      </c>
      <c r="G147" s="2" t="b">
        <f>VLOOKUP('1&amp;2号构型'!F89,B:C,2,0)=VALUE(MID('1&amp;2号构型'!D89,6,2))</f>
        <v>1</v>
      </c>
      <c r="H147" s="3" t="str">
        <f>IF(LEN('1&amp;2号构型'!D89)=9,"TRUE","FALSE")</f>
        <v>TRUE</v>
      </c>
      <c r="I147" s="2" t="b">
        <f>VALUE(MID('1&amp;2号构型'!C89,1,2))=VALUE(MID('1&amp;2号构型'!A89,5,2))</f>
        <v>1</v>
      </c>
      <c r="J147" s="2" t="str">
        <f>IF(LEN('1&amp;2号构型'!C89)=14,"TRUE","FALSE")</f>
        <v>TRUE</v>
      </c>
      <c r="K147" s="2" t="str">
        <f>RIGHT('1&amp;2号构型'!C89,4)</f>
        <v>G900</v>
      </c>
    </row>
    <row r="148" spans="6:11">
      <c r="F148" t="str">
        <f>'1&amp;2号构型'!B90</f>
        <v>左升降舵外侧作动器</v>
      </c>
      <c r="G148" s="2" t="b">
        <f>VLOOKUP('1&amp;2号构型'!F90,B:C,2,0)=VALUE(MID('1&amp;2号构型'!D90,6,2))</f>
        <v>1</v>
      </c>
      <c r="H148" s="3" t="str">
        <f>IF(LEN('1&amp;2号构型'!D90)=9,"TRUE","FALSE")</f>
        <v>TRUE</v>
      </c>
      <c r="I148" s="2" t="b">
        <f>VALUE(MID('1&amp;2号构型'!C90,1,2))=VALUE(MID('1&amp;2号构型'!A90,5,2))</f>
        <v>1</v>
      </c>
      <c r="J148" s="2" t="str">
        <f>IF(LEN('1&amp;2号构型'!C90)=14,"TRUE","FALSE")</f>
        <v>TRUE</v>
      </c>
      <c r="K148" s="2" t="str">
        <f>RIGHT('1&amp;2号构型'!C90,4)</f>
        <v>G900</v>
      </c>
    </row>
    <row r="149" spans="6:11">
      <c r="F149" t="str">
        <f>'1&amp;2号构型'!B91</f>
        <v>右升降舵内侧作动器</v>
      </c>
      <c r="G149" s="2" t="b">
        <f>VLOOKUP('1&amp;2号构型'!F91,B:C,2,0)=VALUE(MID('1&amp;2号构型'!D91,6,2))</f>
        <v>1</v>
      </c>
      <c r="H149" s="3" t="str">
        <f>IF(LEN('1&amp;2号构型'!D91)=9,"TRUE","FALSE")</f>
        <v>TRUE</v>
      </c>
      <c r="I149" s="2" t="b">
        <f>VALUE(MID('1&amp;2号构型'!C91,1,2))=VALUE(MID('1&amp;2号构型'!A91,5,2))</f>
        <v>1</v>
      </c>
      <c r="J149" s="2" t="str">
        <f>IF(LEN('1&amp;2号构型'!C91)=14,"TRUE","FALSE")</f>
        <v>TRUE</v>
      </c>
      <c r="K149" s="2" t="str">
        <f>RIGHT('1&amp;2号构型'!C91,4)</f>
        <v>G900</v>
      </c>
    </row>
    <row r="150" spans="6:11">
      <c r="F150" t="str">
        <f>'1&amp;2号构型'!B92</f>
        <v>右升降舵外侧作动器</v>
      </c>
      <c r="G150" s="2" t="b">
        <f>VLOOKUP('1&amp;2号构型'!F92,B:C,2,0)=VALUE(MID('1&amp;2号构型'!D92,6,2))</f>
        <v>1</v>
      </c>
      <c r="H150" s="3" t="str">
        <f>IF(LEN('1&amp;2号构型'!D92)=9,"TRUE","FALSE")</f>
        <v>TRUE</v>
      </c>
      <c r="I150" s="2" t="b">
        <f>VALUE(MID('1&amp;2号构型'!C92,1,2))=VALUE(MID('1&amp;2号构型'!A92,5,2))</f>
        <v>1</v>
      </c>
      <c r="J150" s="2" t="str">
        <f>IF(LEN('1&amp;2号构型'!C92)=14,"TRUE","FALSE")</f>
        <v>TRUE</v>
      </c>
      <c r="K150" s="2" t="str">
        <f>RIGHT('1&amp;2号构型'!C92,4)</f>
        <v>G900</v>
      </c>
    </row>
    <row r="151" spans="6:11">
      <c r="F151" t="str">
        <f>'1&amp;2号构型'!B93</f>
        <v>左内襟翼作动器</v>
      </c>
      <c r="G151" s="2" t="b">
        <f>VLOOKUP('1&amp;2号构型'!F93,B:C,2,0)=VALUE(MID('1&amp;2号构型'!D93,6,2))</f>
        <v>1</v>
      </c>
      <c r="H151" s="3" t="str">
        <f>IF(LEN('1&amp;2号构型'!D93)=9,"TRUE","FALSE")</f>
        <v>TRUE</v>
      </c>
      <c r="I151" s="2" t="b">
        <f>VALUE(MID('1&amp;2号构型'!C93,1,2))=VALUE(MID('1&amp;2号构型'!A93,5,2))</f>
        <v>1</v>
      </c>
      <c r="J151" s="2" t="str">
        <f>IF(LEN('1&amp;2号构型'!C93)=14,"TRUE","FALSE")</f>
        <v>TRUE</v>
      </c>
      <c r="K151" s="2" t="str">
        <f>RIGHT('1&amp;2号构型'!C93,4)</f>
        <v>G900</v>
      </c>
    </row>
    <row r="152" spans="6:11">
      <c r="F152" t="str">
        <f>'1&amp;2号构型'!B94</f>
        <v>右内襟翼作动器</v>
      </c>
      <c r="G152" s="2" t="b">
        <f>VLOOKUP('1&amp;2号构型'!F94,B:C,2,0)=VALUE(MID('1&amp;2号构型'!D94,6,2))</f>
        <v>1</v>
      </c>
      <c r="H152" s="3" t="str">
        <f>IF(LEN('1&amp;2号构型'!D94)=9,"TRUE","FALSE")</f>
        <v>TRUE</v>
      </c>
      <c r="I152" s="2" t="b">
        <f>VALUE(MID('1&amp;2号构型'!C94,1,2))=VALUE(MID('1&amp;2号构型'!A94,5,2))</f>
        <v>1</v>
      </c>
      <c r="J152" s="2" t="str">
        <f>IF(LEN('1&amp;2号构型'!C94)=14,"TRUE","FALSE")</f>
        <v>TRUE</v>
      </c>
      <c r="K152" s="2" t="str">
        <f>RIGHT('1&amp;2号构型'!C94,4)</f>
        <v>G900</v>
      </c>
    </row>
    <row r="153" spans="6:11">
      <c r="F153" t="str">
        <f>'1&amp;2号构型'!B95</f>
        <v>左外襟翼作动器</v>
      </c>
      <c r="G153" s="2" t="b">
        <f>VLOOKUP('1&amp;2号构型'!F95,B:C,2,0)=VALUE(MID('1&amp;2号构型'!D95,6,2))</f>
        <v>1</v>
      </c>
      <c r="H153" s="3" t="str">
        <f>IF(LEN('1&amp;2号构型'!D95)=9,"TRUE","FALSE")</f>
        <v>TRUE</v>
      </c>
      <c r="I153" s="2" t="b">
        <f>VALUE(MID('1&amp;2号构型'!C95,1,2))=VALUE(MID('1&amp;2号构型'!A95,5,2))</f>
        <v>1</v>
      </c>
      <c r="J153" s="2" t="str">
        <f>IF(LEN('1&amp;2号构型'!C95)=14,"TRUE","FALSE")</f>
        <v>TRUE</v>
      </c>
      <c r="K153" s="2" t="str">
        <f>RIGHT('1&amp;2号构型'!C95,4)</f>
        <v>G900</v>
      </c>
    </row>
    <row r="154" spans="6:11">
      <c r="F154" t="str">
        <f>'1&amp;2号构型'!B96</f>
        <v>右外襟翼作动器</v>
      </c>
      <c r="G154" s="2" t="b">
        <f>VLOOKUP('1&amp;2号构型'!F96,B:C,2,0)=VALUE(MID('1&amp;2号构型'!D96,6,2))</f>
        <v>1</v>
      </c>
      <c r="H154" s="3" t="str">
        <f>IF(LEN('1&amp;2号构型'!D96)=9,"TRUE","FALSE")</f>
        <v>TRUE</v>
      </c>
      <c r="I154" s="2" t="b">
        <f>VALUE(MID('1&amp;2号构型'!C96,1,2))=VALUE(MID('1&amp;2号构型'!A96,5,2))</f>
        <v>1</v>
      </c>
      <c r="J154" s="2" t="str">
        <f>IF(LEN('1&amp;2号构型'!C96)=14,"TRUE","FALSE")</f>
        <v>TRUE</v>
      </c>
      <c r="K154" s="2" t="str">
        <f>RIGHT('1&amp;2号构型'!C96,4)</f>
        <v>G900</v>
      </c>
    </row>
    <row r="155" spans="6:11">
      <c r="F155" t="str">
        <f>'1&amp;2号构型'!B97</f>
        <v>主飞控计算机1</v>
      </c>
      <c r="G155" s="2" t="b">
        <f>VLOOKUP('1&amp;2号构型'!F97,B:C,2,0)=VALUE(MID('1&amp;2号构型'!D97,6,2))</f>
        <v>1</v>
      </c>
      <c r="H155" s="3" t="str">
        <f>IF(LEN('1&amp;2号构型'!D97)=9,"TRUE","FALSE")</f>
        <v>TRUE</v>
      </c>
      <c r="I155" s="2" t="b">
        <f>VALUE(MID('1&amp;2号构型'!C97,1,2))=VALUE(MID('1&amp;2号构型'!A97,5,2))</f>
        <v>1</v>
      </c>
      <c r="J155" s="2" t="str">
        <f>IF(LEN('1&amp;2号构型'!C97)=14,"TRUE","FALSE")</f>
        <v>TRUE</v>
      </c>
      <c r="K155" s="2" t="str">
        <f>RIGHT('1&amp;2号构型'!C97,4)</f>
        <v>G900</v>
      </c>
    </row>
    <row r="156" spans="6:11">
      <c r="F156" t="str">
        <f>'1&amp;2号构型'!B98</f>
        <v>主飞控计算机2</v>
      </c>
      <c r="G156" s="2" t="b">
        <f>VLOOKUP('1&amp;2号构型'!F98,B:C,2,0)=VALUE(MID('1&amp;2号构型'!D98,6,2))</f>
        <v>1</v>
      </c>
      <c r="H156" s="3" t="str">
        <f>IF(LEN('1&amp;2号构型'!D98)=9,"TRUE","FALSE")</f>
        <v>TRUE</v>
      </c>
      <c r="I156" s="2" t="b">
        <f>VALUE(MID('1&amp;2号构型'!C98,1,2))=VALUE(MID('1&amp;2号构型'!A98,5,2))</f>
        <v>1</v>
      </c>
      <c r="J156" s="2" t="str">
        <f>IF(LEN('1&amp;2号构型'!C98)=14,"TRUE","FALSE")</f>
        <v>TRUE</v>
      </c>
      <c r="K156" s="2" t="str">
        <f>RIGHT('1&amp;2号构型'!C98,4)</f>
        <v>G900</v>
      </c>
    </row>
    <row r="157" spans="6:11">
      <c r="F157" t="str">
        <f>'1&amp;2号构型'!B99</f>
        <v>主飞控计算机3</v>
      </c>
      <c r="G157" s="2" t="b">
        <f>VLOOKUP('1&amp;2号构型'!F99,B:C,2,0)=VALUE(MID('1&amp;2号构型'!D99,6,2))</f>
        <v>1</v>
      </c>
      <c r="H157" s="3" t="str">
        <f>IF(LEN('1&amp;2号构型'!D99)=9,"TRUE","FALSE")</f>
        <v>TRUE</v>
      </c>
      <c r="I157" s="2" t="b">
        <f>VALUE(MID('1&amp;2号构型'!C99,1,2))=VALUE(MID('1&amp;2号构型'!A99,5,2))</f>
        <v>1</v>
      </c>
      <c r="J157" s="2" t="str">
        <f>IF(LEN('1&amp;2号构型'!C99)=14,"TRUE","FALSE")</f>
        <v>TRUE</v>
      </c>
      <c r="K157" s="2" t="str">
        <f>RIGHT('1&amp;2号构型'!C99,4)</f>
        <v>G900</v>
      </c>
    </row>
    <row r="158" spans="6:11">
      <c r="F158" t="str">
        <f>'1&amp;2号构型'!B100</f>
        <v>备份飞控计算机</v>
      </c>
      <c r="G158" s="2" t="b">
        <f>VLOOKUP('1&amp;2号构型'!F100,B:C,2,0)=VALUE(MID('1&amp;2号构型'!D100,6,2))</f>
        <v>1</v>
      </c>
      <c r="H158" s="3" t="str">
        <f>IF(LEN('1&amp;2号构型'!D100)=9,"TRUE","FALSE")</f>
        <v>TRUE</v>
      </c>
      <c r="I158" s="2" t="b">
        <f>VALUE(MID('1&amp;2号构型'!C100,1,2))=VALUE(MID('1&amp;2号构型'!A100,5,2))</f>
        <v>1</v>
      </c>
      <c r="J158" s="2" t="str">
        <f>IF(LEN('1&amp;2号构型'!C100)=14,"TRUE","FALSE")</f>
        <v>TRUE</v>
      </c>
      <c r="K158" s="2" t="str">
        <f>RIGHT('1&amp;2号构型'!C100,4)</f>
        <v>G900</v>
      </c>
    </row>
    <row r="159" spans="6:11">
      <c r="F159" t="str">
        <f>'1&amp;2号构型'!B101</f>
        <v>飞控数据记录器1</v>
      </c>
      <c r="G159" s="2" t="b">
        <f>VLOOKUP('1&amp;2号构型'!F101,B:C,2,0)=VALUE(MID('1&amp;2号构型'!D101,6,2))</f>
        <v>0</v>
      </c>
      <c r="H159" s="3" t="str">
        <f>IF(LEN('1&amp;2号构型'!D101)=9,"TRUE","FALSE")</f>
        <v>TRUE</v>
      </c>
      <c r="I159" s="2" t="b">
        <f>VALUE(MID('1&amp;2号构型'!C101,1,2))=VALUE(MID('1&amp;2号构型'!A101,5,2))</f>
        <v>1</v>
      </c>
      <c r="J159" s="2" t="str">
        <f>IF(LEN('1&amp;2号构型'!C101)=14,"TRUE","FALSE")</f>
        <v>TRUE</v>
      </c>
      <c r="K159" s="2" t="str">
        <f>RIGHT('1&amp;2号构型'!C101,4)</f>
        <v>U900</v>
      </c>
    </row>
    <row r="160" spans="6:11">
      <c r="F160" t="str">
        <f>'1&amp;2号构型'!B102</f>
        <v>飞控数据记录器2</v>
      </c>
      <c r="G160" s="2" t="b">
        <f>VLOOKUP('1&amp;2号构型'!F102,B:C,2,0)=VALUE(MID('1&amp;2号构型'!D102,6,2))</f>
        <v>1</v>
      </c>
      <c r="H160" s="3" t="str">
        <f>IF(LEN('1&amp;2号构型'!D102)=9,"TRUE","FALSE")</f>
        <v>TRUE</v>
      </c>
      <c r="I160" s="2" t="b">
        <f>VALUE(MID('1&amp;2号构型'!C102,1,2))=VALUE(MID('1&amp;2号构型'!A102,5,2))</f>
        <v>1</v>
      </c>
      <c r="J160" s="2" t="str">
        <f>IF(LEN('1&amp;2号构型'!C102)=14,"TRUE","FALSE")</f>
        <v>TRUE</v>
      </c>
      <c r="K160" s="2" t="str">
        <f>RIGHT('1&amp;2号构型'!C102,4)</f>
        <v>U900</v>
      </c>
    </row>
    <row r="161" spans="6:11">
      <c r="F161" t="str">
        <f>'1&amp;2号构型'!B103</f>
        <v>马达控制电子1</v>
      </c>
      <c r="G161" s="2" t="b">
        <f>VLOOKUP('1&amp;2号构型'!F103,B:C,2,0)=VALUE(MID('1&amp;2号构型'!D103,6,2))</f>
        <v>0</v>
      </c>
      <c r="H161" s="3" t="str">
        <f>IF(LEN('1&amp;2号构型'!D103)=9,"TRUE","FALSE")</f>
        <v>TRUE</v>
      </c>
      <c r="I161" s="2" t="b">
        <f>VALUE(MID('1&amp;2号构型'!C103,1,2))=VALUE(MID('1&amp;2号构型'!A103,5,2))</f>
        <v>1</v>
      </c>
      <c r="J161" s="2" t="str">
        <f>IF(LEN('1&amp;2号构型'!C103)=14,"TRUE","FALSE")</f>
        <v>TRUE</v>
      </c>
      <c r="K161" s="2" t="str">
        <f>RIGHT('1&amp;2号构型'!C103,4)</f>
        <v>G900</v>
      </c>
    </row>
    <row r="162" spans="6:11">
      <c r="F162" t="str">
        <f>'1&amp;2号构型'!B104</f>
        <v>马达控制电子2</v>
      </c>
      <c r="G162" s="2" t="b">
        <f>VLOOKUP('1&amp;2号构型'!F104,B:C,2,0)=VALUE(MID('1&amp;2号构型'!D104,6,2))</f>
        <v>1</v>
      </c>
      <c r="H162" s="3" t="str">
        <f>IF(LEN('1&amp;2号构型'!D104)=9,"TRUE","FALSE")</f>
        <v>TRUE</v>
      </c>
      <c r="I162" s="2" t="b">
        <f>VALUE(MID('1&amp;2号构型'!C104,1,2))=VALUE(MID('1&amp;2号构型'!A104,5,2))</f>
        <v>1</v>
      </c>
      <c r="J162" s="2" t="str">
        <f>IF(LEN('1&amp;2号构型'!C104)=14,"TRUE","FALSE")</f>
        <v>TRUE</v>
      </c>
      <c r="K162" s="2" t="str">
        <f>RIGHT('1&amp;2号构型'!C104,4)</f>
        <v>G900</v>
      </c>
    </row>
    <row r="163" spans="6:11">
      <c r="F163" t="str">
        <f>'1&amp;2号构型'!B105</f>
        <v>马达控制电子3</v>
      </c>
      <c r="G163" s="2" t="b">
        <f>VLOOKUP('1&amp;2号构型'!F105,B:C,2,0)=VALUE(MID('1&amp;2号构型'!D105,6,2))</f>
        <v>1</v>
      </c>
      <c r="H163" s="3" t="str">
        <f>IF(LEN('1&amp;2号构型'!D105)=9,"TRUE","FALSE")</f>
        <v>TRUE</v>
      </c>
      <c r="I163" s="2" t="b">
        <f>VALUE(MID('1&amp;2号构型'!C105,1,2))=VALUE(MID('1&amp;2号构型'!A105,5,2))</f>
        <v>1</v>
      </c>
      <c r="J163" s="2" t="str">
        <f>IF(LEN('1&amp;2号构型'!C105)=14,"TRUE","FALSE")</f>
        <v>TRUE</v>
      </c>
      <c r="K163" s="2" t="str">
        <f>RIGHT('1&amp;2号构型'!C105,4)</f>
        <v>G900</v>
      </c>
    </row>
    <row r="164" spans="6:11">
      <c r="F164" t="str">
        <f>'1&amp;2号构型'!B106</f>
        <v>马达控制电子4</v>
      </c>
      <c r="G164" s="2" t="b">
        <f>VLOOKUP('1&amp;2号构型'!F106,B:C,2,0)=VALUE(MID('1&amp;2号构型'!D106,6,2))</f>
        <v>1</v>
      </c>
      <c r="H164" s="3" t="str">
        <f>IF(LEN('1&amp;2号构型'!D106)=9,"TRUE","FALSE")</f>
        <v>TRUE</v>
      </c>
      <c r="I164" s="2" t="b">
        <f>VALUE(MID('1&amp;2号构型'!C106,1,2))=VALUE(MID('1&amp;2号构型'!A106,5,2))</f>
        <v>1</v>
      </c>
      <c r="J164" s="2" t="str">
        <f>IF(LEN('1&amp;2号构型'!C106)=14,"TRUE","FALSE")</f>
        <v>TRUE</v>
      </c>
      <c r="K164" s="2" t="str">
        <f>RIGHT('1&amp;2号构型'!C106,4)</f>
        <v>G900</v>
      </c>
    </row>
    <row r="165" spans="6:11">
      <c r="F165" t="str">
        <f>'1&amp;2号构型'!B107</f>
        <v>马达控制电子5</v>
      </c>
      <c r="G165" s="2" t="b">
        <f>VLOOKUP('1&amp;2号构型'!F107,B:C,2,0)=VALUE(MID('1&amp;2号构型'!D107,6,2))</f>
        <v>1</v>
      </c>
      <c r="H165" s="3" t="str">
        <f>IF(LEN('1&amp;2号构型'!D107)=9,"TRUE","FALSE")</f>
        <v>TRUE</v>
      </c>
      <c r="I165" s="2" t="b">
        <f>VALUE(MID('1&amp;2号构型'!C107,1,2))=VALUE(MID('1&amp;2号构型'!A107,5,2))</f>
        <v>1</v>
      </c>
      <c r="J165" s="2" t="str">
        <f>IF(LEN('1&amp;2号构型'!C107)=14,"TRUE","FALSE")</f>
        <v>TRUE</v>
      </c>
      <c r="K165" s="2" t="str">
        <f>RIGHT('1&amp;2号构型'!C107,4)</f>
        <v>G900</v>
      </c>
    </row>
    <row r="166" spans="6:11">
      <c r="F166" t="str">
        <f>'1&amp;2号构型'!B108</f>
        <v>马达控制电子6</v>
      </c>
      <c r="G166" s="2" t="b">
        <f>VLOOKUP('1&amp;2号构型'!F108,B:C,2,0)=VALUE(MID('1&amp;2号构型'!D108,6,2))</f>
        <v>0</v>
      </c>
      <c r="H166" s="3" t="str">
        <f>IF(LEN('1&amp;2号构型'!D108)=9,"TRUE","FALSE")</f>
        <v>TRUE</v>
      </c>
      <c r="I166" s="2" t="b">
        <f>VALUE(MID('1&amp;2号构型'!C108,1,2))=VALUE(MID('1&amp;2号构型'!A108,5,2))</f>
        <v>1</v>
      </c>
      <c r="J166" s="2" t="str">
        <f>IF(LEN('1&amp;2号构型'!C108)=14,"TRUE","FALSE")</f>
        <v>TRUE</v>
      </c>
      <c r="K166" s="2" t="str">
        <f>RIGHT('1&amp;2号构型'!C108,4)</f>
        <v>G900</v>
      </c>
    </row>
    <row r="167" spans="6:11">
      <c r="F167" t="str">
        <f>'1&amp;2号构型'!B109</f>
        <v>马达控制电子7</v>
      </c>
      <c r="G167" s="2" t="b">
        <f>VLOOKUP('1&amp;2号构型'!F109,B:C,2,0)=VALUE(MID('1&amp;2号构型'!D109,6,2))</f>
        <v>0</v>
      </c>
      <c r="H167" s="3" t="str">
        <f>IF(LEN('1&amp;2号构型'!D109)=9,"TRUE","FALSE")</f>
        <v>TRUE</v>
      </c>
      <c r="I167" s="2" t="b">
        <f>VALUE(MID('1&amp;2号构型'!C109,1,2))=VALUE(MID('1&amp;2号构型'!A109,5,2))</f>
        <v>1</v>
      </c>
      <c r="J167" s="2" t="str">
        <f>IF(LEN('1&amp;2号构型'!C109)=14,"TRUE","FALSE")</f>
        <v>TRUE</v>
      </c>
      <c r="K167" s="2" t="str">
        <f>RIGHT('1&amp;2号构型'!C109,4)</f>
        <v>G900</v>
      </c>
    </row>
    <row r="168" spans="6:11">
      <c r="F168" t="str">
        <f>'1&amp;2号构型'!B110</f>
        <v>马达控制电子8</v>
      </c>
      <c r="G168" s="2" t="b">
        <f>VLOOKUP('1&amp;2号构型'!F110,B:C,2,0)=VALUE(MID('1&amp;2号构型'!D110,6,2))</f>
        <v>0</v>
      </c>
      <c r="H168" s="3" t="str">
        <f>IF(LEN('1&amp;2号构型'!D110)=9,"TRUE","FALSE")</f>
        <v>TRUE</v>
      </c>
      <c r="I168" s="2" t="b">
        <f>VALUE(MID('1&amp;2号构型'!C110,1,2))=VALUE(MID('1&amp;2号构型'!A110,5,2))</f>
        <v>1</v>
      </c>
      <c r="J168" s="2" t="str">
        <f>IF(LEN('1&amp;2号构型'!C110)=14,"TRUE","FALSE")</f>
        <v>TRUE</v>
      </c>
      <c r="K168" s="2" t="str">
        <f>RIGHT('1&amp;2号构型'!C110,4)</f>
        <v>G900</v>
      </c>
    </row>
    <row r="169" spans="6:11">
      <c r="F169" t="str">
        <f>'1&amp;2号构型'!B111</f>
        <v>位置传感器6</v>
      </c>
      <c r="G169" s="2" t="b">
        <f>VLOOKUP('1&amp;2号构型'!F111,B:C,2,0)=VALUE(MID('1&amp;2号构型'!D111,6,2))</f>
        <v>1</v>
      </c>
      <c r="H169" s="3" t="str">
        <f>IF(LEN('1&amp;2号构型'!D111)=9,"TRUE","FALSE")</f>
        <v>TRUE</v>
      </c>
      <c r="I169" s="2" t="b">
        <f>VALUE(MID('1&amp;2号构型'!C111,1,2))=VALUE(MID('1&amp;2号构型'!A111,5,2))</f>
        <v>1</v>
      </c>
      <c r="J169" s="2" t="str">
        <f>IF(LEN('1&amp;2号构型'!C111)=14,"TRUE","FALSE")</f>
        <v>TRUE</v>
      </c>
      <c r="K169" s="2" t="str">
        <f>RIGHT('1&amp;2号构型'!C111,4)</f>
        <v>G900</v>
      </c>
    </row>
    <row r="170" spans="6:11">
      <c r="F170" t="str">
        <f>'1&amp;2号构型'!B112</f>
        <v>位置传感器1</v>
      </c>
      <c r="G170" s="2" t="b">
        <f>VLOOKUP('1&amp;2号构型'!F112,B:C,2,0)=VALUE(MID('1&amp;2号构型'!D112,6,2))</f>
        <v>1</v>
      </c>
      <c r="H170" s="3" t="str">
        <f>IF(LEN('1&amp;2号构型'!D112)=9,"TRUE","FALSE")</f>
        <v>TRUE</v>
      </c>
      <c r="I170" s="2" t="b">
        <f>VALUE(MID('1&amp;2号构型'!C112,1,2))=VALUE(MID('1&amp;2号构型'!A112,5,2))</f>
        <v>1</v>
      </c>
      <c r="J170" s="2" t="str">
        <f>IF(LEN('1&amp;2号构型'!C112)=14,"TRUE","FALSE")</f>
        <v>TRUE</v>
      </c>
      <c r="K170" s="2" t="str">
        <f>RIGHT('1&amp;2号构型'!C112,4)</f>
        <v>G900</v>
      </c>
    </row>
    <row r="171" spans="6:11">
      <c r="F171" t="str">
        <f>'1&amp;2号构型'!B113</f>
        <v>位置传感器3</v>
      </c>
      <c r="G171" s="2" t="b">
        <f>VLOOKUP('1&amp;2号构型'!F113,B:C,2,0)=VALUE(MID('1&amp;2号构型'!D113,6,2))</f>
        <v>1</v>
      </c>
      <c r="H171" s="3" t="str">
        <f>IF(LEN('1&amp;2号构型'!D113)=9,"TRUE","FALSE")</f>
        <v>TRUE</v>
      </c>
      <c r="I171" s="2" t="b">
        <f>VALUE(MID('1&amp;2号构型'!C113,1,2))=VALUE(MID('1&amp;2号构型'!A113,5,2))</f>
        <v>1</v>
      </c>
      <c r="J171" s="2" t="str">
        <f>IF(LEN('1&amp;2号构型'!C113)=14,"TRUE","FALSE")</f>
        <v>TRUE</v>
      </c>
      <c r="K171" s="2" t="str">
        <f>RIGHT('1&amp;2号构型'!C113,4)</f>
        <v>G900</v>
      </c>
    </row>
    <row r="172" spans="6:11">
      <c r="F172" t="str">
        <f>'1&amp;2号构型'!B114</f>
        <v>位置传感器4</v>
      </c>
      <c r="G172" s="2" t="b">
        <f>VLOOKUP('1&amp;2号构型'!F114,B:C,2,0)=VALUE(MID('1&amp;2号构型'!D114,6,2))</f>
        <v>1</v>
      </c>
      <c r="H172" s="3" t="str">
        <f>IF(LEN('1&amp;2号构型'!D114)=9,"TRUE","FALSE")</f>
        <v>TRUE</v>
      </c>
      <c r="I172" s="2" t="b">
        <f>VALUE(MID('1&amp;2号构型'!C114,1,2))=VALUE(MID('1&amp;2号构型'!A114,5,2))</f>
        <v>1</v>
      </c>
      <c r="J172" s="2" t="str">
        <f>IF(LEN('1&amp;2号构型'!C114)=14,"TRUE","FALSE")</f>
        <v>TRUE</v>
      </c>
      <c r="K172" s="2" t="str">
        <f>RIGHT('1&amp;2号构型'!C114,4)</f>
        <v>G900</v>
      </c>
    </row>
    <row r="173" spans="6:11">
      <c r="F173" t="str">
        <f>'1&amp;2号构型'!B115</f>
        <v>位置传感器5</v>
      </c>
      <c r="G173" s="2" t="b">
        <f>VLOOKUP('1&amp;2号构型'!F115,B:C,2,0)=VALUE(MID('1&amp;2号构型'!D115,6,2))</f>
        <v>1</v>
      </c>
      <c r="H173" s="3" t="str">
        <f>IF(LEN('1&amp;2号构型'!D115)=9,"TRUE","FALSE")</f>
        <v>TRUE</v>
      </c>
      <c r="I173" s="2" t="b">
        <f>VALUE(MID('1&amp;2号构型'!C115,1,2))=VALUE(MID('1&amp;2号构型'!A115,5,2))</f>
        <v>1</v>
      </c>
      <c r="J173" s="2" t="str">
        <f>IF(LEN('1&amp;2号构型'!C115)=14,"TRUE","FALSE")</f>
        <v>TRUE</v>
      </c>
      <c r="K173" s="2" t="str">
        <f>RIGHT('1&amp;2号构型'!C115,4)</f>
        <v>G900</v>
      </c>
    </row>
    <row r="174" spans="6:11">
      <c r="F174" t="str">
        <f>'1&amp;2号构型'!B116</f>
        <v>位置传感器2</v>
      </c>
      <c r="G174" s="2" t="b">
        <f>VLOOKUP('1&amp;2号构型'!F116,B:C,2,0)=VALUE(MID('1&amp;2号构型'!D116,6,2))</f>
        <v>1</v>
      </c>
      <c r="H174" s="3" t="str">
        <f>IF(LEN('1&amp;2号构型'!D116)=9,"TRUE","FALSE")</f>
        <v>TRUE</v>
      </c>
      <c r="I174" s="2" t="b">
        <f>VALUE(MID('1&amp;2号构型'!C116,1,2))=VALUE(MID('1&amp;2号构型'!A116,5,2))</f>
        <v>1</v>
      </c>
      <c r="J174" s="2" t="str">
        <f>IF(LEN('1&amp;2号构型'!C116)=14,"TRUE","FALSE")</f>
        <v>TRUE</v>
      </c>
      <c r="K174" s="2" t="str">
        <f>RIGHT('1&amp;2号构型'!C116,4)</f>
        <v>G900</v>
      </c>
    </row>
    <row r="175" spans="6:11">
      <c r="F175" t="str">
        <f>'1&amp;2号构型'!B117</f>
        <v>位置传感器7</v>
      </c>
      <c r="G175" s="2" t="b">
        <f>VLOOKUP('1&amp;2号构型'!F117,B:C,2,0)=VALUE(MID('1&amp;2号构型'!D117,6,2))</f>
        <v>1</v>
      </c>
      <c r="H175" s="3" t="str">
        <f>IF(LEN('1&amp;2号构型'!D117)=9,"TRUE","FALSE")</f>
        <v>TRUE</v>
      </c>
      <c r="I175" s="2" t="b">
        <f>VALUE(MID('1&amp;2号构型'!C117,1,2))=VALUE(MID('1&amp;2号构型'!A117,5,2))</f>
        <v>1</v>
      </c>
      <c r="J175" s="2" t="str">
        <f>IF(LEN('1&amp;2号构型'!C117)=14,"TRUE","FALSE")</f>
        <v>TRUE</v>
      </c>
      <c r="K175" s="2" t="str">
        <f>RIGHT('1&amp;2号构型'!C117,4)</f>
        <v>G900</v>
      </c>
    </row>
    <row r="176" spans="6:11">
      <c r="F176" t="str">
        <f>'1&amp;2号构型'!B118</f>
        <v>位置传感器8</v>
      </c>
      <c r="G176" s="2" t="b">
        <f>VLOOKUP('1&amp;2号构型'!F118,B:C,2,0)=VALUE(MID('1&amp;2号构型'!D118,6,2))</f>
        <v>1</v>
      </c>
      <c r="H176" s="3" t="str">
        <f>IF(LEN('1&amp;2号构型'!D118)=9,"TRUE","FALSE")</f>
        <v>TRUE</v>
      </c>
      <c r="I176" s="2" t="b">
        <f>VALUE(MID('1&amp;2号构型'!C118,1,2))=VALUE(MID('1&amp;2号构型'!A118,5,2))</f>
        <v>1</v>
      </c>
      <c r="J176" s="2" t="str">
        <f>IF(LEN('1&amp;2号构型'!C118)=14,"TRUE","FALSE")</f>
        <v>TRUE</v>
      </c>
      <c r="K176" s="2" t="str">
        <f>RIGHT('1&amp;2号构型'!C118,4)</f>
        <v>G900</v>
      </c>
    </row>
    <row r="177" spans="6:11">
      <c r="F177" t="str">
        <f>'1&amp;2号构型'!B119</f>
        <v>直接模式速率传感器（DMRS）</v>
      </c>
      <c r="G177" s="2" t="b">
        <f>VLOOKUP('1&amp;2号构型'!F119,B:C,2,0)=VALUE(MID('1&amp;2号构型'!D119,6,2))</f>
        <v>1</v>
      </c>
      <c r="H177" s="3" t="str">
        <f>IF(LEN('1&amp;2号构型'!D119)=9,"TRUE","FALSE")</f>
        <v>TRUE</v>
      </c>
      <c r="I177" s="2" t="b">
        <f>VALUE(MID('1&amp;2号构型'!C119,1,2))=VALUE(MID('1&amp;2号构型'!A119,5,2))</f>
        <v>1</v>
      </c>
      <c r="J177" s="2" t="str">
        <f>IF(LEN('1&amp;2号构型'!C119)=14,"TRUE","FALSE")</f>
        <v>TRUE</v>
      </c>
      <c r="K177" s="2" t="str">
        <f>RIGHT('1&amp;2号构型'!C119,4)</f>
        <v>G900</v>
      </c>
    </row>
    <row r="178" spans="6:11">
      <c r="F178" t="e">
        <f>'1&amp;2号构型'!#REF!</f>
        <v>#REF!</v>
      </c>
      <c r="G178" s="2" t="e">
        <f>VLOOKUP('1&amp;2号构型'!#REF!,B:C,2,0)=VALUE(MID('1&amp;2号构型'!#REF!,6,2))</f>
        <v>#REF!</v>
      </c>
      <c r="H178" s="3" t="e">
        <f>IF(LEN('1&amp;2号构型'!#REF!)=9,"TRUE","FALSE")</f>
        <v>#REF!</v>
      </c>
      <c r="I178" s="2" t="e">
        <f>VALUE(MID('1&amp;2号构型'!#REF!,1,2))=VALUE(MID('1&amp;2号构型'!#REF!,5,2))</f>
        <v>#REF!</v>
      </c>
      <c r="J178" s="2" t="e">
        <f>IF(LEN('1&amp;2号构型'!#REF!)=14,"TRUE","FALSE")</f>
        <v>#REF!</v>
      </c>
      <c r="K178" s="2" t="e">
        <f>RIGHT('1&amp;2号构型'!#REF!,4)</f>
        <v>#REF!</v>
      </c>
    </row>
    <row r="179" spans="6:11">
      <c r="F179" t="e">
        <f>'1&amp;2号构型'!#REF!</f>
        <v>#REF!</v>
      </c>
      <c r="G179" s="2" t="e">
        <f>VLOOKUP('1&amp;2号构型'!#REF!,B:C,2,0)=VALUE(MID('1&amp;2号构型'!#REF!,6,2))</f>
        <v>#REF!</v>
      </c>
      <c r="H179" s="3" t="e">
        <f>IF(LEN('1&amp;2号构型'!#REF!)=9,"TRUE","FALSE")</f>
        <v>#REF!</v>
      </c>
      <c r="I179" s="2" t="e">
        <f>VALUE(MID('1&amp;2号构型'!#REF!,1,2))=VALUE(MID('1&amp;2号构型'!#REF!,5,2))</f>
        <v>#REF!</v>
      </c>
      <c r="J179" s="2" t="e">
        <f>IF(LEN('1&amp;2号构型'!#REF!)=14,"TRUE","FALSE")</f>
        <v>#REF!</v>
      </c>
      <c r="K179" s="2" t="e">
        <f>RIGHT('1&amp;2号构型'!#REF!,4)</f>
        <v>#REF!</v>
      </c>
    </row>
    <row r="180" spans="6:11">
      <c r="F180" t="e">
        <f>'1&amp;2号构型'!#REF!</f>
        <v>#REF!</v>
      </c>
      <c r="G180" s="2" t="e">
        <f>VLOOKUP('1&amp;2号构型'!#REF!,B:C,2,0)=VALUE(MID('1&amp;2号构型'!#REF!,6,2))</f>
        <v>#REF!</v>
      </c>
      <c r="H180" s="3" t="e">
        <f>IF(LEN('1&amp;2号构型'!#REF!)=9,"TRUE","FALSE")</f>
        <v>#REF!</v>
      </c>
      <c r="I180" s="2" t="e">
        <f>VALUE(MID('1&amp;2号构型'!#REF!,1,2))=VALUE(MID('1&amp;2号构型'!#REF!,5,2))</f>
        <v>#REF!</v>
      </c>
      <c r="J180" s="2" t="e">
        <f>IF(LEN('1&amp;2号构型'!#REF!)=14,"TRUE","FALSE")</f>
        <v>#REF!</v>
      </c>
      <c r="K180" s="2" t="e">
        <f>RIGHT('1&amp;2号构型'!#REF!,4)</f>
        <v>#REF!</v>
      </c>
    </row>
    <row r="181" spans="6:11">
      <c r="F181" t="e">
        <f>'1&amp;2号构型'!#REF!</f>
        <v>#REF!</v>
      </c>
      <c r="G181" s="2" t="e">
        <f>VLOOKUP('1&amp;2号构型'!#REF!,B:C,2,0)=VALUE(MID('1&amp;2号构型'!#REF!,6,2))</f>
        <v>#REF!</v>
      </c>
      <c r="H181" s="3" t="e">
        <f>IF(LEN('1&amp;2号构型'!#REF!)=9,"TRUE","FALSE")</f>
        <v>#REF!</v>
      </c>
      <c r="I181" s="2" t="e">
        <f>VALUE(MID('1&amp;2号构型'!#REF!,1,2))=VALUE(MID('1&amp;2号构型'!#REF!,5,2))</f>
        <v>#REF!</v>
      </c>
      <c r="J181" s="2" t="e">
        <f>IF(LEN('1&amp;2号构型'!#REF!)=14,"TRUE","FALSE")</f>
        <v>#REF!</v>
      </c>
      <c r="K181" s="2" t="e">
        <f>RIGHT('1&amp;2号构型'!#REF!,4)</f>
        <v>#REF!</v>
      </c>
    </row>
    <row r="182" spans="6:11">
      <c r="F182" t="e">
        <f>'1&amp;2号构型'!#REF!</f>
        <v>#REF!</v>
      </c>
      <c r="G182" s="2" t="e">
        <f>VLOOKUP('1&amp;2号构型'!#REF!,B:C,2,0)=VALUE(MID('1&amp;2号构型'!#REF!,6,2))</f>
        <v>#REF!</v>
      </c>
      <c r="H182" s="3" t="e">
        <f>IF(LEN('1&amp;2号构型'!#REF!)=9,"TRUE","FALSE")</f>
        <v>#REF!</v>
      </c>
      <c r="I182" s="2" t="e">
        <f>VALUE(MID('1&amp;2号构型'!#REF!,1,2))=VALUE(MID('1&amp;2号构型'!#REF!,5,2))</f>
        <v>#REF!</v>
      </c>
      <c r="J182" s="2" t="e">
        <f>IF(LEN('1&amp;2号构型'!#REF!)=14,"TRUE","FALSE")</f>
        <v>#REF!</v>
      </c>
      <c r="K182" s="2" t="e">
        <f>RIGHT('1&amp;2号构型'!#REF!,4)</f>
        <v>#REF!</v>
      </c>
    </row>
    <row r="183" spans="6:11">
      <c r="F183" t="e">
        <f>'1&amp;2号构型'!#REF!</f>
        <v>#REF!</v>
      </c>
      <c r="G183" s="2" t="e">
        <f>VLOOKUP('1&amp;2号构型'!#REF!,B:C,2,0)=VALUE(MID('1&amp;2号构型'!#REF!,6,2))</f>
        <v>#REF!</v>
      </c>
      <c r="H183" s="3" t="e">
        <f>IF(LEN('1&amp;2号构型'!#REF!)=9,"TRUE","FALSE")</f>
        <v>#REF!</v>
      </c>
      <c r="I183" s="2" t="e">
        <f>VALUE(MID('1&amp;2号构型'!#REF!,1,2))=VALUE(MID('1&amp;2号构型'!#REF!,5,2))</f>
        <v>#REF!</v>
      </c>
      <c r="J183" s="2" t="e">
        <f>IF(LEN('1&amp;2号构型'!#REF!)=14,"TRUE","FALSE")</f>
        <v>#REF!</v>
      </c>
      <c r="K183" s="2" t="e">
        <f>RIGHT('1&amp;2号构型'!#REF!,4)</f>
        <v>#REF!</v>
      </c>
    </row>
    <row r="184" spans="6:11">
      <c r="F184" t="e">
        <f>'1&amp;2号构型'!#REF!</f>
        <v>#REF!</v>
      </c>
      <c r="G184" s="2" t="e">
        <f>VLOOKUP('1&amp;2号构型'!#REF!,B:C,2,0)=VALUE(MID('1&amp;2号构型'!#REF!,6,2))</f>
        <v>#REF!</v>
      </c>
      <c r="H184" s="3" t="e">
        <f>IF(LEN('1&amp;2号构型'!#REF!)=9,"TRUE","FALSE")</f>
        <v>#REF!</v>
      </c>
      <c r="I184" s="2" t="e">
        <f>VALUE(MID('1&amp;2号构型'!#REF!,1,2))=VALUE(MID('1&amp;2号构型'!#REF!,5,2))</f>
        <v>#REF!</v>
      </c>
      <c r="J184" s="2" t="e">
        <f>IF(LEN('1&amp;2号构型'!#REF!)=14,"TRUE","FALSE")</f>
        <v>#REF!</v>
      </c>
      <c r="K184" s="2" t="e">
        <f>RIGHT('1&amp;2号构型'!#REF!,4)</f>
        <v>#REF!</v>
      </c>
    </row>
    <row r="185" spans="6:11">
      <c r="F185" t="e">
        <f>'1&amp;2号构型'!#REF!</f>
        <v>#REF!</v>
      </c>
      <c r="G185" s="2" t="e">
        <f>VLOOKUP('1&amp;2号构型'!#REF!,B:C,2,0)=VALUE(MID('1&amp;2号构型'!#REF!,6,2))</f>
        <v>#REF!</v>
      </c>
      <c r="H185" s="3" t="e">
        <f>IF(LEN('1&amp;2号构型'!#REF!)=9,"TRUE","FALSE")</f>
        <v>#REF!</v>
      </c>
      <c r="I185" s="2" t="e">
        <f>VALUE(MID('1&amp;2号构型'!#REF!,1,2))=VALUE(MID('1&amp;2号构型'!#REF!,5,2))</f>
        <v>#REF!</v>
      </c>
      <c r="J185" s="2" t="e">
        <f>IF(LEN('1&amp;2号构型'!#REF!)=14,"TRUE","FALSE")</f>
        <v>#REF!</v>
      </c>
      <c r="K185" s="2" t="e">
        <f>RIGHT('1&amp;2号构型'!#REF!,4)</f>
        <v>#REF!</v>
      </c>
    </row>
    <row r="186" spans="6:11">
      <c r="F186" t="e">
        <f>'1&amp;2号构型'!#REF!</f>
        <v>#REF!</v>
      </c>
      <c r="G186" s="2" t="e">
        <f>VLOOKUP('1&amp;2号构型'!#REF!,B:C,2,0)=VALUE(MID('1&amp;2号构型'!#REF!,6,2))</f>
        <v>#REF!</v>
      </c>
      <c r="H186" s="3" t="e">
        <f>IF(LEN('1&amp;2号构型'!#REF!)=9,"TRUE","FALSE")</f>
        <v>#REF!</v>
      </c>
      <c r="I186" s="2" t="e">
        <f>VALUE(MID('1&amp;2号构型'!#REF!,1,2))=VALUE(MID('1&amp;2号构型'!#REF!,5,2))</f>
        <v>#REF!</v>
      </c>
      <c r="J186" s="2" t="e">
        <f>IF(LEN('1&amp;2号构型'!#REF!)=14,"TRUE","FALSE")</f>
        <v>#REF!</v>
      </c>
      <c r="K186" s="2" t="e">
        <f>RIGHT('1&amp;2号构型'!#REF!,4)</f>
        <v>#REF!</v>
      </c>
    </row>
    <row r="187" spans="6:11">
      <c r="F187" t="e">
        <f>'1&amp;2号构型'!#REF!</f>
        <v>#REF!</v>
      </c>
      <c r="G187" s="2" t="e">
        <f>VLOOKUP('1&amp;2号构型'!#REF!,B:C,2,0)=VALUE(MID('1&amp;2号构型'!#REF!,6,2))</f>
        <v>#REF!</v>
      </c>
      <c r="H187" s="3" t="e">
        <f>IF(LEN('1&amp;2号构型'!#REF!)=9,"TRUE","FALSE")</f>
        <v>#REF!</v>
      </c>
      <c r="I187" s="2" t="e">
        <f>VALUE(MID('1&amp;2号构型'!#REF!,1,2))=VALUE(MID('1&amp;2号构型'!#REF!,5,2))</f>
        <v>#REF!</v>
      </c>
      <c r="J187" s="2" t="e">
        <f>IF(LEN('1&amp;2号构型'!#REF!)=14,"TRUE","FALSE")</f>
        <v>#REF!</v>
      </c>
      <c r="K187" s="2" t="e">
        <f>RIGHT('1&amp;2号构型'!#REF!,4)</f>
        <v>#REF!</v>
      </c>
    </row>
    <row r="188" spans="6:11">
      <c r="F188" t="e">
        <f>'1&amp;2号构型'!#REF!</f>
        <v>#REF!</v>
      </c>
      <c r="G188" s="2" t="e">
        <f>VLOOKUP('1&amp;2号构型'!#REF!,B:C,2,0)=VALUE(MID('1&amp;2号构型'!#REF!,6,2))</f>
        <v>#REF!</v>
      </c>
      <c r="H188" s="3" t="e">
        <f>IF(LEN('1&amp;2号构型'!#REF!)=9,"TRUE","FALSE")</f>
        <v>#REF!</v>
      </c>
      <c r="I188" s="2" t="e">
        <f>VALUE(MID('1&amp;2号构型'!#REF!,1,2))=VALUE(MID('1&amp;2号构型'!#REF!,5,2))</f>
        <v>#REF!</v>
      </c>
      <c r="J188" s="2" t="e">
        <f>IF(LEN('1&amp;2号构型'!#REF!)=14,"TRUE","FALSE")</f>
        <v>#REF!</v>
      </c>
      <c r="K188" s="2" t="e">
        <f>RIGHT('1&amp;2号构型'!#REF!,4)</f>
        <v>#REF!</v>
      </c>
    </row>
    <row r="189" spans="6:11">
      <c r="F189" t="e">
        <f>'1&amp;2号构型'!#REF!</f>
        <v>#REF!</v>
      </c>
      <c r="G189" s="2" t="e">
        <f>VLOOKUP('1&amp;2号构型'!#REF!,B:C,2,0)=VALUE(MID('1&amp;2号构型'!#REF!,6,2))</f>
        <v>#REF!</v>
      </c>
      <c r="H189" s="3" t="e">
        <f>IF(LEN('1&amp;2号构型'!#REF!)=9,"TRUE","FALSE")</f>
        <v>#REF!</v>
      </c>
      <c r="I189" s="2" t="e">
        <f>VALUE(MID('1&amp;2号构型'!#REF!,1,2))=VALUE(MID('1&amp;2号构型'!#REF!,5,2))</f>
        <v>#REF!</v>
      </c>
      <c r="J189" s="2" t="e">
        <f>IF(LEN('1&amp;2号构型'!#REF!)=14,"TRUE","FALSE")</f>
        <v>#REF!</v>
      </c>
      <c r="K189" s="2" t="e">
        <f>RIGHT('1&amp;2号构型'!#REF!,4)</f>
        <v>#REF!</v>
      </c>
    </row>
    <row r="190" spans="6:11">
      <c r="F190" t="e">
        <f>'1&amp;2号构型'!#REF!</f>
        <v>#REF!</v>
      </c>
      <c r="G190" s="2" t="e">
        <f>VLOOKUP('1&amp;2号构型'!#REF!,B:C,2,0)=VALUE(MID('1&amp;2号构型'!#REF!,6,2))</f>
        <v>#REF!</v>
      </c>
      <c r="H190" s="3" t="e">
        <f>IF(LEN('1&amp;2号构型'!#REF!)=9,"TRUE","FALSE")</f>
        <v>#REF!</v>
      </c>
      <c r="I190" s="2" t="e">
        <f>VALUE(MID('1&amp;2号构型'!#REF!,1,2))=VALUE(MID('1&amp;2号构型'!#REF!,5,2))</f>
        <v>#REF!</v>
      </c>
      <c r="J190" s="2" t="e">
        <f>IF(LEN('1&amp;2号构型'!#REF!)=14,"TRUE","FALSE")</f>
        <v>#REF!</v>
      </c>
      <c r="K190" s="2" t="e">
        <f>RIGHT('1&amp;2号构型'!#REF!,4)</f>
        <v>#REF!</v>
      </c>
    </row>
    <row r="191" spans="6:11">
      <c r="F191" t="e">
        <f>'1&amp;2号构型'!#REF!</f>
        <v>#REF!</v>
      </c>
      <c r="G191" s="2" t="e">
        <f>VLOOKUP('1&amp;2号构型'!#REF!,B:C,2,0)=VALUE(MID('1&amp;2号构型'!#REF!,6,2))</f>
        <v>#REF!</v>
      </c>
      <c r="H191" s="3" t="e">
        <f>IF(LEN('1&amp;2号构型'!#REF!)=9,"TRUE","FALSE")</f>
        <v>#REF!</v>
      </c>
      <c r="I191" s="2" t="e">
        <f>VALUE(MID('1&amp;2号构型'!#REF!,1,2))=VALUE(MID('1&amp;2号构型'!#REF!,5,2))</f>
        <v>#REF!</v>
      </c>
      <c r="J191" s="2" t="e">
        <f>IF(LEN('1&amp;2号构型'!#REF!)=14,"TRUE","FALSE")</f>
        <v>#REF!</v>
      </c>
      <c r="K191" s="2" t="e">
        <f>RIGHT('1&amp;2号构型'!#REF!,4)</f>
        <v>#REF!</v>
      </c>
    </row>
    <row r="192" spans="6:11">
      <c r="F192" t="e">
        <f>'1&amp;2号构型'!#REF!</f>
        <v>#REF!</v>
      </c>
      <c r="G192" s="2" t="e">
        <f>VLOOKUP('1&amp;2号构型'!#REF!,B:C,2,0)=VALUE(MID('1&amp;2号构型'!#REF!,6,2))</f>
        <v>#REF!</v>
      </c>
      <c r="H192" s="3" t="e">
        <f>IF(LEN('1&amp;2号构型'!#REF!)=9,"TRUE","FALSE")</f>
        <v>#REF!</v>
      </c>
      <c r="I192" s="2" t="e">
        <f>VALUE(MID('1&amp;2号构型'!#REF!,1,2))=VALUE(MID('1&amp;2号构型'!#REF!,5,2))</f>
        <v>#REF!</v>
      </c>
      <c r="J192" s="2" t="e">
        <f>IF(LEN('1&amp;2号构型'!#REF!)=14,"TRUE","FALSE")</f>
        <v>#REF!</v>
      </c>
      <c r="K192" s="2" t="e">
        <f>RIGHT('1&amp;2号构型'!#REF!,4)</f>
        <v>#REF!</v>
      </c>
    </row>
    <row r="193" spans="6:11">
      <c r="F193" t="e">
        <f>'1&amp;2号构型'!#REF!</f>
        <v>#REF!</v>
      </c>
      <c r="G193" s="2" t="e">
        <f>VLOOKUP('1&amp;2号构型'!#REF!,B:C,2,0)=VALUE(MID('1&amp;2号构型'!#REF!,6,2))</f>
        <v>#REF!</v>
      </c>
      <c r="H193" s="3" t="e">
        <f>IF(LEN('1&amp;2号构型'!#REF!)=9,"TRUE","FALSE")</f>
        <v>#REF!</v>
      </c>
      <c r="I193" s="2" t="e">
        <f>VALUE(MID('1&amp;2号构型'!#REF!,1,2))=VALUE(MID('1&amp;2号构型'!#REF!,5,2))</f>
        <v>#REF!</v>
      </c>
      <c r="J193" s="2" t="e">
        <f>IF(LEN('1&amp;2号构型'!#REF!)=14,"TRUE","FALSE")</f>
        <v>#REF!</v>
      </c>
      <c r="K193" s="2" t="e">
        <f>RIGHT('1&amp;2号构型'!#REF!,4)</f>
        <v>#REF!</v>
      </c>
    </row>
    <row r="194" spans="6:11">
      <c r="F194" t="e">
        <f>'1&amp;2号构型'!#REF!</f>
        <v>#REF!</v>
      </c>
      <c r="G194" s="2" t="e">
        <f>VLOOKUP('1&amp;2号构型'!#REF!,B:C,2,0)=VALUE(MID('1&amp;2号构型'!#REF!,6,2))</f>
        <v>#REF!</v>
      </c>
      <c r="H194" s="3" t="e">
        <f>IF(LEN('1&amp;2号构型'!#REF!)=9,"TRUE","FALSE")</f>
        <v>#REF!</v>
      </c>
      <c r="I194" s="2" t="e">
        <f>VALUE(MID('1&amp;2号构型'!#REF!,1,2))=VALUE(MID('1&amp;2号构型'!#REF!,5,2))</f>
        <v>#REF!</v>
      </c>
      <c r="J194" s="2" t="e">
        <f>IF(LEN('1&amp;2号构型'!#REF!)=14,"TRUE","FALSE")</f>
        <v>#REF!</v>
      </c>
      <c r="K194" s="2" t="e">
        <f>RIGHT('1&amp;2号构型'!#REF!,4)</f>
        <v>#REF!</v>
      </c>
    </row>
    <row r="195" spans="6:11">
      <c r="F195" t="e">
        <f>'1&amp;2号构型'!#REF!</f>
        <v>#REF!</v>
      </c>
      <c r="G195" s="2" t="e">
        <f>VLOOKUP('1&amp;2号构型'!#REF!,B:C,2,0)=VALUE(MID('1&amp;2号构型'!#REF!,6,2))</f>
        <v>#REF!</v>
      </c>
      <c r="H195" s="3" t="e">
        <f>IF(LEN('1&amp;2号构型'!#REF!)=9,"TRUE","FALSE")</f>
        <v>#REF!</v>
      </c>
      <c r="I195" s="2" t="e">
        <f>VALUE(MID('1&amp;2号构型'!#REF!,1,2))=VALUE(MID('1&amp;2号构型'!#REF!,5,2))</f>
        <v>#REF!</v>
      </c>
      <c r="J195" s="2" t="e">
        <f>IF(LEN('1&amp;2号构型'!#REF!)=14,"TRUE","FALSE")</f>
        <v>#REF!</v>
      </c>
      <c r="K195" s="2" t="e">
        <f>RIGHT('1&amp;2号构型'!#REF!,4)</f>
        <v>#REF!</v>
      </c>
    </row>
    <row r="196" spans="6:11">
      <c r="F196" t="e">
        <f>'1&amp;2号构型'!#REF!</f>
        <v>#REF!</v>
      </c>
      <c r="G196" s="2" t="e">
        <f>VLOOKUP('1&amp;2号构型'!#REF!,B:C,2,0)=VALUE(MID('1&amp;2号构型'!#REF!,6,2))</f>
        <v>#REF!</v>
      </c>
      <c r="H196" s="3" t="e">
        <f>IF(LEN('1&amp;2号构型'!#REF!)=9,"TRUE","FALSE")</f>
        <v>#REF!</v>
      </c>
      <c r="I196" s="2" t="e">
        <f>VALUE(MID('1&amp;2号构型'!#REF!,1,2))=VALUE(MID('1&amp;2号构型'!#REF!,5,2))</f>
        <v>#REF!</v>
      </c>
      <c r="J196" s="2" t="e">
        <f>IF(LEN('1&amp;2号构型'!#REF!)=14,"TRUE","FALSE")</f>
        <v>#REF!</v>
      </c>
      <c r="K196" s="2" t="e">
        <f>RIGHT('1&amp;2号构型'!#REF!,4)</f>
        <v>#REF!</v>
      </c>
    </row>
    <row r="197" spans="6:11">
      <c r="F197" t="e">
        <f>'1&amp;2号构型'!#REF!</f>
        <v>#REF!</v>
      </c>
      <c r="G197" s="2" t="e">
        <f>VLOOKUP('1&amp;2号构型'!#REF!,B:C,2,0)=VALUE(MID('1&amp;2号构型'!#REF!,6,2))</f>
        <v>#REF!</v>
      </c>
      <c r="H197" s="3" t="e">
        <f>IF(LEN('1&amp;2号构型'!#REF!)=9,"TRUE","FALSE")</f>
        <v>#REF!</v>
      </c>
      <c r="I197" s="2" t="e">
        <f>VALUE(MID('1&amp;2号构型'!#REF!,1,2))=VALUE(MID('1&amp;2号构型'!#REF!,5,2))</f>
        <v>#REF!</v>
      </c>
      <c r="J197" s="2" t="e">
        <f>IF(LEN('1&amp;2号构型'!#REF!)=14,"TRUE","FALSE")</f>
        <v>#REF!</v>
      </c>
      <c r="K197" s="2" t="e">
        <f>RIGHT('1&amp;2号构型'!#REF!,4)</f>
        <v>#REF!</v>
      </c>
    </row>
    <row r="198" spans="6:11">
      <c r="F198" t="e">
        <f>'1&amp;2号构型'!#REF!</f>
        <v>#REF!</v>
      </c>
      <c r="G198" s="2" t="e">
        <f>VLOOKUP('1&amp;2号构型'!#REF!,B:C,2,0)=VALUE(MID('1&amp;2号构型'!#REF!,6,2))</f>
        <v>#REF!</v>
      </c>
      <c r="H198" s="3" t="e">
        <f>IF(LEN('1&amp;2号构型'!#REF!)=9,"TRUE","FALSE")</f>
        <v>#REF!</v>
      </c>
      <c r="I198" s="2" t="e">
        <f>VALUE(MID('1&amp;2号构型'!#REF!,1,2))=VALUE(MID('1&amp;2号构型'!#REF!,5,2))</f>
        <v>#REF!</v>
      </c>
      <c r="J198" s="2" t="e">
        <f>IF(LEN('1&amp;2号构型'!#REF!)=14,"TRUE","FALSE")</f>
        <v>#REF!</v>
      </c>
      <c r="K198" s="2" t="e">
        <f>RIGHT('1&amp;2号构型'!#REF!,4)</f>
        <v>#REF!</v>
      </c>
    </row>
    <row r="199" spans="6:11">
      <c r="F199" t="e">
        <f>'1&amp;2号构型'!#REF!</f>
        <v>#REF!</v>
      </c>
      <c r="G199" s="2" t="e">
        <f>VLOOKUP('1&amp;2号构型'!#REF!,B:C,2,0)=VALUE(MID('1&amp;2号构型'!#REF!,6,2))</f>
        <v>#REF!</v>
      </c>
      <c r="H199" s="3" t="e">
        <f>IF(LEN('1&amp;2号构型'!#REF!)=9,"TRUE","FALSE")</f>
        <v>#REF!</v>
      </c>
      <c r="I199" s="2" t="e">
        <f>VALUE(MID('1&amp;2号构型'!#REF!,1,2))=VALUE(MID('1&amp;2号构型'!#REF!,5,2))</f>
        <v>#REF!</v>
      </c>
      <c r="J199" s="2" t="e">
        <f>IF(LEN('1&amp;2号构型'!#REF!)=14,"TRUE","FALSE")</f>
        <v>#REF!</v>
      </c>
      <c r="K199" s="2" t="e">
        <f>RIGHT('1&amp;2号构型'!#REF!,4)</f>
        <v>#REF!</v>
      </c>
    </row>
    <row r="200" spans="6:11">
      <c r="F200" t="e">
        <f>'1&amp;2号构型'!#REF!</f>
        <v>#REF!</v>
      </c>
      <c r="G200" s="2" t="e">
        <f>VLOOKUP('1&amp;2号构型'!#REF!,B:C,2,0)=VALUE(MID('1&amp;2号构型'!#REF!,6,2))</f>
        <v>#REF!</v>
      </c>
      <c r="H200" s="3" t="e">
        <f>IF(LEN('1&amp;2号构型'!#REF!)=9,"TRUE","FALSE")</f>
        <v>#REF!</v>
      </c>
      <c r="I200" s="2" t="e">
        <f>VALUE(MID('1&amp;2号构型'!#REF!,1,2))=VALUE(MID('1&amp;2号构型'!#REF!,5,2))</f>
        <v>#REF!</v>
      </c>
      <c r="J200" s="2" t="e">
        <f>IF(LEN('1&amp;2号构型'!#REF!)=14,"TRUE","FALSE")</f>
        <v>#REF!</v>
      </c>
      <c r="K200" s="2" t="e">
        <f>RIGHT('1&amp;2号构型'!#REF!,4)</f>
        <v>#REF!</v>
      </c>
    </row>
    <row r="201" spans="6:11">
      <c r="F201" t="e">
        <f>'1&amp;2号构型'!#REF!</f>
        <v>#REF!</v>
      </c>
      <c r="G201" s="2" t="e">
        <f>VLOOKUP('1&amp;2号构型'!#REF!,B:C,2,0)=VALUE(MID('1&amp;2号构型'!#REF!,6,2))</f>
        <v>#REF!</v>
      </c>
      <c r="H201" s="3" t="e">
        <f>IF(LEN('1&amp;2号构型'!#REF!)=9,"TRUE","FALSE")</f>
        <v>#REF!</v>
      </c>
      <c r="I201" s="2" t="e">
        <f>VALUE(MID('1&amp;2号构型'!#REF!,1,2))=VALUE(MID('1&amp;2号构型'!#REF!,5,2))</f>
        <v>#REF!</v>
      </c>
      <c r="J201" s="2" t="e">
        <f>IF(LEN('1&amp;2号构型'!#REF!)=14,"TRUE","FALSE")</f>
        <v>#REF!</v>
      </c>
      <c r="K201" s="2" t="e">
        <f>RIGHT('1&amp;2号构型'!#REF!,4)</f>
        <v>#REF!</v>
      </c>
    </row>
    <row r="202" spans="6:11">
      <c r="F202" t="str">
        <f>'1&amp;2号构型'!B120</f>
        <v>风挡加热控制器1</v>
      </c>
      <c r="G202" s="2" t="b">
        <f>VLOOKUP('1&amp;2号构型'!F120,B:C,2,0)=VALUE(MID('1&amp;2号构型'!D120,6,2))</f>
        <v>0</v>
      </c>
      <c r="H202" s="3" t="str">
        <f>IF(LEN('1&amp;2号构型'!D120)=9,"TRUE","FALSE")</f>
        <v>TRUE</v>
      </c>
      <c r="I202" s="2" t="b">
        <f>VALUE(MID('1&amp;2号构型'!C120,1,2))=VALUE(MID('1&amp;2号构型'!A120,5,2))</f>
        <v>1</v>
      </c>
      <c r="J202" s="2" t="str">
        <f>IF(LEN('1&amp;2号构型'!C120)=14,"TRUE","FALSE")</f>
        <v>TRUE</v>
      </c>
      <c r="K202" s="2" t="str">
        <f>RIGHT('1&amp;2号构型'!C120,4)</f>
        <v>G900</v>
      </c>
    </row>
    <row r="203" spans="6:11">
      <c r="F203" t="str">
        <f>'1&amp;2号构型'!B121</f>
        <v>风挡加热控制器2</v>
      </c>
      <c r="G203" s="2" t="b">
        <f>VLOOKUP('1&amp;2号构型'!F121,B:C,2,0)=VALUE(MID('1&amp;2号构型'!D121,6,2))</f>
        <v>0</v>
      </c>
      <c r="H203" s="3" t="str">
        <f>IF(LEN('1&amp;2号构型'!D121)=9,"TRUE","FALSE")</f>
        <v>TRUE</v>
      </c>
      <c r="I203" s="2" t="b">
        <f>VALUE(MID('1&amp;2号构型'!C121,1,2))=VALUE(MID('1&amp;2号构型'!A121,5,2))</f>
        <v>1</v>
      </c>
      <c r="J203" s="2" t="str">
        <f>IF(LEN('1&amp;2号构型'!C121)=14,"TRUE","FALSE")</f>
        <v>TRUE</v>
      </c>
      <c r="K203" s="2" t="str">
        <f>RIGHT('1&amp;2号构型'!C121,4)</f>
        <v>G900</v>
      </c>
    </row>
    <row r="204" spans="6:11">
      <c r="F204" t="str">
        <f>'1&amp;2号构型'!B122</f>
        <v>风挡雨刷臂1</v>
      </c>
      <c r="G204" s="2" t="b">
        <f>VLOOKUP('1&amp;2号构型'!F122,B:C,2,0)=VALUE(MID('1&amp;2号构型'!D122,6,2))</f>
        <v>1</v>
      </c>
      <c r="H204" s="3" t="str">
        <f>IF(LEN('1&amp;2号构型'!D122)=9,"TRUE","FALSE")</f>
        <v>TRUE</v>
      </c>
      <c r="I204" s="2" t="b">
        <f>VALUE(MID('1&amp;2号构型'!C122,1,2))=VALUE(MID('1&amp;2号构型'!A122,5,2))</f>
        <v>1</v>
      </c>
      <c r="J204" s="2" t="str">
        <f>IF(LEN('1&amp;2号构型'!C122)=14,"TRUE","FALSE")</f>
        <v>TRUE</v>
      </c>
      <c r="K204" s="2" t="str">
        <f>RIGHT('1&amp;2号构型'!C122,4)</f>
        <v>G900</v>
      </c>
    </row>
    <row r="205" spans="6:11">
      <c r="F205" t="str">
        <f>'1&amp;2号构型'!B123</f>
        <v>风挡雨刷臂2</v>
      </c>
      <c r="G205" s="2" t="b">
        <f>VLOOKUP('1&amp;2号构型'!F123,B:C,2,0)=VALUE(MID('1&amp;2号构型'!D123,6,2))</f>
        <v>1</v>
      </c>
      <c r="H205" s="3" t="str">
        <f>IF(LEN('1&amp;2号构型'!D123)=9,"TRUE","FALSE")</f>
        <v>TRUE</v>
      </c>
      <c r="I205" s="2" t="b">
        <f>VALUE(MID('1&amp;2号构型'!C123,1,2))=VALUE(MID('1&amp;2号构型'!A123,5,2))</f>
        <v>1</v>
      </c>
      <c r="J205" s="2" t="str">
        <f>IF(LEN('1&amp;2号构型'!C123)=14,"TRUE","FALSE")</f>
        <v>TRUE</v>
      </c>
      <c r="K205" s="2" t="str">
        <f>RIGHT('1&amp;2号构型'!C123,4)</f>
        <v>G900</v>
      </c>
    </row>
    <row r="206" spans="6:11">
      <c r="F206" t="str">
        <f>'1&amp;2号构型'!B124</f>
        <v>风挡雨刷马达1（含控制器）</v>
      </c>
      <c r="G206" s="2" t="b">
        <f>VLOOKUP('1&amp;2号构型'!F124,B:C,2,0)=VALUE(MID('1&amp;2号构型'!D124,6,2))</f>
        <v>1</v>
      </c>
      <c r="H206" s="3" t="str">
        <f>IF(LEN('1&amp;2号构型'!D124)=9,"TRUE","FALSE")</f>
        <v>TRUE</v>
      </c>
      <c r="I206" s="2" t="b">
        <f>VALUE(MID('1&amp;2号构型'!C124,1,2))=VALUE(MID('1&amp;2号构型'!A124,5,2))</f>
        <v>1</v>
      </c>
      <c r="J206" s="2" t="str">
        <f>IF(LEN('1&amp;2号构型'!C124)=14,"TRUE","FALSE")</f>
        <v>TRUE</v>
      </c>
      <c r="K206" s="2" t="str">
        <f>RIGHT('1&amp;2号构型'!C124,4)</f>
        <v>G900</v>
      </c>
    </row>
    <row r="207" spans="6:11">
      <c r="F207" t="str">
        <f>'1&amp;2号构型'!B125</f>
        <v>风挡雨刷马达2（含控制器）</v>
      </c>
      <c r="G207" s="2" t="b">
        <f>VLOOKUP('1&amp;2号构型'!F125,B:C,2,0)=VALUE(MID('1&amp;2号构型'!D125,6,2))</f>
        <v>1</v>
      </c>
      <c r="H207" s="3" t="str">
        <f>IF(LEN('1&amp;2号构型'!D125)=9,"TRUE","FALSE")</f>
        <v>TRUE</v>
      </c>
      <c r="I207" s="2" t="b">
        <f>VALUE(MID('1&amp;2号构型'!C125,1,2))=VALUE(MID('1&amp;2号构型'!A125,5,2))</f>
        <v>1</v>
      </c>
      <c r="J207" s="2" t="str">
        <f>IF(LEN('1&amp;2号构型'!C125)=14,"TRUE","FALSE")</f>
        <v>TRUE</v>
      </c>
      <c r="K207" s="2" t="str">
        <f>RIGHT('1&amp;2号构型'!C125,4)</f>
        <v>G900</v>
      </c>
    </row>
    <row r="208" spans="6:11">
      <c r="F208" t="str">
        <f>'1&amp;2号构型'!B126</f>
        <v>风挡雨刷片1</v>
      </c>
      <c r="G208" s="2" t="b">
        <f>VLOOKUP('1&amp;2号构型'!F126,B:C,2,0)=VALUE(MID('1&amp;2号构型'!D126,6,2))</f>
        <v>1</v>
      </c>
      <c r="H208" s="3" t="str">
        <f>IF(LEN('1&amp;2号构型'!D126)=9,"TRUE","FALSE")</f>
        <v>TRUE</v>
      </c>
      <c r="I208" s="2" t="b">
        <f>VALUE(MID('1&amp;2号构型'!C126,1,2))=VALUE(MID('1&amp;2号构型'!A126,5,2))</f>
        <v>1</v>
      </c>
      <c r="J208" s="2" t="str">
        <f>IF(LEN('1&amp;2号构型'!C126)=14,"TRUE","FALSE")</f>
        <v>TRUE</v>
      </c>
      <c r="K208" s="2" t="str">
        <f>RIGHT('1&amp;2号构型'!C126,4)</f>
        <v>G900</v>
      </c>
    </row>
    <row r="209" spans="6:11">
      <c r="F209" t="str">
        <f>'1&amp;2号构型'!B127</f>
        <v>风挡雨刷片2</v>
      </c>
      <c r="G209" s="2" t="b">
        <f>VLOOKUP('1&amp;2号构型'!F127,B:C,2,0)=VALUE(MID('1&amp;2号构型'!D127,6,2))</f>
        <v>1</v>
      </c>
      <c r="H209" s="3" t="str">
        <f>IF(LEN('1&amp;2号构型'!D127)=9,"TRUE","FALSE")</f>
        <v>TRUE</v>
      </c>
      <c r="I209" s="2" t="b">
        <f>VALUE(MID('1&amp;2号构型'!C127,1,2))=VALUE(MID('1&amp;2号构型'!A127,5,2))</f>
        <v>1</v>
      </c>
      <c r="J209" s="2" t="str">
        <f>IF(LEN('1&amp;2号构型'!C127)=14,"TRUE","FALSE")</f>
        <v>TRUE</v>
      </c>
      <c r="K209" s="2" t="str">
        <f>RIGHT('1&amp;2号构型'!C127,4)</f>
        <v>G900</v>
      </c>
    </row>
    <row r="210" spans="6:11">
      <c r="F210" t="str">
        <f>'1&amp;2号构型'!B128</f>
        <v>雨量传感器</v>
      </c>
      <c r="G210" s="2" t="b">
        <f>VLOOKUP('1&amp;2号构型'!F128,B:C,2,0)=VALUE(MID('1&amp;2号构型'!D128,6,2))</f>
        <v>1</v>
      </c>
      <c r="H210" s="3" t="str">
        <f>IF(LEN('1&amp;2号构型'!D128)=9,"TRUE","FALSE")</f>
        <v>TRUE</v>
      </c>
      <c r="I210" s="2" t="b">
        <f>VALUE(MID('1&amp;2号构型'!C128,1,2))=VALUE(MID('1&amp;2号构型'!A128,5,2))</f>
        <v>1</v>
      </c>
      <c r="J210" s="2" t="str">
        <f>IF(LEN('1&amp;2号构型'!C128)=14,"TRUE","FALSE")</f>
        <v>TRUE</v>
      </c>
      <c r="K210" s="2" t="str">
        <f>RIGHT('1&amp;2号构型'!C128,4)</f>
        <v>G900</v>
      </c>
    </row>
    <row r="211" spans="6:11">
      <c r="F211" t="e">
        <f>'1&amp;2号构型'!#REF!</f>
        <v>#REF!</v>
      </c>
      <c r="G211" s="2" t="e">
        <f>VLOOKUP('1&amp;2号构型'!#REF!,B:C,2,0)=VALUE(MID('1&amp;2号构型'!#REF!,6,2))</f>
        <v>#REF!</v>
      </c>
      <c r="H211" s="3" t="e">
        <f>IF(LEN('1&amp;2号构型'!#REF!)=9,"TRUE","FALSE")</f>
        <v>#REF!</v>
      </c>
      <c r="I211" s="2" t="e">
        <f>VALUE(MID('1&amp;2号构型'!#REF!,1,2))=VALUE(MID('1&amp;2号构型'!#REF!,5,2))</f>
        <v>#REF!</v>
      </c>
      <c r="J211" s="2" t="e">
        <f>IF(LEN('1&amp;2号构型'!#REF!)=14,"TRUE","FALSE")</f>
        <v>#REF!</v>
      </c>
      <c r="K211" s="2" t="e">
        <f>RIGHT('1&amp;2号构型'!#REF!,4)</f>
        <v>#REF!</v>
      </c>
    </row>
    <row r="212" spans="6:11">
      <c r="F212" t="e">
        <f>'1&amp;2号构型'!#REF!</f>
        <v>#REF!</v>
      </c>
      <c r="G212" s="2" t="e">
        <f>VLOOKUP('1&amp;2号构型'!#REF!,B:C,2,0)=VALUE(MID('1&amp;2号构型'!#REF!,6,2))</f>
        <v>#REF!</v>
      </c>
      <c r="H212" s="3" t="e">
        <f>IF(LEN('1&amp;2号构型'!#REF!)=9,"TRUE","FALSE")</f>
        <v>#REF!</v>
      </c>
      <c r="I212" s="2" t="e">
        <f>VALUE(MID('1&amp;2号构型'!#REF!,1,2))=VALUE(MID('1&amp;2号构型'!#REF!,5,2))</f>
        <v>#REF!</v>
      </c>
      <c r="J212" s="2" t="e">
        <f>IF(LEN('1&amp;2号构型'!#REF!)=14,"TRUE","FALSE")</f>
        <v>#REF!</v>
      </c>
      <c r="K212" s="2" t="e">
        <f>RIGHT('1&amp;2号构型'!#REF!,4)</f>
        <v>#REF!</v>
      </c>
    </row>
    <row r="213" spans="6:11">
      <c r="F213" t="str">
        <f>'1&amp;2号构型'!B129</f>
        <v>结冰探测器1</v>
      </c>
      <c r="G213" s="2" t="b">
        <f>VLOOKUP('1&amp;2号构型'!F129,B:C,2,0)=VALUE(MID('1&amp;2号构型'!D129,6,2))</f>
        <v>1</v>
      </c>
      <c r="H213" s="3" t="str">
        <f>IF(LEN('1&amp;2号构型'!D129)=9,"TRUE","FALSE")</f>
        <v>TRUE</v>
      </c>
      <c r="I213" s="2" t="b">
        <f>VALUE(MID('1&amp;2号构型'!C129,1,2))=VALUE(MID('1&amp;2号构型'!A129,5,2))</f>
        <v>1</v>
      </c>
      <c r="J213" s="2" t="str">
        <f>IF(LEN('1&amp;2号构型'!C129)=14,"TRUE","FALSE")</f>
        <v>TRUE</v>
      </c>
      <c r="K213" s="2" t="str">
        <f>RIGHT('1&amp;2号构型'!C129,4)</f>
        <v>G900</v>
      </c>
    </row>
    <row r="214" spans="6:11">
      <c r="F214" t="str">
        <f>'1&amp;2号构型'!B130</f>
        <v>结冰探测器2</v>
      </c>
      <c r="G214" s="2" t="b">
        <f>VLOOKUP('1&amp;2号构型'!F130,B:C,2,0)=VALUE(MID('1&amp;2号构型'!D130,6,2))</f>
        <v>1</v>
      </c>
      <c r="H214" s="3" t="str">
        <f>IF(LEN('1&amp;2号构型'!D130)=9,"TRUE","FALSE")</f>
        <v>TRUE</v>
      </c>
      <c r="I214" s="2" t="b">
        <f>VALUE(MID('1&amp;2号构型'!C130,1,2))=VALUE(MID('1&amp;2号构型'!A130,5,2))</f>
        <v>1</v>
      </c>
      <c r="J214" s="2" t="str">
        <f>IF(LEN('1&amp;2号构型'!C130)=14,"TRUE","FALSE")</f>
        <v>TRUE</v>
      </c>
      <c r="K214" s="2" t="str">
        <f>RIGHT('1&amp;2号构型'!C130,4)</f>
        <v>G900</v>
      </c>
    </row>
    <row r="215" spans="6:11">
      <c r="F215" t="str">
        <f>'1&amp;2号构型'!B131</f>
        <v>结冰探测棒</v>
      </c>
      <c r="G215" s="2" t="b">
        <f>VLOOKUP('1&amp;2号构型'!F131,B:C,2,0)=VALUE(MID('1&amp;2号构型'!D131,6,2))</f>
        <v>1</v>
      </c>
      <c r="H215" s="3" t="str">
        <f>IF(LEN('1&amp;2号构型'!D131)=9,"TRUE","FALSE")</f>
        <v>TRUE</v>
      </c>
      <c r="I215" s="2" t="b">
        <f>VALUE(MID('1&amp;2号构型'!C131,1,2))=VALUE(MID('1&amp;2号构型'!A131,5,2))</f>
        <v>1</v>
      </c>
      <c r="J215" s="2" t="str">
        <f>IF(LEN('1&amp;2号构型'!C131)=14,"TRUE","FALSE")</f>
        <v>TRUE</v>
      </c>
      <c r="K215" s="2" t="str">
        <f>RIGHT('1&amp;2号构型'!C131,4)</f>
        <v>G900</v>
      </c>
    </row>
    <row r="216" spans="6:11">
      <c r="F216" t="e">
        <f>'1&amp;2号构型'!#REF!</f>
        <v>#REF!</v>
      </c>
      <c r="G216" s="2" t="e">
        <f>VLOOKUP('1&amp;2号构型'!#REF!,B:C,2,0)=VALUE(MID('1&amp;2号构型'!#REF!,6,2))</f>
        <v>#REF!</v>
      </c>
      <c r="H216" s="3" t="e">
        <f>IF(LEN('1&amp;2号构型'!#REF!)=9,"TRUE","FALSE")</f>
        <v>#REF!</v>
      </c>
      <c r="I216" s="2" t="e">
        <f>VALUE(MID('1&amp;2号构型'!#REF!,1,2))=VALUE(MID('1&amp;2号构型'!#REF!,5,2))</f>
        <v>#REF!</v>
      </c>
      <c r="J216" s="2" t="e">
        <f>IF(LEN('1&amp;2号构型'!#REF!)=14,"TRUE","FALSE")</f>
        <v>#REF!</v>
      </c>
      <c r="K216" s="2" t="e">
        <f>RIGHT('1&amp;2号构型'!#REF!,4)</f>
        <v>#REF!</v>
      </c>
    </row>
    <row r="217" spans="6:11">
      <c r="F217" t="str">
        <f>'1&amp;2号构型'!B132</f>
        <v>左侧风挡玻璃及其加热模块组件</v>
      </c>
      <c r="G217" s="2" t="b">
        <f>VLOOKUP('1&amp;2号构型'!F132,B:C,2,0)=VALUE(MID('1&amp;2号构型'!D132,6,2))</f>
        <v>1</v>
      </c>
      <c r="H217" s="3" t="str">
        <f>IF(LEN('1&amp;2号构型'!D132)=9,"TRUE","FALSE")</f>
        <v>TRUE</v>
      </c>
      <c r="I217" s="2" t="b">
        <f>VALUE(MID('1&amp;2号构型'!C132,1,2))=VALUE(MID('1&amp;2号构型'!A132,5,2))</f>
        <v>0</v>
      </c>
      <c r="J217" s="2" t="str">
        <f>IF(LEN('1&amp;2号构型'!C132)=14,"TRUE","FALSE")</f>
        <v>TRUE</v>
      </c>
      <c r="K217" s="2" t="str">
        <f>RIGHT('1&amp;2号构型'!C132,4)</f>
        <v>G200</v>
      </c>
    </row>
    <row r="218" spans="6:11">
      <c r="F218" t="str">
        <f>'1&amp;2号构型'!B133</f>
        <v>右侧风挡玻璃及其加热模块组件</v>
      </c>
      <c r="G218" s="2" t="b">
        <f>VLOOKUP('1&amp;2号构型'!F133,B:C,2,0)=VALUE(MID('1&amp;2号构型'!D133,6,2))</f>
        <v>1</v>
      </c>
      <c r="H218" s="3" t="str">
        <f>IF(LEN('1&amp;2号构型'!D133)=9,"TRUE","FALSE")</f>
        <v>TRUE</v>
      </c>
      <c r="I218" s="2" t="b">
        <f>VALUE(MID('1&amp;2号构型'!C133,1,2))=VALUE(MID('1&amp;2号构型'!A133,5,2))</f>
        <v>0</v>
      </c>
      <c r="J218" s="2" t="str">
        <f>IF(LEN('1&amp;2号构型'!C133)=14,"TRUE","FALSE")</f>
        <v>TRUE</v>
      </c>
      <c r="K218" s="2" t="str">
        <f>RIGHT('1&amp;2号构型'!C133,4)</f>
        <v>G200</v>
      </c>
    </row>
    <row r="219" spans="6:11">
      <c r="F219" t="str">
        <f>'1&amp;2号构型'!B134</f>
        <v>区域麦克风（AMP）</v>
      </c>
      <c r="G219" s="2" t="b">
        <f>VLOOKUP('1&amp;2号构型'!F134,B:C,2,0)=VALUE(MID('1&amp;2号构型'!D134,6,2))</f>
        <v>1</v>
      </c>
      <c r="H219" s="3" t="str">
        <f>IF(LEN('1&amp;2号构型'!D134)=9,"TRUE","FALSE")</f>
        <v>TRUE</v>
      </c>
      <c r="I219" s="2" t="b">
        <f>VALUE(MID('1&amp;2号构型'!C134,1,2))=VALUE(MID('1&amp;2号构型'!A134,5,2))</f>
        <v>1</v>
      </c>
      <c r="J219" s="2" t="str">
        <f>IF(LEN('1&amp;2号构型'!C134)=14,"TRUE","FALSE")</f>
        <v>TRUE</v>
      </c>
      <c r="K219" s="2" t="str">
        <f>RIGHT('1&amp;2号构型'!C134,4)</f>
        <v>G900</v>
      </c>
    </row>
    <row r="220" spans="6:11">
      <c r="F220" t="str">
        <f>'1&amp;2号构型'!B135</f>
        <v>三轴加速度计（TAA）</v>
      </c>
      <c r="G220" s="2" t="b">
        <f>VLOOKUP('1&amp;2号构型'!F135,B:C,2,0)=VALUE(MID('1&amp;2号构型'!D135,6,2))</f>
        <v>1</v>
      </c>
      <c r="H220" s="3" t="str">
        <f>IF(LEN('1&amp;2号构型'!D135)=9,"TRUE","FALSE")</f>
        <v>TRUE</v>
      </c>
      <c r="I220" s="2" t="b">
        <f>VALUE(MID('1&amp;2号构型'!C135,1,2))=VALUE(MID('1&amp;2号构型'!A135,5,2))</f>
        <v>1</v>
      </c>
      <c r="J220" s="2" t="str">
        <f>IF(LEN('1&amp;2号构型'!C135)=14,"TRUE","FALSE")</f>
        <v>TRUE</v>
      </c>
      <c r="K220" s="2" t="str">
        <f>RIGHT('1&amp;2号构型'!C135,4)</f>
        <v>G900</v>
      </c>
    </row>
    <row r="221" spans="6:11">
      <c r="F221" t="str">
        <f>'1&amp;2号构型'!B136</f>
        <v>机载曲面显示屏</v>
      </c>
      <c r="G221" s="2" t="b">
        <f>VLOOKUP('1&amp;2号构型'!F136,B:C,2,0)=VALUE(MID('1&amp;2号构型'!D136,6,2))</f>
        <v>1</v>
      </c>
      <c r="H221" s="3" t="str">
        <f>IF(LEN('1&amp;2号构型'!D136)=9,"TRUE","FALSE")</f>
        <v>TRUE</v>
      </c>
      <c r="I221" s="2" t="b">
        <f>VALUE(MID('1&amp;2号构型'!C136,1,2))=VALUE(MID('1&amp;2号构型'!A136,5,2))</f>
        <v>1</v>
      </c>
      <c r="J221" s="2" t="str">
        <f>IF(LEN('1&amp;2号构型'!C136)=14,"TRUE","FALSE")</f>
        <v>TRUE</v>
      </c>
      <c r="K221" s="2" t="str">
        <f>RIGHT('1&amp;2号构型'!C136,4)</f>
        <v>G900</v>
      </c>
    </row>
    <row r="222" spans="6:11">
      <c r="F222" t="str">
        <f>'1&amp;2号构型'!B137</f>
        <v>机载多功能显示器</v>
      </c>
      <c r="G222" s="2" t="b">
        <f>VLOOKUP('1&amp;2号构型'!F137,B:C,2,0)=VALUE(MID('1&amp;2号构型'!D137,6,2))</f>
        <v>1</v>
      </c>
      <c r="H222" s="3" t="str">
        <f>IF(LEN('1&amp;2号构型'!D137)=9,"TRUE","FALSE")</f>
        <v>TRUE</v>
      </c>
      <c r="I222" s="2" t="b">
        <f>VALUE(MID('1&amp;2号构型'!C137,1,2))=VALUE(MID('1&amp;2号构型'!A137,5,2))</f>
        <v>1</v>
      </c>
      <c r="J222" s="2" t="str">
        <f>IF(LEN('1&amp;2号构型'!C137)=14,"TRUE","FALSE")</f>
        <v>TRUE</v>
      </c>
      <c r="K222" s="2" t="str">
        <f>RIGHT('1&amp;2号构型'!C137,4)</f>
        <v>G900</v>
      </c>
    </row>
    <row r="223" spans="6:11">
      <c r="F223" t="str">
        <f>'1&amp;2号构型'!B138</f>
        <v>显控计算机1</v>
      </c>
      <c r="G223" s="2" t="b">
        <f>VLOOKUP('1&amp;2号构型'!F138,B:C,2,0)=VALUE(MID('1&amp;2号构型'!D138,6,2))</f>
        <v>0</v>
      </c>
      <c r="H223" s="3" t="str">
        <f>IF(LEN('1&amp;2号构型'!D138)=9,"TRUE","FALSE")</f>
        <v>TRUE</v>
      </c>
      <c r="I223" s="2" t="b">
        <f>VALUE(MID('1&amp;2号构型'!C138,1,2))=VALUE(MID('1&amp;2号构型'!A138,5,2))</f>
        <v>1</v>
      </c>
      <c r="J223" s="2" t="str">
        <f>IF(LEN('1&amp;2号构型'!C138)=14,"TRUE","FALSE")</f>
        <v>TRUE</v>
      </c>
      <c r="K223" s="2" t="str">
        <f>RIGHT('1&amp;2号构型'!C138,4)</f>
        <v>G900</v>
      </c>
    </row>
    <row r="224" spans="6:11">
      <c r="F224" t="str">
        <f>'1&amp;2号构型'!B139</f>
        <v>显控计算机2</v>
      </c>
      <c r="G224" s="2" t="b">
        <f>VLOOKUP('1&amp;2号构型'!F139,B:C,2,0)=VALUE(MID('1&amp;2号构型'!D139,6,2))</f>
        <v>0</v>
      </c>
      <c r="H224" s="3" t="str">
        <f>IF(LEN('1&amp;2号构型'!D139)=9,"TRUE","FALSE")</f>
        <v>TRUE</v>
      </c>
      <c r="I224" s="2" t="b">
        <f>VALUE(MID('1&amp;2号构型'!C139,1,2))=VALUE(MID('1&amp;2号构型'!A139,5,2))</f>
        <v>1</v>
      </c>
      <c r="J224" s="2" t="str">
        <f>IF(LEN('1&amp;2号构型'!C139)=14,"TRUE","FALSE")</f>
        <v>TRUE</v>
      </c>
      <c r="K224" s="2" t="str">
        <f>RIGHT('1&amp;2号构型'!C139,4)</f>
        <v>G900</v>
      </c>
    </row>
    <row r="225" spans="6:11">
      <c r="F225" t="str">
        <f>'1&amp;2号构型'!B140</f>
        <v>左主起落架支柱组件</v>
      </c>
      <c r="G225" s="2" t="b">
        <f>VLOOKUP('1&amp;2号构型'!F140,B:C,2,0)=VALUE(MID('1&amp;2号构型'!D140,6,2))</f>
        <v>1</v>
      </c>
      <c r="H225" s="3" t="str">
        <f>IF(LEN('1&amp;2号构型'!D140)=9,"TRUE","FALSE")</f>
        <v>TRUE</v>
      </c>
      <c r="I225" s="2" t="b">
        <f>VALUE(MID('1&amp;2号构型'!C140,1,2))=VALUE(MID('1&amp;2号构型'!A140,5,2))</f>
        <v>1</v>
      </c>
      <c r="J225" s="2" t="str">
        <f>IF(LEN('1&amp;2号构型'!C140)=14,"TRUE","FALSE")</f>
        <v>TRUE</v>
      </c>
      <c r="K225" s="2" t="str">
        <f>RIGHT('1&amp;2号构型'!C140,4)</f>
        <v>G900</v>
      </c>
    </row>
    <row r="226" spans="6:11">
      <c r="F226" t="str">
        <f>'1&amp;2号构型'!B141</f>
        <v>左主起轮载传感器1</v>
      </c>
      <c r="G226" s="2" t="b">
        <f>VLOOKUP('1&amp;2号构型'!F141,B:C,2,0)=VALUE(MID('1&amp;2号构型'!D141,6,2))</f>
        <v>1</v>
      </c>
      <c r="H226" s="3" t="str">
        <f>IF(LEN('1&amp;2号构型'!D141)=9,"TRUE","FALSE")</f>
        <v>TRUE</v>
      </c>
      <c r="I226" s="2" t="b">
        <f>VALUE(MID('1&amp;2号构型'!C141,1,2))=VALUE(MID('1&amp;2号构型'!A141,5,2))</f>
        <v>1</v>
      </c>
      <c r="J226" s="2" t="str">
        <f>IF(LEN('1&amp;2号构型'!C141)=14,"TRUE","FALSE")</f>
        <v>TRUE</v>
      </c>
      <c r="K226" s="2" t="str">
        <f>RIGHT('1&amp;2号构型'!C141,4)</f>
        <v>G900</v>
      </c>
    </row>
    <row r="227" spans="6:11">
      <c r="F227" t="str">
        <f>'1&amp;2号构型'!B142</f>
        <v>左主起轮载传感器2</v>
      </c>
      <c r="G227" s="2" t="b">
        <f>VLOOKUP('1&amp;2号构型'!F142,B:C,2,0)=VALUE(MID('1&amp;2号构型'!D142,6,2))</f>
        <v>1</v>
      </c>
      <c r="H227" s="3" t="str">
        <f>IF(LEN('1&amp;2号构型'!D142)=9,"TRUE","FALSE")</f>
        <v>TRUE</v>
      </c>
      <c r="I227" s="2" t="b">
        <f>VALUE(MID('1&amp;2号构型'!C142,1,2))=VALUE(MID('1&amp;2号构型'!A142,5,2))</f>
        <v>1</v>
      </c>
      <c r="J227" s="2" t="str">
        <f>IF(LEN('1&amp;2号构型'!C142)=14,"TRUE","FALSE")</f>
        <v>TRUE</v>
      </c>
      <c r="K227" s="2" t="str">
        <f>RIGHT('1&amp;2号构型'!C142,4)</f>
        <v>G900</v>
      </c>
    </row>
    <row r="228" spans="6:11">
      <c r="F228" t="str">
        <f>'1&amp;2号构型'!B143</f>
        <v>右主起轮载传感器1</v>
      </c>
      <c r="G228" s="2" t="b">
        <f>VLOOKUP('1&amp;2号构型'!F143,B:C,2,0)=VALUE(MID('1&amp;2号构型'!D143,6,2))</f>
        <v>1</v>
      </c>
      <c r="H228" s="3" t="str">
        <f>IF(LEN('1&amp;2号构型'!D143)=9,"TRUE","FALSE")</f>
        <v>TRUE</v>
      </c>
      <c r="I228" s="2" t="b">
        <f>VALUE(MID('1&amp;2号构型'!C143,1,2))=VALUE(MID('1&amp;2号构型'!A143,5,2))</f>
        <v>1</v>
      </c>
      <c r="J228" s="2" t="str">
        <f>IF(LEN('1&amp;2号构型'!C143)=14,"TRUE","FALSE")</f>
        <v>TRUE</v>
      </c>
      <c r="K228" s="2" t="str">
        <f>RIGHT('1&amp;2号构型'!C143,4)</f>
        <v>G900</v>
      </c>
    </row>
    <row r="229" spans="6:11">
      <c r="F229" t="str">
        <f>'1&amp;2号构型'!B144</f>
        <v>右主起轮载传感器2</v>
      </c>
      <c r="G229" s="2" t="b">
        <f>VLOOKUP('1&amp;2号构型'!F144,B:C,2,0)=VALUE(MID('1&amp;2号构型'!D144,6,2))</f>
        <v>1</v>
      </c>
      <c r="H229" s="3" t="str">
        <f>IF(LEN('1&amp;2号构型'!D144)=9,"TRUE","FALSE")</f>
        <v>TRUE</v>
      </c>
      <c r="I229" s="2" t="b">
        <f>VALUE(MID('1&amp;2号构型'!C144,1,2))=VALUE(MID('1&amp;2号构型'!A144,5,2))</f>
        <v>1</v>
      </c>
      <c r="J229" s="2" t="str">
        <f>IF(LEN('1&amp;2号构型'!C144)=14,"TRUE","FALSE")</f>
        <v>TRUE</v>
      </c>
      <c r="K229" s="2" t="str">
        <f>RIGHT('1&amp;2号构型'!C144,4)</f>
        <v>G900</v>
      </c>
    </row>
    <row r="230" spans="6:11">
      <c r="F230" t="str">
        <f>'1&amp;2号构型'!B145</f>
        <v>右主起落架支柱组件</v>
      </c>
      <c r="G230" s="2" t="b">
        <f>VLOOKUP('1&amp;2号构型'!F145,B:C,2,0)=VALUE(MID('1&amp;2号构型'!D145,6,2))</f>
        <v>1</v>
      </c>
      <c r="H230" s="3" t="str">
        <f>IF(LEN('1&amp;2号构型'!D145)=9,"TRUE","FALSE")</f>
        <v>TRUE</v>
      </c>
      <c r="I230" s="2" t="b">
        <f>VALUE(MID('1&amp;2号构型'!C145,1,2))=VALUE(MID('1&amp;2号构型'!A145,5,2))</f>
        <v>1</v>
      </c>
      <c r="J230" s="2" t="str">
        <f>IF(LEN('1&amp;2号构型'!C145)=14,"TRUE","FALSE")</f>
        <v>TRUE</v>
      </c>
      <c r="K230" s="2" t="str">
        <f>RIGHT('1&amp;2号构型'!C145,4)</f>
        <v>G900</v>
      </c>
    </row>
    <row r="231" spans="6:11">
      <c r="F231" t="str">
        <f>'1&amp;2号构型'!B146</f>
        <v>左主起落架摇臂组件</v>
      </c>
      <c r="G231" s="2" t="b">
        <f>VLOOKUP('1&amp;2号构型'!F146,B:C,2,0)=VALUE(MID('1&amp;2号构型'!D146,6,2))</f>
        <v>1</v>
      </c>
      <c r="H231" s="3" t="str">
        <f>IF(LEN('1&amp;2号构型'!D146)=9,"TRUE","FALSE")</f>
        <v>TRUE</v>
      </c>
      <c r="I231" s="2" t="b">
        <f>VALUE(MID('1&amp;2号构型'!C146,1,2))=VALUE(MID('1&amp;2号构型'!A146,5,2))</f>
        <v>1</v>
      </c>
      <c r="J231" s="2" t="str">
        <f>IF(LEN('1&amp;2号构型'!C146)=14,"TRUE","FALSE")</f>
        <v>TRUE</v>
      </c>
      <c r="K231" s="2" t="str">
        <f>RIGHT('1&amp;2号构型'!C146,4)</f>
        <v>G900</v>
      </c>
    </row>
    <row r="232" spans="6:11">
      <c r="F232" t="str">
        <f>'1&amp;2号构型'!B147</f>
        <v>右主起落架摇臂组件</v>
      </c>
      <c r="G232" s="2" t="b">
        <f>VLOOKUP('1&amp;2号构型'!F147,B:C,2,0)=VALUE(MID('1&amp;2号构型'!D147,6,2))</f>
        <v>1</v>
      </c>
      <c r="H232" s="3" t="str">
        <f>IF(LEN('1&amp;2号构型'!D147)=9,"TRUE","FALSE")</f>
        <v>TRUE</v>
      </c>
      <c r="I232" s="2" t="b">
        <f>VALUE(MID('1&amp;2号构型'!C147,1,2))=VALUE(MID('1&amp;2号构型'!A147,5,2))</f>
        <v>1</v>
      </c>
      <c r="J232" s="2" t="str">
        <f>IF(LEN('1&amp;2号构型'!C147)=14,"TRUE","FALSE")</f>
        <v>TRUE</v>
      </c>
      <c r="K232" s="2" t="str">
        <f>RIGHT('1&amp;2号构型'!C147,4)</f>
        <v>G900</v>
      </c>
    </row>
    <row r="233" spans="6:11">
      <c r="F233" t="str">
        <f>'1&amp;2号构型'!B148</f>
        <v>左主起落架缓冲器组件</v>
      </c>
      <c r="G233" s="2" t="b">
        <f>VLOOKUP('1&amp;2号构型'!F148,B:C,2,0)=VALUE(MID('1&amp;2号构型'!D148,6,2))</f>
        <v>1</v>
      </c>
      <c r="H233" s="3" t="str">
        <f>IF(LEN('1&amp;2号构型'!D148)=9,"TRUE","FALSE")</f>
        <v>TRUE</v>
      </c>
      <c r="I233" s="2" t="b">
        <f>VALUE(MID('1&amp;2号构型'!C148,1,2))=VALUE(MID('1&amp;2号构型'!A148,5,2))</f>
        <v>1</v>
      </c>
      <c r="J233" s="2" t="str">
        <f>IF(LEN('1&amp;2号构型'!C148)=14,"TRUE","FALSE")</f>
        <v>TRUE</v>
      </c>
      <c r="K233" s="2" t="str">
        <f>RIGHT('1&amp;2号构型'!C148,4)</f>
        <v>G900</v>
      </c>
    </row>
    <row r="234" spans="6:11">
      <c r="F234" t="str">
        <f>'1&amp;2号构型'!B149</f>
        <v>右主起落架缓冲器组件</v>
      </c>
      <c r="G234" s="2" t="b">
        <f>VLOOKUP('1&amp;2号构型'!F149,B:C,2,0)=VALUE(MID('1&amp;2号构型'!D149,6,2))</f>
        <v>1</v>
      </c>
      <c r="H234" s="3" t="str">
        <f>IF(LEN('1&amp;2号构型'!D149)=9,"TRUE","FALSE")</f>
        <v>TRUE</v>
      </c>
      <c r="I234" s="2" t="b">
        <f>VALUE(MID('1&amp;2号构型'!C149,1,2))=VALUE(MID('1&amp;2号构型'!A149,5,2))</f>
        <v>1</v>
      </c>
      <c r="J234" s="2" t="str">
        <f>IF(LEN('1&amp;2号构型'!C149)=14,"TRUE","FALSE")</f>
        <v>TRUE</v>
      </c>
      <c r="K234" s="2" t="str">
        <f>RIGHT('1&amp;2号构型'!C149,4)</f>
        <v>G900</v>
      </c>
    </row>
    <row r="235" spans="6:11">
      <c r="F235" t="str">
        <f>'1&amp;2号构型'!B150</f>
        <v>左主起落架舱门机构组件</v>
      </c>
      <c r="G235" s="2" t="b">
        <f>VLOOKUP('1&amp;2号构型'!F150,B:C,2,0)=VALUE(MID('1&amp;2号构型'!D150,6,2))</f>
        <v>1</v>
      </c>
      <c r="H235" s="3" t="str">
        <f>IF(LEN('1&amp;2号构型'!D150)=9,"TRUE","FALSE")</f>
        <v>TRUE</v>
      </c>
      <c r="I235" s="2" t="b">
        <f>VALUE(MID('1&amp;2号构型'!C150,1,2))=VALUE(MID('1&amp;2号构型'!A150,5,2))</f>
        <v>1</v>
      </c>
      <c r="J235" s="2" t="str">
        <f>IF(LEN('1&amp;2号构型'!C150)=14,"TRUE","FALSE")</f>
        <v>TRUE</v>
      </c>
      <c r="K235" s="2" t="str">
        <f>RIGHT('1&amp;2号构型'!C150,4)</f>
        <v>G400</v>
      </c>
    </row>
    <row r="236" spans="6:11">
      <c r="F236" t="str">
        <f>'1&amp;2号构型'!B151</f>
        <v>右主起落架舱门机构组件</v>
      </c>
      <c r="G236" s="2" t="b">
        <f>VLOOKUP('1&amp;2号构型'!F151,B:C,2,0)=VALUE(MID('1&amp;2号构型'!D151,6,2))</f>
        <v>1</v>
      </c>
      <c r="H236" s="3" t="str">
        <f>IF(LEN('1&amp;2号构型'!D151)=9,"TRUE","FALSE")</f>
        <v>TRUE</v>
      </c>
      <c r="I236" s="2" t="b">
        <f>VALUE(MID('1&amp;2号构型'!C151,1,2))=VALUE(MID('1&amp;2号构型'!A151,5,2))</f>
        <v>1</v>
      </c>
      <c r="J236" s="2" t="str">
        <f>IF(LEN('1&amp;2号构型'!C151)=14,"TRUE","FALSE")</f>
        <v>TRUE</v>
      </c>
      <c r="K236" s="2" t="str">
        <f>RIGHT('1&amp;2号构型'!C151,4)</f>
        <v>G400</v>
      </c>
    </row>
    <row r="237" spans="6:11">
      <c r="F237" t="str">
        <f>'1&amp;2号构型'!B152</f>
        <v>左主起落架侧撑杆组件</v>
      </c>
      <c r="G237" s="2" t="b">
        <f>VLOOKUP('1&amp;2号构型'!F152,B:C,2,0)=VALUE(MID('1&amp;2号构型'!D152,6,2))</f>
        <v>1</v>
      </c>
      <c r="H237" s="3" t="str">
        <f>IF(LEN('1&amp;2号构型'!D152)=9,"TRUE","FALSE")</f>
        <v>TRUE</v>
      </c>
      <c r="I237" s="2" t="b">
        <f>VALUE(MID('1&amp;2号构型'!C152,1,2))=VALUE(MID('1&amp;2号构型'!A152,5,2))</f>
        <v>1</v>
      </c>
      <c r="J237" s="2" t="str">
        <f>IF(LEN('1&amp;2号构型'!C152)=14,"TRUE","FALSE")</f>
        <v>FALSE</v>
      </c>
      <c r="K237" s="2" t="str">
        <f>RIGHT('1&amp;2号构型'!C152,4)</f>
        <v>G900</v>
      </c>
    </row>
    <row r="238" spans="6:11">
      <c r="F238" t="str">
        <f>'1&amp;2号构型'!B153</f>
        <v>右主起落架侧撑杆组件</v>
      </c>
      <c r="G238" s="2" t="b">
        <f>VLOOKUP('1&amp;2号构型'!F153,B:C,2,0)=VALUE(MID('1&amp;2号构型'!D153,6,2))</f>
        <v>1</v>
      </c>
      <c r="H238" s="3" t="str">
        <f>IF(LEN('1&amp;2号构型'!D153)=9,"TRUE","FALSE")</f>
        <v>TRUE</v>
      </c>
      <c r="I238" s="2" t="b">
        <f>VALUE(MID('1&amp;2号构型'!C153,1,2))=VALUE(MID('1&amp;2号构型'!A153,5,2))</f>
        <v>1</v>
      </c>
      <c r="J238" s="2" t="str">
        <f>IF(LEN('1&amp;2号构型'!C153)=14,"TRUE","FALSE")</f>
        <v>FALSE</v>
      </c>
      <c r="K238" s="2" t="str">
        <f>RIGHT('1&amp;2号构型'!C153,4)</f>
        <v>G900</v>
      </c>
    </row>
    <row r="239" spans="6:11">
      <c r="F239" t="str">
        <f>'1&amp;2号构型'!B154</f>
        <v>左主起落架锁连杆组件</v>
      </c>
      <c r="G239" s="2" t="b">
        <f>VLOOKUP('1&amp;2号构型'!F154,B:C,2,0)=VALUE(MID('1&amp;2号构型'!D154,6,2))</f>
        <v>1</v>
      </c>
      <c r="H239" s="3" t="str">
        <f>IF(LEN('1&amp;2号构型'!D154)=9,"TRUE","FALSE")</f>
        <v>TRUE</v>
      </c>
      <c r="I239" s="2" t="b">
        <f>VALUE(MID('1&amp;2号构型'!C154,1,2))=VALUE(MID('1&amp;2号构型'!A154,5,2))</f>
        <v>1</v>
      </c>
      <c r="J239" s="2" t="str">
        <f>IF(LEN('1&amp;2号构型'!C154)=14,"TRUE","FALSE")</f>
        <v>TRUE</v>
      </c>
      <c r="K239" s="2" t="str">
        <f>RIGHT('1&amp;2号构型'!C154,4)</f>
        <v>G900</v>
      </c>
    </row>
    <row r="240" spans="6:11">
      <c r="F240" t="str">
        <f>'1&amp;2号构型'!B155</f>
        <v>左主起放下传感器1</v>
      </c>
      <c r="G240" s="2" t="b">
        <f>VLOOKUP('1&amp;2号构型'!F155,B:C,2,0)=VALUE(MID('1&amp;2号构型'!D155,6,2))</f>
        <v>1</v>
      </c>
      <c r="H240" s="3" t="str">
        <f>IF(LEN('1&amp;2号构型'!D155)=9,"TRUE","FALSE")</f>
        <v>TRUE</v>
      </c>
      <c r="I240" s="2" t="b">
        <f>VALUE(MID('1&amp;2号构型'!C155,1,2))=VALUE(MID('1&amp;2号构型'!A155,5,2))</f>
        <v>1</v>
      </c>
      <c r="J240" s="2" t="str">
        <f>IF(LEN('1&amp;2号构型'!C155)=14,"TRUE","FALSE")</f>
        <v>TRUE</v>
      </c>
      <c r="K240" s="2" t="str">
        <f>RIGHT('1&amp;2号构型'!C155,4)</f>
        <v>G900</v>
      </c>
    </row>
    <row r="241" spans="6:11">
      <c r="F241" t="str">
        <f>'1&amp;2号构型'!B156</f>
        <v>左主起放下传感器2</v>
      </c>
      <c r="G241" s="2" t="b">
        <f>VLOOKUP('1&amp;2号构型'!F156,B:C,2,0)=VALUE(MID('1&amp;2号构型'!D156,6,2))</f>
        <v>1</v>
      </c>
      <c r="H241" s="3" t="str">
        <f>IF(LEN('1&amp;2号构型'!D156)=9,"TRUE","FALSE")</f>
        <v>TRUE</v>
      </c>
      <c r="I241" s="2" t="b">
        <f>VALUE(MID('1&amp;2号构型'!C156,1,2))=VALUE(MID('1&amp;2号构型'!A156,5,2))</f>
        <v>1</v>
      </c>
      <c r="J241" s="2" t="str">
        <f>IF(LEN('1&amp;2号构型'!C156)=14,"TRUE","FALSE")</f>
        <v>TRUE</v>
      </c>
      <c r="K241" s="2" t="str">
        <f>RIGHT('1&amp;2号构型'!C156,4)</f>
        <v>G900</v>
      </c>
    </row>
    <row r="242" spans="6:11">
      <c r="F242" t="str">
        <f>'1&amp;2号构型'!B157</f>
        <v>右主起落架锁连杆组件</v>
      </c>
      <c r="G242" s="2" t="b">
        <f>VLOOKUP('1&amp;2号构型'!F157,B:C,2,0)=VALUE(MID('1&amp;2号构型'!D157,6,2))</f>
        <v>1</v>
      </c>
      <c r="H242" s="3" t="str">
        <f>IF(LEN('1&amp;2号构型'!D157)=9,"TRUE","FALSE")</f>
        <v>TRUE</v>
      </c>
      <c r="I242" s="2" t="b">
        <f>VALUE(MID('1&amp;2号构型'!C157,1,2))=VALUE(MID('1&amp;2号构型'!A157,5,2))</f>
        <v>1</v>
      </c>
      <c r="J242" s="2" t="str">
        <f>IF(LEN('1&amp;2号构型'!C157)=14,"TRUE","FALSE")</f>
        <v>TRUE</v>
      </c>
      <c r="K242" s="2" t="str">
        <f>RIGHT('1&amp;2号构型'!C157,4)</f>
        <v>G900</v>
      </c>
    </row>
    <row r="243" spans="6:11">
      <c r="F243" t="str">
        <f>'1&amp;2号构型'!B158</f>
        <v>右主起放下传感器1</v>
      </c>
      <c r="G243" s="2" t="b">
        <f>VLOOKUP('1&amp;2号构型'!F158,B:C,2,0)=VALUE(MID('1&amp;2号构型'!D158,6,2))</f>
        <v>1</v>
      </c>
      <c r="H243" s="3" t="str">
        <f>IF(LEN('1&amp;2号构型'!D158)=9,"TRUE","FALSE")</f>
        <v>TRUE</v>
      </c>
      <c r="I243" s="2" t="b">
        <f>VALUE(MID('1&amp;2号构型'!C158,1,2))=VALUE(MID('1&amp;2号构型'!A158,5,2))</f>
        <v>1</v>
      </c>
      <c r="J243" s="2" t="str">
        <f>IF(LEN('1&amp;2号构型'!C158)=14,"TRUE","FALSE")</f>
        <v>TRUE</v>
      </c>
      <c r="K243" s="2" t="str">
        <f>RIGHT('1&amp;2号构型'!C158,4)</f>
        <v>G900</v>
      </c>
    </row>
    <row r="244" spans="6:11">
      <c r="F244" t="str">
        <f>'1&amp;2号构型'!B159</f>
        <v>右主起放下传感器2</v>
      </c>
      <c r="G244" s="2" t="b">
        <f>VLOOKUP('1&amp;2号构型'!F159,B:C,2,0)=VALUE(MID('1&amp;2号构型'!D159,6,2))</f>
        <v>1</v>
      </c>
      <c r="H244" s="3" t="str">
        <f>IF(LEN('1&amp;2号构型'!D159)=9,"TRUE","FALSE")</f>
        <v>TRUE</v>
      </c>
      <c r="I244" s="2" t="b">
        <f>VALUE(MID('1&amp;2号构型'!C159,1,2))=VALUE(MID('1&amp;2号构型'!A159,5,2))</f>
        <v>1</v>
      </c>
      <c r="J244" s="2" t="str">
        <f>IF(LEN('1&amp;2号构型'!C159)=14,"TRUE","FALSE")</f>
        <v>TRUE</v>
      </c>
      <c r="K244" s="2" t="str">
        <f>RIGHT('1&amp;2号构型'!C159,4)</f>
        <v>G900</v>
      </c>
    </row>
    <row r="245" spans="6:11">
      <c r="F245" t="str">
        <f>'1&amp;2号构型'!B160</f>
        <v>左主起落架锁前弹簧组件</v>
      </c>
      <c r="G245" s="2" t="b">
        <f>VLOOKUP('1&amp;2号构型'!F160,B:C,2,0)=VALUE(MID('1&amp;2号构型'!D160,6,2))</f>
        <v>1</v>
      </c>
      <c r="H245" s="3" t="str">
        <f>IF(LEN('1&amp;2号构型'!D160)=9,"TRUE","FALSE")</f>
        <v>TRUE</v>
      </c>
      <c r="I245" s="2" t="b">
        <f>VALUE(MID('1&amp;2号构型'!C160,1,2))=VALUE(MID('1&amp;2号构型'!A160,5,2))</f>
        <v>1</v>
      </c>
      <c r="J245" s="2" t="str">
        <f>IF(LEN('1&amp;2号构型'!C160)=14,"TRUE","FALSE")</f>
        <v>TRUE</v>
      </c>
      <c r="K245" s="2" t="str">
        <f>RIGHT('1&amp;2号构型'!C160,4)</f>
        <v>G900</v>
      </c>
    </row>
    <row r="246" spans="6:11">
      <c r="F246" t="str">
        <f>'1&amp;2号构型'!B161</f>
        <v>左主起落架锁后弹簧组件</v>
      </c>
      <c r="G246" s="2" t="b">
        <f>VLOOKUP('1&amp;2号构型'!F161,B:C,2,0)=VALUE(MID('1&amp;2号构型'!D161,6,2))</f>
        <v>1</v>
      </c>
      <c r="H246" s="3" t="str">
        <f>IF(LEN('1&amp;2号构型'!D161)=9,"TRUE","FALSE")</f>
        <v>TRUE</v>
      </c>
      <c r="I246" s="2" t="b">
        <f>VALUE(MID('1&amp;2号构型'!C161,1,2))=VALUE(MID('1&amp;2号构型'!A161,5,2))</f>
        <v>1</v>
      </c>
      <c r="J246" s="2" t="str">
        <f>IF(LEN('1&amp;2号构型'!C161)=14,"TRUE","FALSE")</f>
        <v>TRUE</v>
      </c>
      <c r="K246" s="2" t="str">
        <f>RIGHT('1&amp;2号构型'!C161,4)</f>
        <v>G900</v>
      </c>
    </row>
    <row r="247" spans="6:11">
      <c r="F247" t="str">
        <f>'1&amp;2号构型'!B162</f>
        <v>右主起落架锁前弹簧组件</v>
      </c>
      <c r="G247" s="2" t="b">
        <f>VLOOKUP('1&amp;2号构型'!F162,B:C,2,0)=VALUE(MID('1&amp;2号构型'!D162,6,2))</f>
        <v>1</v>
      </c>
      <c r="H247" s="3" t="str">
        <f>IF(LEN('1&amp;2号构型'!D162)=9,"TRUE","FALSE")</f>
        <v>TRUE</v>
      </c>
      <c r="I247" s="2" t="b">
        <f>VALUE(MID('1&amp;2号构型'!C162,1,2))=VALUE(MID('1&amp;2号构型'!A162,5,2))</f>
        <v>1</v>
      </c>
      <c r="J247" s="2" t="str">
        <f>IF(LEN('1&amp;2号构型'!C162)=14,"TRUE","FALSE")</f>
        <v>TRUE</v>
      </c>
      <c r="K247" s="2" t="str">
        <f>RIGHT('1&amp;2号构型'!C162,4)</f>
        <v>G900</v>
      </c>
    </row>
    <row r="248" spans="6:11">
      <c r="F248" t="str">
        <f>'1&amp;2号构型'!B163</f>
        <v>右主起落架锁后弹簧组件</v>
      </c>
      <c r="G248" s="2" t="b">
        <f>VLOOKUP('1&amp;2号构型'!F163,B:C,2,0)=VALUE(MID('1&amp;2号构型'!D163,6,2))</f>
        <v>1</v>
      </c>
      <c r="H248" s="3" t="str">
        <f>IF(LEN('1&amp;2号构型'!D163)=9,"TRUE","FALSE")</f>
        <v>TRUE</v>
      </c>
      <c r="I248" s="2" t="b">
        <f>VALUE(MID('1&amp;2号构型'!C163,1,2))=VALUE(MID('1&amp;2号构型'!A163,5,2))</f>
        <v>1</v>
      </c>
      <c r="J248" s="2" t="str">
        <f>IF(LEN('1&amp;2号构型'!C163)=14,"TRUE","FALSE")</f>
        <v>TRUE</v>
      </c>
      <c r="K248" s="2" t="str">
        <f>RIGHT('1&amp;2号构型'!C163,4)</f>
        <v>G900</v>
      </c>
    </row>
    <row r="249" spans="6:11">
      <c r="F249" t="str">
        <f>'1&amp;2号构型'!B164</f>
        <v>左主起落架收放作动筒</v>
      </c>
      <c r="G249" s="2" t="b">
        <f>VLOOKUP('1&amp;2号构型'!F164,B:C,2,0)=VALUE(MID('1&amp;2号构型'!D164,6,2))</f>
        <v>1</v>
      </c>
      <c r="H249" s="3" t="str">
        <f>IF(LEN('1&amp;2号构型'!D164)=9,"TRUE","FALSE")</f>
        <v>TRUE</v>
      </c>
      <c r="I249" s="2" t="b">
        <f>VALUE(MID('1&amp;2号构型'!C164,1,2))=VALUE(MID('1&amp;2号构型'!A164,5,2))</f>
        <v>1</v>
      </c>
      <c r="J249" s="2" t="str">
        <f>IF(LEN('1&amp;2号构型'!C164)=14,"TRUE","FALSE")</f>
        <v>TRUE</v>
      </c>
      <c r="K249" s="2" t="str">
        <f>RIGHT('1&amp;2号构型'!C164,4)</f>
        <v>G900</v>
      </c>
    </row>
    <row r="250" spans="6:11">
      <c r="F250" t="str">
        <f>'1&amp;2号构型'!B165</f>
        <v>右主起落架收放作动筒</v>
      </c>
      <c r="G250" s="2" t="b">
        <f>VLOOKUP('1&amp;2号构型'!F165,B:C,2,0)=VALUE(MID('1&amp;2号构型'!D165,6,2))</f>
        <v>1</v>
      </c>
      <c r="H250" s="3" t="str">
        <f>IF(LEN('1&amp;2号构型'!D165)=9,"TRUE","FALSE")</f>
        <v>TRUE</v>
      </c>
      <c r="I250" s="2" t="b">
        <f>VALUE(MID('1&amp;2号构型'!C165,1,2))=VALUE(MID('1&amp;2号构型'!A165,5,2))</f>
        <v>1</v>
      </c>
      <c r="J250" s="2" t="str">
        <f>IF(LEN('1&amp;2号构型'!C165)=14,"TRUE","FALSE")</f>
        <v>TRUE</v>
      </c>
      <c r="K250" s="2" t="str">
        <f>RIGHT('1&amp;2号构型'!C165,4)</f>
        <v>G900</v>
      </c>
    </row>
    <row r="251" spans="6:11">
      <c r="F251" t="str">
        <f>'1&amp;2号构型'!B166</f>
        <v>左主起落架下位锁开锁作动筒</v>
      </c>
      <c r="G251" s="2" t="b">
        <f>VLOOKUP('1&amp;2号构型'!F166,B:C,2,0)=VALUE(MID('1&amp;2号构型'!D166,6,2))</f>
        <v>1</v>
      </c>
      <c r="H251" s="3" t="str">
        <f>IF(LEN('1&amp;2号构型'!D166)=9,"TRUE","FALSE")</f>
        <v>TRUE</v>
      </c>
      <c r="I251" s="2" t="b">
        <f>VALUE(MID('1&amp;2号构型'!C166,1,2))=VALUE(MID('1&amp;2号构型'!A166,5,2))</f>
        <v>1</v>
      </c>
      <c r="J251" s="2" t="str">
        <f>IF(LEN('1&amp;2号构型'!C166)=14,"TRUE","FALSE")</f>
        <v>TRUE</v>
      </c>
      <c r="K251" s="2" t="str">
        <f>RIGHT('1&amp;2号构型'!C166,4)</f>
        <v>G900</v>
      </c>
    </row>
    <row r="252" spans="6:11">
      <c r="F252" t="str">
        <f>'1&amp;2号构型'!B167</f>
        <v>右主起落架下位锁开锁作动筒</v>
      </c>
      <c r="G252" s="2" t="b">
        <f>VLOOKUP('1&amp;2号构型'!F167,B:C,2,0)=VALUE(MID('1&amp;2号构型'!D167,6,2))</f>
        <v>1</v>
      </c>
      <c r="H252" s="3" t="str">
        <f>IF(LEN('1&amp;2号构型'!D167)=9,"TRUE","FALSE")</f>
        <v>TRUE</v>
      </c>
      <c r="I252" s="2" t="b">
        <f>VALUE(MID('1&amp;2号构型'!C167,1,2))=VALUE(MID('1&amp;2号构型'!A167,5,2))</f>
        <v>1</v>
      </c>
      <c r="J252" s="2" t="str">
        <f>IF(LEN('1&amp;2号构型'!C167)=14,"TRUE","FALSE")</f>
        <v>TRUE</v>
      </c>
      <c r="K252" s="2" t="str">
        <f>RIGHT('1&amp;2号构型'!C167,4)</f>
        <v>G900</v>
      </c>
    </row>
    <row r="253" spans="6:11">
      <c r="F253" t="str">
        <f>'1&amp;2号构型'!B168</f>
        <v>左主起落架上位锁</v>
      </c>
      <c r="G253" s="2" t="b">
        <f>VLOOKUP('1&amp;2号构型'!F168,B:C,2,0)=VALUE(MID('1&amp;2号构型'!D168,6,2))</f>
        <v>1</v>
      </c>
      <c r="H253" s="3" t="str">
        <f>IF(LEN('1&amp;2号构型'!D168)=9,"TRUE","FALSE")</f>
        <v>TRUE</v>
      </c>
      <c r="I253" s="2" t="b">
        <f>VALUE(MID('1&amp;2号构型'!C168,1,2))=VALUE(MID('1&amp;2号构型'!A168,5,2))</f>
        <v>1</v>
      </c>
      <c r="J253" s="2" t="str">
        <f>IF(LEN('1&amp;2号构型'!C168)=14,"TRUE","FALSE")</f>
        <v>TRUE</v>
      </c>
      <c r="K253" s="2" t="str">
        <f>RIGHT('1&amp;2号构型'!C168,4)</f>
        <v>G900</v>
      </c>
    </row>
    <row r="254" spans="6:11">
      <c r="F254" t="str">
        <f>'1&amp;2号构型'!B169</f>
        <v>右主起落架上位锁</v>
      </c>
      <c r="G254" s="2" t="b">
        <f>VLOOKUP('1&amp;2号构型'!F169,B:C,2,0)=VALUE(MID('1&amp;2号构型'!D169,6,2))</f>
        <v>1</v>
      </c>
      <c r="H254" s="3" t="str">
        <f>IF(LEN('1&amp;2号构型'!D169)=9,"TRUE","FALSE")</f>
        <v>TRUE</v>
      </c>
      <c r="I254" s="2" t="b">
        <f>VALUE(MID('1&amp;2号构型'!C169,1,2))=VALUE(MID('1&amp;2号构型'!A169,5,2))</f>
        <v>1</v>
      </c>
      <c r="J254" s="2" t="str">
        <f>IF(LEN('1&amp;2号构型'!C169)=14,"TRUE","FALSE")</f>
        <v>TRUE</v>
      </c>
      <c r="K254" s="2" t="str">
        <f>RIGHT('1&amp;2号构型'!C169,4)</f>
        <v>G900</v>
      </c>
    </row>
    <row r="255" spans="6:11">
      <c r="F255" t="str">
        <f>'1&amp;2号构型'!B170</f>
        <v>前起缓冲支柱组件</v>
      </c>
      <c r="G255" s="2" t="b">
        <f>VLOOKUP('1&amp;2号构型'!F170,B:C,2,0)=VALUE(MID('1&amp;2号构型'!D170,6,2))</f>
        <v>1</v>
      </c>
      <c r="H255" s="3" t="str">
        <f>IF(LEN('1&amp;2号构型'!D170)=9,"TRUE","FALSE")</f>
        <v>TRUE</v>
      </c>
      <c r="I255" s="2" t="b">
        <f>VALUE(MID('1&amp;2号构型'!C170,1,2))=VALUE(MID('1&amp;2号构型'!A170,5,2))</f>
        <v>1</v>
      </c>
      <c r="J255" s="2" t="str">
        <f>IF(LEN('1&amp;2号构型'!C170)=14,"TRUE","FALSE")</f>
        <v>TRUE</v>
      </c>
      <c r="K255" s="2" t="str">
        <f>RIGHT('1&amp;2号构型'!C170,4)</f>
        <v>G400</v>
      </c>
    </row>
    <row r="256" spans="6:11">
      <c r="F256" t="str">
        <f>'1&amp;2号构型'!B171</f>
        <v>前起轮载传感器1</v>
      </c>
      <c r="G256" s="2" t="b">
        <f>VLOOKUP('1&amp;2号构型'!F171,B:C,2,0)=VALUE(MID('1&amp;2号构型'!D171,6,2))</f>
        <v>1</v>
      </c>
      <c r="H256" s="3" t="str">
        <f>IF(LEN('1&amp;2号构型'!D171)=9,"TRUE","FALSE")</f>
        <v>TRUE</v>
      </c>
      <c r="I256" s="2" t="b">
        <f>VALUE(MID('1&amp;2号构型'!C171,1,2))=VALUE(MID('1&amp;2号构型'!A171,5,2))</f>
        <v>1</v>
      </c>
      <c r="J256" s="2" t="str">
        <f>IF(LEN('1&amp;2号构型'!C171)=14,"TRUE","FALSE")</f>
        <v>TRUE</v>
      </c>
      <c r="K256" s="2" t="str">
        <f>RIGHT('1&amp;2号构型'!C171,4)</f>
        <v>G400</v>
      </c>
    </row>
    <row r="257" spans="6:11">
      <c r="F257" t="str">
        <f>'1&amp;2号构型'!B172</f>
        <v>前起轮载传感器2</v>
      </c>
      <c r="G257" s="2" t="b">
        <f>VLOOKUP('1&amp;2号构型'!F172,B:C,2,0)=VALUE(MID('1&amp;2号构型'!D172,6,2))</f>
        <v>1</v>
      </c>
      <c r="H257" s="3" t="str">
        <f>IF(LEN('1&amp;2号构型'!D172)=9,"TRUE","FALSE")</f>
        <v>TRUE</v>
      </c>
      <c r="I257" s="2" t="b">
        <f>VALUE(MID('1&amp;2号构型'!C172,1,2))=VALUE(MID('1&amp;2号构型'!A172,5,2))</f>
        <v>1</v>
      </c>
      <c r="J257" s="2" t="str">
        <f>IF(LEN('1&amp;2号构型'!C172)=14,"TRUE","FALSE")</f>
        <v>TRUE</v>
      </c>
      <c r="K257" s="2" t="str">
        <f>RIGHT('1&amp;2号构型'!C172,4)</f>
        <v>G400</v>
      </c>
    </row>
    <row r="258" spans="6:11">
      <c r="F258" t="str">
        <f>'1&amp;2号构型'!B173</f>
        <v>前起阻力杆组件</v>
      </c>
      <c r="G258" s="2" t="b">
        <f>VLOOKUP('1&amp;2号构型'!F173,B:C,2,0)=VALUE(MID('1&amp;2号构型'!D173,6,2))</f>
        <v>1</v>
      </c>
      <c r="H258" s="3" t="str">
        <f>IF(LEN('1&amp;2号构型'!D173)=9,"TRUE","FALSE")</f>
        <v>TRUE</v>
      </c>
      <c r="I258" s="2" t="b">
        <f>VALUE(MID('1&amp;2号构型'!C173,1,2))=VALUE(MID('1&amp;2号构型'!A173,5,2))</f>
        <v>1</v>
      </c>
      <c r="J258" s="2" t="str">
        <f>IF(LEN('1&amp;2号构型'!C173)=14,"TRUE","FALSE")</f>
        <v>TRUE</v>
      </c>
      <c r="K258" s="2" t="str">
        <f>RIGHT('1&amp;2号构型'!C173,4)</f>
        <v>G400</v>
      </c>
    </row>
    <row r="259" spans="6:11">
      <c r="F259" t="str">
        <f>'1&amp;2号构型'!B174</f>
        <v>前起锁连杆组件</v>
      </c>
      <c r="G259" s="2" t="b">
        <f>VLOOKUP('1&amp;2号构型'!F174,B:C,2,0)=VALUE(MID('1&amp;2号构型'!D174,6,2))</f>
        <v>1</v>
      </c>
      <c r="H259" s="3" t="str">
        <f>IF(LEN('1&amp;2号构型'!D174)=9,"TRUE","FALSE")</f>
        <v>TRUE</v>
      </c>
      <c r="I259" s="2" t="b">
        <f>VALUE(MID('1&amp;2号构型'!C174,1,2))=VALUE(MID('1&amp;2号构型'!A174,5,2))</f>
        <v>1</v>
      </c>
      <c r="J259" s="2" t="str">
        <f>IF(LEN('1&amp;2号构型'!C174)=14,"TRUE","FALSE")</f>
        <v>TRUE</v>
      </c>
      <c r="K259" s="2" t="str">
        <f>RIGHT('1&amp;2号构型'!C174,4)</f>
        <v>G400</v>
      </c>
    </row>
    <row r="260" spans="6:11">
      <c r="F260" t="str">
        <f>'1&amp;2号构型'!B175</f>
        <v>前起锁连杆锁定传感器1</v>
      </c>
      <c r="G260" s="2" t="b">
        <f>VLOOKUP('1&amp;2号构型'!F175,B:C,2,0)=VALUE(MID('1&amp;2号构型'!D175,6,2))</f>
        <v>1</v>
      </c>
      <c r="H260" s="3" t="str">
        <f>IF(LEN('1&amp;2号构型'!D175)=9,"TRUE","FALSE")</f>
        <v>TRUE</v>
      </c>
      <c r="I260" s="2" t="b">
        <f>VALUE(MID('1&amp;2号构型'!C175,1,2))=VALUE(MID('1&amp;2号构型'!A175,5,2))</f>
        <v>1</v>
      </c>
      <c r="J260" s="2" t="str">
        <f>IF(LEN('1&amp;2号构型'!C175)=14,"TRUE","FALSE")</f>
        <v>TRUE</v>
      </c>
      <c r="K260" s="2" t="str">
        <f>RIGHT('1&amp;2号构型'!C175,4)</f>
        <v>G400</v>
      </c>
    </row>
    <row r="261" spans="6:11">
      <c r="F261" t="str">
        <f>'1&amp;2号构型'!B176</f>
        <v>前起锁连杆锁定传感器2</v>
      </c>
      <c r="G261" s="2" t="b">
        <f>VLOOKUP('1&amp;2号构型'!F176,B:C,2,0)=VALUE(MID('1&amp;2号构型'!D176,6,2))</f>
        <v>1</v>
      </c>
      <c r="H261" s="3" t="str">
        <f>IF(LEN('1&amp;2号构型'!D176)=9,"TRUE","FALSE")</f>
        <v>TRUE</v>
      </c>
      <c r="I261" s="2" t="b">
        <f>VALUE(MID('1&amp;2号构型'!C176,1,2))=VALUE(MID('1&amp;2号构型'!A176,5,2))</f>
        <v>1</v>
      </c>
      <c r="J261" s="2" t="str">
        <f>IF(LEN('1&amp;2号构型'!C176)=14,"TRUE","FALSE")</f>
        <v>TRUE</v>
      </c>
      <c r="K261" s="2" t="str">
        <f>RIGHT('1&amp;2号构型'!C176,4)</f>
        <v>G400</v>
      </c>
    </row>
    <row r="262" spans="6:11">
      <c r="F262" t="str">
        <f>'1&amp;2号构型'!B177</f>
        <v>前起舱门机构组件</v>
      </c>
      <c r="G262" s="2" t="b">
        <f>VLOOKUP('1&amp;2号构型'!F177,B:C,2,0)=VALUE(MID('1&amp;2号构型'!D177,6,2))</f>
        <v>1</v>
      </c>
      <c r="H262" s="3" t="str">
        <f>IF(LEN('1&amp;2号构型'!D177)=9,"TRUE","FALSE")</f>
        <v>TRUE</v>
      </c>
      <c r="I262" s="2" t="b">
        <f>VALUE(MID('1&amp;2号构型'!C177,1,2))=VALUE(MID('1&amp;2号构型'!A177,5,2))</f>
        <v>1</v>
      </c>
      <c r="J262" s="2" t="str">
        <f>IF(LEN('1&amp;2号构型'!C177)=14,"TRUE","FALSE")</f>
        <v>TRUE</v>
      </c>
      <c r="K262" s="2" t="str">
        <f>RIGHT('1&amp;2号构型'!C177,4)</f>
        <v>G400</v>
      </c>
    </row>
    <row r="263" spans="6:11">
      <c r="F263" t="str">
        <f>'1&amp;2号构型'!B178</f>
        <v>前起收放作动筒</v>
      </c>
      <c r="G263" s="2" t="b">
        <f>VLOOKUP('1&amp;2号构型'!F178,B:C,2,0)=VALUE(MID('1&amp;2号构型'!D178,6,2))</f>
        <v>1</v>
      </c>
      <c r="H263" s="3" t="str">
        <f>IF(LEN('1&amp;2号构型'!D178)=9,"TRUE","FALSE")</f>
        <v>TRUE</v>
      </c>
      <c r="I263" s="2" t="b">
        <f>VALUE(MID('1&amp;2号构型'!C178,1,2))=VALUE(MID('1&amp;2号构型'!A178,5,2))</f>
        <v>1</v>
      </c>
      <c r="J263" s="2" t="str">
        <f>IF(LEN('1&amp;2号构型'!C178)=14,"TRUE","FALSE")</f>
        <v>TRUE</v>
      </c>
      <c r="K263" s="2" t="str">
        <f>RIGHT('1&amp;2号构型'!C178,4)</f>
        <v>G900</v>
      </c>
    </row>
    <row r="264" spans="6:11">
      <c r="F264" t="str">
        <f>'1&amp;2号构型'!B179</f>
        <v>前起开锁作动筒</v>
      </c>
      <c r="G264" s="2" t="b">
        <f>VLOOKUP('1&amp;2号构型'!F179,B:C,2,0)=VALUE(MID('1&amp;2号构型'!D179,6,2))</f>
        <v>1</v>
      </c>
      <c r="H264" s="3" t="str">
        <f>IF(LEN('1&amp;2号构型'!D179)=9,"TRUE","FALSE")</f>
        <v>TRUE</v>
      </c>
      <c r="I264" s="2" t="b">
        <f>VALUE(MID('1&amp;2号构型'!C179,1,2))=VALUE(MID('1&amp;2号构型'!A179,5,2))</f>
        <v>1</v>
      </c>
      <c r="J264" s="2" t="str">
        <f>IF(LEN('1&amp;2号构型'!C179)=14,"TRUE","FALSE")</f>
        <v>TRUE</v>
      </c>
      <c r="K264" s="2" t="str">
        <f>RIGHT('1&amp;2号构型'!C179,4)</f>
        <v>G900</v>
      </c>
    </row>
    <row r="265" spans="6:11">
      <c r="F265" t="str">
        <f>'1&amp;2号构型'!B180</f>
        <v>前起备份放开锁作动装置</v>
      </c>
      <c r="G265" s="2" t="b">
        <f>VLOOKUP('1&amp;2号构型'!F180,B:C,2,0)=VALUE(MID('1&amp;2号构型'!D180,6,2))</f>
        <v>1</v>
      </c>
      <c r="H265" s="3" t="str">
        <f>IF(LEN('1&amp;2号构型'!D180)=9,"TRUE","FALSE")</f>
        <v>TRUE</v>
      </c>
      <c r="I265" s="2" t="b">
        <f>VALUE(MID('1&amp;2号构型'!C180,1,2))=VALUE(MID('1&amp;2号构型'!A180,5,2))</f>
        <v>1</v>
      </c>
      <c r="J265" s="2" t="str">
        <f>IF(LEN('1&amp;2号构型'!C180)=14,"TRUE","FALSE")</f>
        <v>TRUE</v>
      </c>
      <c r="K265" s="2" t="str">
        <f>RIGHT('1&amp;2号构型'!C180,4)</f>
        <v>G900</v>
      </c>
    </row>
    <row r="266" spans="6:11">
      <c r="F266" t="str">
        <f>'1&amp;2号构型'!B181</f>
        <v>左主起EHM控制器</v>
      </c>
      <c r="G266" s="2" t="b">
        <f>VLOOKUP('1&amp;2号构型'!F181,B:C,2,0)=VALUE(MID('1&amp;2号构型'!D181,6,2))</f>
        <v>1</v>
      </c>
      <c r="H266" s="3" t="str">
        <f>IF(LEN('1&amp;2号构型'!D181)=9,"TRUE","FALSE")</f>
        <v>TRUE</v>
      </c>
      <c r="I266" s="2" t="b">
        <f>VALUE(MID('1&amp;2号构型'!C181,1,2))=VALUE(MID('1&amp;2号构型'!A181,5,2))</f>
        <v>1</v>
      </c>
      <c r="J266" s="2" t="str">
        <f>IF(LEN('1&amp;2号构型'!C181)=14,"TRUE","FALSE")</f>
        <v>TRUE</v>
      </c>
      <c r="K266" s="2" t="str">
        <f>RIGHT('1&amp;2号构型'!C181,4)</f>
        <v>G900</v>
      </c>
    </row>
    <row r="267" spans="6:11">
      <c r="F267" t="str">
        <f>'1&amp;2号构型'!B182</f>
        <v>右主起EHM控制器</v>
      </c>
      <c r="G267" s="2" t="b">
        <f>VLOOKUP('1&amp;2号构型'!F182,B:C,2,0)=VALUE(MID('1&amp;2号构型'!D182,6,2))</f>
        <v>1</v>
      </c>
      <c r="H267" s="3" t="str">
        <f>IF(LEN('1&amp;2号构型'!D182)=9,"TRUE","FALSE")</f>
        <v>TRUE</v>
      </c>
      <c r="I267" s="2" t="b">
        <f>VALUE(MID('1&amp;2号构型'!C182,1,2))=VALUE(MID('1&amp;2号构型'!A182,5,2))</f>
        <v>1</v>
      </c>
      <c r="J267" s="2" t="str">
        <f>IF(LEN('1&amp;2号构型'!C182)=14,"TRUE","FALSE")</f>
        <v>TRUE</v>
      </c>
      <c r="K267" s="2" t="str">
        <f>RIGHT('1&amp;2号构型'!C182,4)</f>
        <v>G900</v>
      </c>
    </row>
    <row r="268" spans="6:11">
      <c r="F268" t="str">
        <f>'1&amp;2号构型'!B183</f>
        <v>前起EHM控制器</v>
      </c>
      <c r="G268" s="2" t="b">
        <f>VLOOKUP('1&amp;2号构型'!F183,B:C,2,0)=VALUE(MID('1&amp;2号构型'!D183,6,2))</f>
        <v>1</v>
      </c>
      <c r="H268" s="3" t="str">
        <f>IF(LEN('1&amp;2号构型'!D183)=9,"TRUE","FALSE")</f>
        <v>TRUE</v>
      </c>
      <c r="I268" s="2" t="b">
        <f>VALUE(MID('1&amp;2号构型'!C183,1,2))=VALUE(MID('1&amp;2号构型'!A183,5,2))</f>
        <v>1</v>
      </c>
      <c r="J268" s="2" t="str">
        <f>IF(LEN('1&amp;2号构型'!C183)=14,"TRUE","FALSE")</f>
        <v>TRUE</v>
      </c>
      <c r="K268" s="2" t="str">
        <f>RIGHT('1&amp;2号构型'!C183,4)</f>
        <v>G900</v>
      </c>
    </row>
    <row r="269" spans="6:11">
      <c r="F269" t="str">
        <f>'1&amp;2号构型'!B184</f>
        <v>左主起EHM</v>
      </c>
      <c r="G269" s="2" t="b">
        <f>VLOOKUP('1&amp;2号构型'!F184,B:C,2,0)=VALUE(MID('1&amp;2号构型'!D184,6,2))</f>
        <v>1</v>
      </c>
      <c r="H269" s="3" t="str">
        <f>IF(LEN('1&amp;2号构型'!D184)=9,"TRUE","FALSE")</f>
        <v>TRUE</v>
      </c>
      <c r="I269" s="2" t="b">
        <f>VALUE(MID('1&amp;2号构型'!C184,1,2))=VALUE(MID('1&amp;2号构型'!A184,5,2))</f>
        <v>1</v>
      </c>
      <c r="J269" s="2" t="str">
        <f>IF(LEN('1&amp;2号构型'!C184)=14,"TRUE","FALSE")</f>
        <v>TRUE</v>
      </c>
      <c r="K269" s="2" t="str">
        <f>RIGHT('1&amp;2号构型'!C184,4)</f>
        <v>G900</v>
      </c>
    </row>
    <row r="270" spans="6:11">
      <c r="F270" t="str">
        <f>'1&amp;2号构型'!B185</f>
        <v>右主起EHM</v>
      </c>
      <c r="G270" s="2" t="b">
        <f>VLOOKUP('1&amp;2号构型'!F185,B:C,2,0)=VALUE(MID('1&amp;2号构型'!D185,6,2))</f>
        <v>1</v>
      </c>
      <c r="H270" s="3" t="str">
        <f>IF(LEN('1&amp;2号构型'!D185)=9,"TRUE","FALSE")</f>
        <v>TRUE</v>
      </c>
      <c r="I270" s="2" t="b">
        <f>VALUE(MID('1&amp;2号构型'!C185,1,2))=VALUE(MID('1&amp;2号构型'!A185,5,2))</f>
        <v>1</v>
      </c>
      <c r="J270" s="2" t="str">
        <f>IF(LEN('1&amp;2号构型'!C185)=14,"TRUE","FALSE")</f>
        <v>TRUE</v>
      </c>
      <c r="K270" s="2" t="str">
        <f>RIGHT('1&amp;2号构型'!C185,4)</f>
        <v>G900</v>
      </c>
    </row>
    <row r="271" spans="6:11">
      <c r="F271" t="str">
        <f>'1&amp;2号构型'!B186</f>
        <v>前起EHM</v>
      </c>
      <c r="G271" s="2" t="b">
        <f>VLOOKUP('1&amp;2号构型'!F186,B:C,2,0)=VALUE(MID('1&amp;2号构型'!D186,6,2))</f>
        <v>1</v>
      </c>
      <c r="H271" s="3" t="str">
        <f>IF(LEN('1&amp;2号构型'!D186)=9,"TRUE","FALSE")</f>
        <v>TRUE</v>
      </c>
      <c r="I271" s="2" t="b">
        <f>VALUE(MID('1&amp;2号构型'!C186,1,2))=VALUE(MID('1&amp;2号构型'!A186,5,2))</f>
        <v>1</v>
      </c>
      <c r="J271" s="2" t="str">
        <f>IF(LEN('1&amp;2号构型'!C186)=14,"TRUE","FALSE")</f>
        <v>TRUE</v>
      </c>
      <c r="K271" s="2" t="str">
        <f>RIGHT('1&amp;2号构型'!C186,4)</f>
        <v>G900</v>
      </c>
    </row>
    <row r="272" spans="6:11">
      <c r="F272" t="str">
        <f>'1&amp;2号构型'!B187</f>
        <v>备份放继电器1</v>
      </c>
      <c r="G272" s="2" t="b">
        <f>VLOOKUP('1&amp;2号构型'!F187,B:C,2,0)=VALUE(MID('1&amp;2号构型'!D187,6,2))</f>
        <v>1</v>
      </c>
      <c r="H272" s="3" t="str">
        <f>IF(LEN('1&amp;2号构型'!D187)=9,"TRUE","FALSE")</f>
        <v>TRUE</v>
      </c>
      <c r="I272" s="2" t="b">
        <f>VALUE(MID('1&amp;2号构型'!C187,1,2))=VALUE(MID('1&amp;2号构型'!A187,5,2))</f>
        <v>1</v>
      </c>
      <c r="J272" s="2" t="str">
        <f>IF(LEN('1&amp;2号构型'!C187)=14,"TRUE","FALSE")</f>
        <v>TRUE</v>
      </c>
      <c r="K272" s="2" t="str">
        <f>RIGHT('1&amp;2号构型'!C187,4)</f>
        <v>G900</v>
      </c>
    </row>
    <row r="273" spans="6:11">
      <c r="F273" t="str">
        <f>'1&amp;2号构型'!B188</f>
        <v>备份放继电器2</v>
      </c>
      <c r="G273" s="2" t="b">
        <f>VLOOKUP('1&amp;2号构型'!F188,B:C,2,0)=VALUE(MID('1&amp;2号构型'!D188,6,2))</f>
        <v>1</v>
      </c>
      <c r="H273" s="3" t="str">
        <f>IF(LEN('1&amp;2号构型'!D188)=9,"TRUE","FALSE")</f>
        <v>TRUE</v>
      </c>
      <c r="I273" s="2" t="b">
        <f>VALUE(MID('1&amp;2号构型'!C188,1,2))=VALUE(MID('1&amp;2号构型'!A188,5,2))</f>
        <v>1</v>
      </c>
      <c r="J273" s="2" t="str">
        <f>IF(LEN('1&amp;2号构型'!C188)=14,"TRUE","FALSE")</f>
        <v>TRUE</v>
      </c>
      <c r="K273" s="2" t="str">
        <f>RIGHT('1&amp;2号构型'!C188,4)</f>
        <v>G900</v>
      </c>
    </row>
    <row r="274" spans="6:11">
      <c r="F274" t="str">
        <f>'1&amp;2号构型'!B189</f>
        <v>备份放继电器3</v>
      </c>
      <c r="G274" s="2" t="b">
        <f>VLOOKUP('1&amp;2号构型'!F189,B:C,2,0)=VALUE(MID('1&amp;2号构型'!D189,6,2))</f>
        <v>1</v>
      </c>
      <c r="H274" s="3" t="str">
        <f>IF(LEN('1&amp;2号构型'!D189)=9,"TRUE","FALSE")</f>
        <v>TRUE</v>
      </c>
      <c r="I274" s="2" t="b">
        <f>VALUE(MID('1&amp;2号构型'!C189,1,2))=VALUE(MID('1&amp;2号构型'!A189,5,2))</f>
        <v>1</v>
      </c>
      <c r="J274" s="2" t="str">
        <f>IF(LEN('1&amp;2号构型'!C189)=14,"TRUE","FALSE")</f>
        <v>TRUE</v>
      </c>
      <c r="K274" s="2" t="str">
        <f>RIGHT('1&amp;2号构型'!C189,4)</f>
        <v>G900</v>
      </c>
    </row>
    <row r="275" spans="6:11">
      <c r="F275" t="str">
        <f>'1&amp;2号构型'!B190</f>
        <v>左座脚蹬传感器1</v>
      </c>
      <c r="G275" s="2" t="b">
        <f>VLOOKUP('1&amp;2号构型'!F190,B:C,2,0)=VALUE(MID('1&amp;2号构型'!D190,6,2))</f>
        <v>1</v>
      </c>
      <c r="H275" s="3" t="str">
        <f>IF(LEN('1&amp;2号构型'!D190)=9,"TRUE","FALSE")</f>
        <v>TRUE</v>
      </c>
      <c r="I275" s="2" t="b">
        <f>VALUE(MID('1&amp;2号构型'!C190,1,2))=VALUE(MID('1&amp;2号构型'!A190,5,2))</f>
        <v>1</v>
      </c>
      <c r="J275" s="2" t="str">
        <f>IF(LEN('1&amp;2号构型'!C190)=14,"TRUE","FALSE")</f>
        <v>TRUE</v>
      </c>
      <c r="K275" s="2" t="str">
        <f>RIGHT('1&amp;2号构型'!C190,4)</f>
        <v>G900</v>
      </c>
    </row>
    <row r="276" spans="6:11">
      <c r="F276" t="str">
        <f>'1&amp;2号构型'!B191</f>
        <v>左座脚蹬传感器2</v>
      </c>
      <c r="G276" s="2" t="b">
        <f>VLOOKUP('1&amp;2号构型'!F191,B:C,2,0)=VALUE(MID('1&amp;2号构型'!D191,6,2))</f>
        <v>1</v>
      </c>
      <c r="H276" s="3" t="str">
        <f>IF(LEN('1&amp;2号构型'!D191)=9,"TRUE","FALSE")</f>
        <v>TRUE</v>
      </c>
      <c r="I276" s="2" t="b">
        <f>VALUE(MID('1&amp;2号构型'!C191,1,2))=VALUE(MID('1&amp;2号构型'!A191,5,2))</f>
        <v>1</v>
      </c>
      <c r="J276" s="2" t="str">
        <f>IF(LEN('1&amp;2号构型'!C191)=14,"TRUE","FALSE")</f>
        <v>TRUE</v>
      </c>
      <c r="K276" s="2" t="str">
        <f>RIGHT('1&amp;2号构型'!C191,4)</f>
        <v>G900</v>
      </c>
    </row>
    <row r="277" spans="6:11">
      <c r="F277" t="str">
        <f>'1&amp;2号构型'!B192</f>
        <v>右座脚蹬传感器1</v>
      </c>
      <c r="G277" s="2" t="b">
        <f>VLOOKUP('1&amp;2号构型'!F192,B:C,2,0)=VALUE(MID('1&amp;2号构型'!D192,6,2))</f>
        <v>1</v>
      </c>
      <c r="H277" s="3" t="str">
        <f>IF(LEN('1&amp;2号构型'!D192)=9,"TRUE","FALSE")</f>
        <v>TRUE</v>
      </c>
      <c r="I277" s="2" t="b">
        <f>VALUE(MID('1&amp;2号构型'!C192,1,2))=VALUE(MID('1&amp;2号构型'!A192,5,2))</f>
        <v>1</v>
      </c>
      <c r="J277" s="2" t="str">
        <f>IF(LEN('1&amp;2号构型'!C192)=14,"TRUE","FALSE")</f>
        <v>TRUE</v>
      </c>
      <c r="K277" s="2" t="str">
        <f>RIGHT('1&amp;2号构型'!C192,4)</f>
        <v>G900</v>
      </c>
    </row>
    <row r="278" spans="6:11">
      <c r="F278" t="str">
        <f>'1&amp;2号构型'!B193</f>
        <v>右座脚蹬传感器2</v>
      </c>
      <c r="G278" s="2" t="b">
        <f>VLOOKUP('1&amp;2号构型'!F193,B:C,2,0)=VALUE(MID('1&amp;2号构型'!D193,6,2))</f>
        <v>1</v>
      </c>
      <c r="H278" s="3" t="str">
        <f>IF(LEN('1&amp;2号构型'!D193)=9,"TRUE","FALSE")</f>
        <v>TRUE</v>
      </c>
      <c r="I278" s="2" t="b">
        <f>VALUE(MID('1&amp;2号构型'!C193,1,2))=VALUE(MID('1&amp;2号构型'!A193,5,2))</f>
        <v>1</v>
      </c>
      <c r="J278" s="2" t="str">
        <f>IF(LEN('1&amp;2号构型'!C193)=14,"TRUE","FALSE")</f>
        <v>TRUE</v>
      </c>
      <c r="K278" s="2" t="str">
        <f>RIGHT('1&amp;2号构型'!C193,4)</f>
        <v>G900</v>
      </c>
    </row>
    <row r="279" spans="6:11">
      <c r="F279" t="str">
        <f>'1&amp;2号构型'!B194</f>
        <v>刹车控制监视单元</v>
      </c>
      <c r="G279" s="2" t="b">
        <f>VLOOKUP('1&amp;2号构型'!F194,B:C,2,0)=VALUE(MID('1&amp;2号构型'!D194,6,2))</f>
        <v>1</v>
      </c>
      <c r="H279" s="3" t="str">
        <f>IF(LEN('1&amp;2号构型'!D194)=9,"TRUE","FALSE")</f>
        <v>TRUE</v>
      </c>
      <c r="I279" s="2" t="b">
        <f>VALUE(MID('1&amp;2号构型'!C194,1,2))=VALUE(MID('1&amp;2号构型'!A194,5,2))</f>
        <v>1</v>
      </c>
      <c r="J279" s="2" t="str">
        <f>IF(LEN('1&amp;2号构型'!C194)=14,"TRUE","FALSE")</f>
        <v>TRUE</v>
      </c>
      <c r="K279" s="2" t="str">
        <f>RIGHT('1&amp;2号构型'!C194,4)</f>
        <v>G900</v>
      </c>
    </row>
    <row r="280" spans="6:11">
      <c r="F280" t="str">
        <f>'1&amp;2号构型'!B195</f>
        <v>备份刹车控制单元</v>
      </c>
      <c r="G280" s="2" t="b">
        <f>VLOOKUP('1&amp;2号构型'!F195,B:C,2,0)=VALUE(MID('1&amp;2号构型'!D195,6,2))</f>
        <v>1</v>
      </c>
      <c r="H280" s="3" t="str">
        <f>IF(LEN('1&amp;2号构型'!D195)=9,"TRUE","FALSE")</f>
        <v>TRUE</v>
      </c>
      <c r="I280" s="2" t="b">
        <f>VALUE(MID('1&amp;2号构型'!C195,1,2))=VALUE(MID('1&amp;2号构型'!A195,5,2))</f>
        <v>1</v>
      </c>
      <c r="J280" s="2" t="str">
        <f>IF(LEN('1&amp;2号构型'!C195)=14,"TRUE","FALSE")</f>
        <v>TRUE</v>
      </c>
      <c r="K280" s="2" t="str">
        <f>RIGHT('1&amp;2号构型'!C195,4)</f>
        <v>G900</v>
      </c>
    </row>
    <row r="281" spans="6:11">
      <c r="F281" t="str">
        <f>'1&amp;2号构型'!B196</f>
        <v>外侧EMA控制器1</v>
      </c>
      <c r="G281" s="2" t="b">
        <f>VLOOKUP('1&amp;2号构型'!F196,B:C,2,0)=VALUE(MID('1&amp;2号构型'!D196,6,2))</f>
        <v>1</v>
      </c>
      <c r="H281" s="3" t="str">
        <f>IF(LEN('1&amp;2号构型'!D196)=9,"TRUE","FALSE")</f>
        <v>TRUE</v>
      </c>
      <c r="I281" s="2" t="b">
        <f>VALUE(MID('1&amp;2号构型'!C196,1,2))=VALUE(MID('1&amp;2号构型'!A196,5,2))</f>
        <v>1</v>
      </c>
      <c r="J281" s="2" t="str">
        <f>IF(LEN('1&amp;2号构型'!C196)=14,"TRUE","FALSE")</f>
        <v>TRUE</v>
      </c>
      <c r="K281" s="2" t="str">
        <f>RIGHT('1&amp;2号构型'!C196,4)</f>
        <v>G900</v>
      </c>
    </row>
    <row r="282" spans="6:11">
      <c r="F282" t="str">
        <f>'1&amp;2号构型'!B197</f>
        <v>外侧EMA控制器2</v>
      </c>
      <c r="G282" s="2" t="b">
        <f>VLOOKUP('1&amp;2号构型'!F197,B:C,2,0)=VALUE(MID('1&amp;2号构型'!D197,6,2))</f>
        <v>1</v>
      </c>
      <c r="H282" s="3" t="str">
        <f>IF(LEN('1&amp;2号构型'!D197)=9,"TRUE","FALSE")</f>
        <v>TRUE</v>
      </c>
      <c r="I282" s="2" t="b">
        <f>VALUE(MID('1&amp;2号构型'!C197,1,2))=VALUE(MID('1&amp;2号构型'!A197,5,2))</f>
        <v>1</v>
      </c>
      <c r="J282" s="2" t="str">
        <f>IF(LEN('1&amp;2号构型'!C197)=14,"TRUE","FALSE")</f>
        <v>TRUE</v>
      </c>
      <c r="K282" s="2" t="str">
        <f>RIGHT('1&amp;2号构型'!C197,4)</f>
        <v>G900</v>
      </c>
    </row>
    <row r="283" spans="6:11">
      <c r="F283" t="str">
        <f>'1&amp;2号构型'!B198</f>
        <v>内侧EMA控制器1</v>
      </c>
      <c r="G283" s="2" t="b">
        <f>VLOOKUP('1&amp;2号构型'!F198,B:C,2,0)=VALUE(MID('1&amp;2号构型'!D198,6,2))</f>
        <v>1</v>
      </c>
      <c r="H283" s="3" t="str">
        <f>IF(LEN('1&amp;2号构型'!D198)=9,"TRUE","FALSE")</f>
        <v>TRUE</v>
      </c>
      <c r="I283" s="2" t="b">
        <f>VALUE(MID('1&amp;2号构型'!C198,1,2))=VALUE(MID('1&amp;2号构型'!A198,5,2))</f>
        <v>1</v>
      </c>
      <c r="J283" s="2" t="str">
        <f>IF(LEN('1&amp;2号构型'!C198)=14,"TRUE","FALSE")</f>
        <v>TRUE</v>
      </c>
      <c r="K283" s="2" t="str">
        <f>RIGHT('1&amp;2号构型'!C198,4)</f>
        <v>G900</v>
      </c>
    </row>
    <row r="284" spans="6:11">
      <c r="F284" t="str">
        <f>'1&amp;2号构型'!B199</f>
        <v>内侧EMA控制器2</v>
      </c>
      <c r="G284" s="2" t="b">
        <f>VLOOKUP('1&amp;2号构型'!F199,B:C,2,0)=VALUE(MID('1&amp;2号构型'!D199,6,2))</f>
        <v>1</v>
      </c>
      <c r="H284" s="3" t="str">
        <f>IF(LEN('1&amp;2号构型'!D199)=9,"TRUE","FALSE")</f>
        <v>TRUE</v>
      </c>
      <c r="I284" s="2" t="b">
        <f>VALUE(MID('1&amp;2号构型'!C199,1,2))=VALUE(MID('1&amp;2号构型'!A199,5,2))</f>
        <v>1</v>
      </c>
      <c r="J284" s="2" t="str">
        <f>IF(LEN('1&amp;2号构型'!C199)=14,"TRUE","FALSE")</f>
        <v>TRUE</v>
      </c>
      <c r="K284" s="2" t="str">
        <f>RIGHT('1&amp;2号构型'!C199,4)</f>
        <v>G900</v>
      </c>
    </row>
    <row r="285" spans="6:11">
      <c r="F285" t="str">
        <f>'1&amp;2号构型'!B200</f>
        <v>左外刹车温度传感器</v>
      </c>
      <c r="G285" s="2" t="b">
        <f>VLOOKUP('1&amp;2号构型'!F200,B:C,2,0)=VALUE(MID('1&amp;2号构型'!D200,6,2))</f>
        <v>1</v>
      </c>
      <c r="H285" s="3" t="str">
        <f>IF(LEN('1&amp;2号构型'!D200)=9,"TRUE","FALSE")</f>
        <v>TRUE</v>
      </c>
      <c r="I285" s="2" t="b">
        <f>VALUE(MID('1&amp;2号构型'!C200,1,2))=VALUE(MID('1&amp;2号构型'!A200,5,2))</f>
        <v>1</v>
      </c>
      <c r="J285" s="2" t="str">
        <f>IF(LEN('1&amp;2号构型'!C200)=14,"TRUE","FALSE")</f>
        <v>TRUE</v>
      </c>
      <c r="K285" s="2" t="str">
        <f>RIGHT('1&amp;2号构型'!C200,4)</f>
        <v>G900</v>
      </c>
    </row>
    <row r="286" spans="6:11">
      <c r="F286" t="str">
        <f>'1&amp;2号构型'!B201</f>
        <v>左内刹车温度传感器</v>
      </c>
      <c r="G286" s="2" t="b">
        <f>VLOOKUP('1&amp;2号构型'!F201,B:C,2,0)=VALUE(MID('1&amp;2号构型'!D201,6,2))</f>
        <v>1</v>
      </c>
      <c r="H286" s="3" t="str">
        <f>IF(LEN('1&amp;2号构型'!D201)=9,"TRUE","FALSE")</f>
        <v>TRUE</v>
      </c>
      <c r="I286" s="2" t="b">
        <f>VALUE(MID('1&amp;2号构型'!C201,1,2))=VALUE(MID('1&amp;2号构型'!A201,5,2))</f>
        <v>1</v>
      </c>
      <c r="J286" s="2" t="str">
        <f>IF(LEN('1&amp;2号构型'!C201)=14,"TRUE","FALSE")</f>
        <v>TRUE</v>
      </c>
      <c r="K286" s="2" t="str">
        <f>RIGHT('1&amp;2号构型'!C201,4)</f>
        <v>G900</v>
      </c>
    </row>
    <row r="287" spans="6:11">
      <c r="F287" t="str">
        <f>'1&amp;2号构型'!B202</f>
        <v>右内刹车温度传感器</v>
      </c>
      <c r="G287" s="2" t="b">
        <f>VLOOKUP('1&amp;2号构型'!F202,B:C,2,0)=VALUE(MID('1&amp;2号构型'!D202,6,2))</f>
        <v>1</v>
      </c>
      <c r="H287" s="3" t="str">
        <f>IF(LEN('1&amp;2号构型'!D202)=9,"TRUE","FALSE")</f>
        <v>TRUE</v>
      </c>
      <c r="I287" s="2" t="b">
        <f>VALUE(MID('1&amp;2号构型'!C202,1,2))=VALUE(MID('1&amp;2号构型'!A202,5,2))</f>
        <v>1</v>
      </c>
      <c r="J287" s="2" t="str">
        <f>IF(LEN('1&amp;2号构型'!C202)=14,"TRUE","FALSE")</f>
        <v>TRUE</v>
      </c>
      <c r="K287" s="2" t="str">
        <f>RIGHT('1&amp;2号构型'!C202,4)</f>
        <v>G900</v>
      </c>
    </row>
    <row r="288" spans="6:11">
      <c r="F288" t="str">
        <f>'1&amp;2号构型'!B203</f>
        <v>右外刹车温度传感器</v>
      </c>
      <c r="G288" s="2" t="b">
        <f>VLOOKUP('1&amp;2号构型'!F203,B:C,2,0)=VALUE(MID('1&amp;2号构型'!D203,6,2))</f>
        <v>1</v>
      </c>
      <c r="H288" s="3" t="str">
        <f>IF(LEN('1&amp;2号构型'!D203)=9,"TRUE","FALSE")</f>
        <v>TRUE</v>
      </c>
      <c r="I288" s="2" t="b">
        <f>VALUE(MID('1&amp;2号构型'!C203,1,2))=VALUE(MID('1&amp;2号构型'!A203,5,2))</f>
        <v>1</v>
      </c>
      <c r="J288" s="2" t="str">
        <f>IF(LEN('1&amp;2号构型'!C203)=14,"TRUE","FALSE")</f>
        <v>TRUE</v>
      </c>
      <c r="K288" s="2" t="str">
        <f>RIGHT('1&amp;2号构型'!C203,4)</f>
        <v>G900</v>
      </c>
    </row>
    <row r="289" spans="6:11">
      <c r="F289" t="str">
        <f>'1&amp;2号构型'!B204</f>
        <v>左外机轮刹车装置</v>
      </c>
      <c r="G289" s="2" t="b">
        <f>VLOOKUP('1&amp;2号构型'!F204,B:C,2,0)=VALUE(MID('1&amp;2号构型'!D204,6,2))</f>
        <v>1</v>
      </c>
      <c r="H289" s="3" t="str">
        <f>IF(LEN('1&amp;2号构型'!D204)=9,"TRUE","FALSE")</f>
        <v>TRUE</v>
      </c>
      <c r="I289" s="2" t="b">
        <f>VALUE(MID('1&amp;2号构型'!C204,1,2))=VALUE(MID('1&amp;2号构型'!A204,5,2))</f>
        <v>1</v>
      </c>
      <c r="J289" s="2" t="str">
        <f>IF(LEN('1&amp;2号构型'!C204)=14,"TRUE","FALSE")</f>
        <v>TRUE</v>
      </c>
      <c r="K289" s="2" t="str">
        <f>RIGHT('1&amp;2号构型'!C204,4)</f>
        <v>G900</v>
      </c>
    </row>
    <row r="290" spans="6:11">
      <c r="F290" t="str">
        <f>'1&amp;2号构型'!B205</f>
        <v>左内机轮刹车装置</v>
      </c>
      <c r="G290" s="2" t="b">
        <f>VLOOKUP('1&amp;2号构型'!F205,B:C,2,0)=VALUE(MID('1&amp;2号构型'!D205,6,2))</f>
        <v>1</v>
      </c>
      <c r="H290" s="3" t="str">
        <f>IF(LEN('1&amp;2号构型'!D205)=9,"TRUE","FALSE")</f>
        <v>TRUE</v>
      </c>
      <c r="I290" s="2" t="b">
        <f>VALUE(MID('1&amp;2号构型'!C205,1,2))=VALUE(MID('1&amp;2号构型'!A205,5,2))</f>
        <v>1</v>
      </c>
      <c r="J290" s="2" t="str">
        <f>IF(LEN('1&amp;2号构型'!C205)=14,"TRUE","FALSE")</f>
        <v>TRUE</v>
      </c>
      <c r="K290" s="2" t="str">
        <f>RIGHT('1&amp;2号构型'!C205,4)</f>
        <v>G900</v>
      </c>
    </row>
    <row r="291" spans="6:11">
      <c r="F291" t="str">
        <f>'1&amp;2号构型'!B206</f>
        <v>右内机轮刹车装置</v>
      </c>
      <c r="G291" s="2" t="b">
        <f>VLOOKUP('1&amp;2号构型'!F206,B:C,2,0)=VALUE(MID('1&amp;2号构型'!D206,6,2))</f>
        <v>1</v>
      </c>
      <c r="H291" s="3" t="str">
        <f>IF(LEN('1&amp;2号构型'!D206)=9,"TRUE","FALSE")</f>
        <v>TRUE</v>
      </c>
      <c r="I291" s="2" t="b">
        <f>VALUE(MID('1&amp;2号构型'!C206,1,2))=VALUE(MID('1&amp;2号构型'!A206,5,2))</f>
        <v>1</v>
      </c>
      <c r="J291" s="2" t="str">
        <f>IF(LEN('1&amp;2号构型'!C206)=14,"TRUE","FALSE")</f>
        <v>TRUE</v>
      </c>
      <c r="K291" s="2" t="str">
        <f>RIGHT('1&amp;2号构型'!C206,4)</f>
        <v>G900</v>
      </c>
    </row>
    <row r="292" spans="6:11">
      <c r="F292" t="str">
        <f>'1&amp;2号构型'!B207</f>
        <v>右外机轮刹车装置</v>
      </c>
      <c r="G292" s="2" t="b">
        <f>VLOOKUP('1&amp;2号构型'!F207,B:C,2,0)=VALUE(MID('1&amp;2号构型'!D207,6,2))</f>
        <v>1</v>
      </c>
      <c r="H292" s="3" t="str">
        <f>IF(LEN('1&amp;2号构型'!D207)=9,"TRUE","FALSE")</f>
        <v>TRUE</v>
      </c>
      <c r="I292" s="2" t="b">
        <f>VALUE(MID('1&amp;2号构型'!C207,1,2))=VALUE(MID('1&amp;2号构型'!A207,5,2))</f>
        <v>1</v>
      </c>
      <c r="J292" s="2" t="str">
        <f>IF(LEN('1&amp;2号构型'!C207)=14,"TRUE","FALSE")</f>
        <v>TRUE</v>
      </c>
      <c r="K292" s="2" t="str">
        <f>RIGHT('1&amp;2号构型'!C207,4)</f>
        <v>G900</v>
      </c>
    </row>
    <row r="293" spans="6:11">
      <c r="F293" t="str">
        <f>'1&amp;2号构型'!B208</f>
        <v>左外轮胎</v>
      </c>
      <c r="G293" s="2" t="b">
        <f>VLOOKUP('1&amp;2号构型'!F208,B:C,2,0)=VALUE(MID('1&amp;2号构型'!D208,6,2))</f>
        <v>1</v>
      </c>
      <c r="H293" s="3" t="str">
        <f>IF(LEN('1&amp;2号构型'!D208)=9,"TRUE","FALSE")</f>
        <v>TRUE</v>
      </c>
      <c r="I293" s="2" t="b">
        <f>VALUE(MID('1&amp;2号构型'!C208,1,2))=VALUE(MID('1&amp;2号构型'!A208,5,2))</f>
        <v>1</v>
      </c>
      <c r="J293" s="2" t="str">
        <f>IF(LEN('1&amp;2号构型'!C208)=14,"TRUE","FALSE")</f>
        <v>TRUE</v>
      </c>
      <c r="K293" s="2" t="str">
        <f>RIGHT('1&amp;2号构型'!C208,4)</f>
        <v>G900</v>
      </c>
    </row>
    <row r="294" spans="6:11">
      <c r="F294" t="str">
        <f>'1&amp;2号构型'!B209</f>
        <v>左内轮胎</v>
      </c>
      <c r="G294" s="2" t="b">
        <f>VLOOKUP('1&amp;2号构型'!F209,B:C,2,0)=VALUE(MID('1&amp;2号构型'!D209,6,2))</f>
        <v>1</v>
      </c>
      <c r="H294" s="3" t="str">
        <f>IF(LEN('1&amp;2号构型'!D209)=9,"TRUE","FALSE")</f>
        <v>TRUE</v>
      </c>
      <c r="I294" s="2" t="b">
        <f>VALUE(MID('1&amp;2号构型'!C209,1,2))=VALUE(MID('1&amp;2号构型'!A209,5,2))</f>
        <v>1</v>
      </c>
      <c r="J294" s="2" t="str">
        <f>IF(LEN('1&amp;2号构型'!C209)=14,"TRUE","FALSE")</f>
        <v>TRUE</v>
      </c>
      <c r="K294" s="2" t="str">
        <f>RIGHT('1&amp;2号构型'!C209,4)</f>
        <v>G900</v>
      </c>
    </row>
    <row r="295" spans="6:11">
      <c r="F295" t="str">
        <f>'1&amp;2号构型'!B210</f>
        <v>右内轮胎</v>
      </c>
      <c r="G295" s="2" t="b">
        <f>VLOOKUP('1&amp;2号构型'!F210,B:C,2,0)=VALUE(MID('1&amp;2号构型'!D210,6,2))</f>
        <v>1</v>
      </c>
      <c r="H295" s="3" t="str">
        <f>IF(LEN('1&amp;2号构型'!D210)=9,"TRUE","FALSE")</f>
        <v>TRUE</v>
      </c>
      <c r="I295" s="2" t="b">
        <f>VALUE(MID('1&amp;2号构型'!C210,1,2))=VALUE(MID('1&amp;2号构型'!A210,5,2))</f>
        <v>1</v>
      </c>
      <c r="J295" s="2" t="str">
        <f>IF(LEN('1&amp;2号构型'!C210)=14,"TRUE","FALSE")</f>
        <v>TRUE</v>
      </c>
      <c r="K295" s="2" t="str">
        <f>RIGHT('1&amp;2号构型'!C210,4)</f>
        <v>G900</v>
      </c>
    </row>
    <row r="296" spans="6:11">
      <c r="F296" t="str">
        <f>'1&amp;2号构型'!B211</f>
        <v>右外轮胎</v>
      </c>
      <c r="G296" s="2" t="b">
        <f>VLOOKUP('1&amp;2号构型'!F211,B:C,2,0)=VALUE(MID('1&amp;2号构型'!D211,6,2))</f>
        <v>1</v>
      </c>
      <c r="H296" s="3" t="str">
        <f>IF(LEN('1&amp;2号构型'!D211)=9,"TRUE","FALSE")</f>
        <v>TRUE</v>
      </c>
      <c r="I296" s="2" t="b">
        <f>VALUE(MID('1&amp;2号构型'!C211,1,2))=VALUE(MID('1&amp;2号构型'!A211,5,2))</f>
        <v>1</v>
      </c>
      <c r="J296" s="2" t="str">
        <f>IF(LEN('1&amp;2号构型'!C211)=14,"TRUE","FALSE")</f>
        <v>TRUE</v>
      </c>
      <c r="K296" s="2" t="str">
        <f>RIGHT('1&amp;2号构型'!C211,4)</f>
        <v>G900</v>
      </c>
    </row>
    <row r="297" spans="6:11">
      <c r="F297" t="str">
        <f>'1&amp;2号构型'!B212</f>
        <v>前左机轮</v>
      </c>
      <c r="G297" s="2" t="b">
        <f>VLOOKUP('1&amp;2号构型'!F212,B:C,2,0)=VALUE(MID('1&amp;2号构型'!D212,6,2))</f>
        <v>1</v>
      </c>
      <c r="H297" s="3" t="str">
        <f>IF(LEN('1&amp;2号构型'!D212)=9,"TRUE","FALSE")</f>
        <v>TRUE</v>
      </c>
      <c r="I297" s="2" t="b">
        <f>VALUE(MID('1&amp;2号构型'!C212,1,2))=VALUE(MID('1&amp;2号构型'!A212,5,2))</f>
        <v>1</v>
      </c>
      <c r="J297" s="2" t="str">
        <f>IF(LEN('1&amp;2号构型'!C212)=14,"TRUE","FALSE")</f>
        <v>TRUE</v>
      </c>
      <c r="K297" s="2" t="str">
        <f>RIGHT('1&amp;2号构型'!C212,4)</f>
        <v>G900</v>
      </c>
    </row>
    <row r="298" spans="6:11">
      <c r="F298" t="str">
        <f>'1&amp;2号构型'!B213</f>
        <v>前右机轮</v>
      </c>
      <c r="G298" s="2" t="b">
        <f>VLOOKUP('1&amp;2号构型'!F213,B:C,2,0)=VALUE(MID('1&amp;2号构型'!D213,6,2))</f>
        <v>1</v>
      </c>
      <c r="H298" s="3" t="str">
        <f>IF(LEN('1&amp;2号构型'!D213)=9,"TRUE","FALSE")</f>
        <v>TRUE</v>
      </c>
      <c r="I298" s="2" t="b">
        <f>VALUE(MID('1&amp;2号构型'!C213,1,2))=VALUE(MID('1&amp;2号构型'!A213,5,2))</f>
        <v>1</v>
      </c>
      <c r="J298" s="2" t="str">
        <f>IF(LEN('1&amp;2号构型'!C213)=14,"TRUE","FALSE")</f>
        <v>TRUE</v>
      </c>
      <c r="K298" s="2" t="str">
        <f>RIGHT('1&amp;2号构型'!C213,4)</f>
        <v>G900</v>
      </c>
    </row>
    <row r="299" spans="6:11">
      <c r="F299" t="str">
        <f>'1&amp;2号构型'!B214</f>
        <v>前左轮胎</v>
      </c>
      <c r="G299" s="2" t="b">
        <f>VLOOKUP('1&amp;2号构型'!F214,B:C,2,0)=VALUE(MID('1&amp;2号构型'!D214,6,2))</f>
        <v>1</v>
      </c>
      <c r="H299" s="3" t="str">
        <f>IF(LEN('1&amp;2号构型'!D214)=9,"TRUE","FALSE")</f>
        <v>TRUE</v>
      </c>
      <c r="I299" s="2" t="b">
        <f>VALUE(MID('1&amp;2号构型'!C214,1,2))=VALUE(MID('1&amp;2号构型'!A214,5,2))</f>
        <v>1</v>
      </c>
      <c r="J299" s="2" t="str">
        <f>IF(LEN('1&amp;2号构型'!C214)=14,"TRUE","FALSE")</f>
        <v>TRUE</v>
      </c>
      <c r="K299" s="2" t="str">
        <f>RIGHT('1&amp;2号构型'!C214,4)</f>
        <v>G900</v>
      </c>
    </row>
    <row r="300" spans="6:11">
      <c r="F300" t="str">
        <f>'1&amp;2号构型'!B215</f>
        <v>前右轮胎</v>
      </c>
      <c r="G300" s="2" t="b">
        <f>VLOOKUP('1&amp;2号构型'!F215,B:C,2,0)=VALUE(MID('1&amp;2号构型'!D215,6,2))</f>
        <v>1</v>
      </c>
      <c r="H300" s="3" t="str">
        <f>IF(LEN('1&amp;2号构型'!D215)=9,"TRUE","FALSE")</f>
        <v>TRUE</v>
      </c>
      <c r="I300" s="2" t="b">
        <f>VALUE(MID('1&amp;2号构型'!C215,1,2))=VALUE(MID('1&amp;2号构型'!A215,5,2))</f>
        <v>1</v>
      </c>
      <c r="J300" s="2" t="str">
        <f>IF(LEN('1&amp;2号构型'!C215)=14,"TRUE","FALSE")</f>
        <v>TRUE</v>
      </c>
      <c r="K300" s="2" t="str">
        <f>RIGHT('1&amp;2号构型'!C215,4)</f>
        <v>G900</v>
      </c>
    </row>
    <row r="301" spans="6:11">
      <c r="F301" t="str">
        <f>'1&amp;2号构型'!B216</f>
        <v>左外胎压传感器</v>
      </c>
      <c r="G301" s="2" t="b">
        <f>VLOOKUP('1&amp;2号构型'!F216,B:C,2,0)=VALUE(MID('1&amp;2号构型'!D216,6,2))</f>
        <v>1</v>
      </c>
      <c r="H301" s="3" t="str">
        <f>IF(LEN('1&amp;2号构型'!D216)=9,"TRUE","FALSE")</f>
        <v>TRUE</v>
      </c>
      <c r="I301" s="2" t="b">
        <f>VALUE(MID('1&amp;2号构型'!C216,1,2))=VALUE(MID('1&amp;2号构型'!A216,5,2))</f>
        <v>1</v>
      </c>
      <c r="J301" s="2" t="str">
        <f>IF(LEN('1&amp;2号构型'!C216)=14,"TRUE","FALSE")</f>
        <v>TRUE</v>
      </c>
      <c r="K301" s="2" t="str">
        <f>RIGHT('1&amp;2号构型'!C216,4)</f>
        <v>G900</v>
      </c>
    </row>
    <row r="302" spans="6:11">
      <c r="F302" t="str">
        <f>'1&amp;2号构型'!B217</f>
        <v>左内胎压传感器</v>
      </c>
      <c r="G302" s="2" t="b">
        <f>VLOOKUP('1&amp;2号构型'!F217,B:C,2,0)=VALUE(MID('1&amp;2号构型'!D217,6,2))</f>
        <v>1</v>
      </c>
      <c r="H302" s="3" t="str">
        <f>IF(LEN('1&amp;2号构型'!D217)=9,"TRUE","FALSE")</f>
        <v>TRUE</v>
      </c>
      <c r="I302" s="2" t="b">
        <f>VALUE(MID('1&amp;2号构型'!C217,1,2))=VALUE(MID('1&amp;2号构型'!A217,5,2))</f>
        <v>1</v>
      </c>
      <c r="J302" s="2" t="str">
        <f>IF(LEN('1&amp;2号构型'!C217)=14,"TRUE","FALSE")</f>
        <v>TRUE</v>
      </c>
      <c r="K302" s="2" t="str">
        <f>RIGHT('1&amp;2号构型'!C217,4)</f>
        <v>G900</v>
      </c>
    </row>
    <row r="303" spans="6:11">
      <c r="F303" t="str">
        <f>'1&amp;2号构型'!B218</f>
        <v>右外胎压传感器</v>
      </c>
      <c r="G303" s="2" t="b">
        <f>VLOOKUP('1&amp;2号构型'!F218,B:C,2,0)=VALUE(MID('1&amp;2号构型'!D218,6,2))</f>
        <v>1</v>
      </c>
      <c r="H303" s="3" t="str">
        <f>IF(LEN('1&amp;2号构型'!D218)=9,"TRUE","FALSE")</f>
        <v>TRUE</v>
      </c>
      <c r="I303" s="2" t="b">
        <f>VALUE(MID('1&amp;2号构型'!C218,1,2))=VALUE(MID('1&amp;2号构型'!A218,5,2))</f>
        <v>1</v>
      </c>
      <c r="J303" s="2" t="str">
        <f>IF(LEN('1&amp;2号构型'!C218)=14,"TRUE","FALSE")</f>
        <v>TRUE</v>
      </c>
      <c r="K303" s="2" t="str">
        <f>RIGHT('1&amp;2号构型'!C218,4)</f>
        <v>G900</v>
      </c>
    </row>
    <row r="304" spans="6:11">
      <c r="F304" t="str">
        <f>'1&amp;2号构型'!B219</f>
        <v>右内胎压传感器</v>
      </c>
      <c r="G304" s="2" t="b">
        <f>VLOOKUP('1&amp;2号构型'!F219,B:C,2,0)=VALUE(MID('1&amp;2号构型'!D219,6,2))</f>
        <v>1</v>
      </c>
      <c r="H304" s="3" t="str">
        <f>IF(LEN('1&amp;2号构型'!D219)=9,"TRUE","FALSE")</f>
        <v>TRUE</v>
      </c>
      <c r="I304" s="2" t="b">
        <f>VALUE(MID('1&amp;2号构型'!C219,1,2))=VALUE(MID('1&amp;2号构型'!A219,5,2))</f>
        <v>1</v>
      </c>
      <c r="J304" s="2" t="str">
        <f>IF(LEN('1&amp;2号构型'!C219)=14,"TRUE","FALSE")</f>
        <v>TRUE</v>
      </c>
      <c r="K304" s="2" t="str">
        <f>RIGHT('1&amp;2号构型'!C219,4)</f>
        <v>G900</v>
      </c>
    </row>
    <row r="305" spans="6:11">
      <c r="F305" t="str">
        <f>'1&amp;2号构型'!B220</f>
        <v>左外轮轴内适配器</v>
      </c>
      <c r="G305" s="2" t="b">
        <f>VLOOKUP('1&amp;2号构型'!F220,B:C,2,0)=VALUE(MID('1&amp;2号构型'!D220,6,2))</f>
        <v>1</v>
      </c>
      <c r="H305" s="3" t="str">
        <f>IF(LEN('1&amp;2号构型'!D220)=9,"TRUE","FALSE")</f>
        <v>TRUE</v>
      </c>
      <c r="I305" s="2" t="b">
        <f>VALUE(MID('1&amp;2号构型'!C220,1,2))=VALUE(MID('1&amp;2号构型'!A220,5,2))</f>
        <v>1</v>
      </c>
      <c r="J305" s="2" t="str">
        <f>IF(LEN('1&amp;2号构型'!C220)=14,"TRUE","FALSE")</f>
        <v>TRUE</v>
      </c>
      <c r="K305" s="2" t="str">
        <f>RIGHT('1&amp;2号构型'!C220,4)</f>
        <v>G900</v>
      </c>
    </row>
    <row r="306" spans="6:11">
      <c r="F306" t="str">
        <f>'1&amp;2号构型'!B221</f>
        <v>左内轮轴内适配器</v>
      </c>
      <c r="G306" s="2" t="b">
        <f>VLOOKUP('1&amp;2号构型'!F221,B:C,2,0)=VALUE(MID('1&amp;2号构型'!D221,6,2))</f>
        <v>1</v>
      </c>
      <c r="H306" s="3" t="str">
        <f>IF(LEN('1&amp;2号构型'!D221)=9,"TRUE","FALSE")</f>
        <v>TRUE</v>
      </c>
      <c r="I306" s="2" t="b">
        <f>VALUE(MID('1&amp;2号构型'!C221,1,2))=VALUE(MID('1&amp;2号构型'!A221,5,2))</f>
        <v>1</v>
      </c>
      <c r="J306" s="2" t="str">
        <f>IF(LEN('1&amp;2号构型'!C221)=14,"TRUE","FALSE")</f>
        <v>TRUE</v>
      </c>
      <c r="K306" s="2" t="str">
        <f>RIGHT('1&amp;2号构型'!C221,4)</f>
        <v>G900</v>
      </c>
    </row>
    <row r="307" spans="6:11">
      <c r="F307" t="str">
        <f>'1&amp;2号构型'!B222</f>
        <v>右内轮轴内适配器</v>
      </c>
      <c r="G307" s="2" t="b">
        <f>VLOOKUP('1&amp;2号构型'!F222,B:C,2,0)=VALUE(MID('1&amp;2号构型'!D222,6,2))</f>
        <v>1</v>
      </c>
      <c r="H307" s="3" t="str">
        <f>IF(LEN('1&amp;2号构型'!D222)=9,"TRUE","FALSE")</f>
        <v>TRUE</v>
      </c>
      <c r="I307" s="2" t="b">
        <f>VALUE(MID('1&amp;2号构型'!C222,1,2))=VALUE(MID('1&amp;2号构型'!A222,5,2))</f>
        <v>1</v>
      </c>
      <c r="J307" s="2" t="str">
        <f>IF(LEN('1&amp;2号构型'!C222)=14,"TRUE","FALSE")</f>
        <v>TRUE</v>
      </c>
      <c r="K307" s="2" t="str">
        <f>RIGHT('1&amp;2号构型'!C222,4)</f>
        <v>G900</v>
      </c>
    </row>
    <row r="308" spans="6:11">
      <c r="F308" t="str">
        <f>'1&amp;2号构型'!B223</f>
        <v>右外轮轴内适配器</v>
      </c>
      <c r="G308" s="2" t="b">
        <f>VLOOKUP('1&amp;2号构型'!F223,B:C,2,0)=VALUE(MID('1&amp;2号构型'!D223,6,2))</f>
        <v>1</v>
      </c>
      <c r="H308" s="3" t="str">
        <f>IF(LEN('1&amp;2号构型'!D223)=9,"TRUE","FALSE")</f>
        <v>TRUE</v>
      </c>
      <c r="I308" s="2" t="b">
        <f>VALUE(MID('1&amp;2号构型'!C223,1,2))=VALUE(MID('1&amp;2号构型'!A223,5,2))</f>
        <v>1</v>
      </c>
      <c r="J308" s="2" t="str">
        <f>IF(LEN('1&amp;2号构型'!C223)=14,"TRUE","FALSE")</f>
        <v>TRUE</v>
      </c>
      <c r="K308" s="2" t="str">
        <f>RIGHT('1&amp;2号构型'!C223,4)</f>
        <v>G900</v>
      </c>
    </row>
    <row r="309" spans="6:11">
      <c r="F309" t="str">
        <f>'1&amp;2号构型'!B224</f>
        <v>左外主轮轮毂盖</v>
      </c>
      <c r="G309" s="2" t="b">
        <f>VLOOKUP('1&amp;2号构型'!F224,B:C,2,0)=VALUE(MID('1&amp;2号构型'!D224,6,2))</f>
        <v>1</v>
      </c>
      <c r="H309" s="3" t="str">
        <f>IF(LEN('1&amp;2号构型'!D224)=9,"TRUE","FALSE")</f>
        <v>TRUE</v>
      </c>
      <c r="I309" s="2" t="b">
        <f>VALUE(MID('1&amp;2号构型'!C224,1,2))=VALUE(MID('1&amp;2号构型'!A224,5,2))</f>
        <v>1</v>
      </c>
      <c r="J309" s="2" t="str">
        <f>IF(LEN('1&amp;2号构型'!C224)=14,"TRUE","FALSE")</f>
        <v>TRUE</v>
      </c>
      <c r="K309" s="2" t="str">
        <f>RIGHT('1&amp;2号构型'!C224,4)</f>
        <v>G900</v>
      </c>
    </row>
    <row r="310" spans="6:11">
      <c r="F310" t="str">
        <f>'1&amp;2号构型'!B225</f>
        <v>左内主轮轮毂盖</v>
      </c>
      <c r="G310" s="2" t="b">
        <f>VLOOKUP('1&amp;2号构型'!F225,B:C,2,0)=VALUE(MID('1&amp;2号构型'!D225,6,2))</f>
        <v>1</v>
      </c>
      <c r="H310" s="3" t="str">
        <f>IF(LEN('1&amp;2号构型'!D225)=9,"TRUE","FALSE")</f>
        <v>TRUE</v>
      </c>
      <c r="I310" s="2" t="b">
        <f>VALUE(MID('1&amp;2号构型'!C225,1,2))=VALUE(MID('1&amp;2号构型'!A225,5,2))</f>
        <v>1</v>
      </c>
      <c r="J310" s="2" t="str">
        <f>IF(LEN('1&amp;2号构型'!C225)=14,"TRUE","FALSE")</f>
        <v>TRUE</v>
      </c>
      <c r="K310" s="2" t="str">
        <f>RIGHT('1&amp;2号构型'!C225,4)</f>
        <v>G900</v>
      </c>
    </row>
    <row r="311" spans="6:11">
      <c r="F311" t="str">
        <f>'1&amp;2号构型'!B226</f>
        <v>右内主轮轮毂盖</v>
      </c>
      <c r="G311" s="2" t="b">
        <f>VLOOKUP('1&amp;2号构型'!F226,B:C,2,0)=VALUE(MID('1&amp;2号构型'!D226,6,2))</f>
        <v>1</v>
      </c>
      <c r="H311" s="3" t="str">
        <f>IF(LEN('1&amp;2号构型'!D226)=9,"TRUE","FALSE")</f>
        <v>TRUE</v>
      </c>
      <c r="I311" s="2" t="b">
        <f>VALUE(MID('1&amp;2号构型'!C226,1,2))=VALUE(MID('1&amp;2号构型'!A226,5,2))</f>
        <v>1</v>
      </c>
      <c r="J311" s="2" t="str">
        <f>IF(LEN('1&amp;2号构型'!C226)=14,"TRUE","FALSE")</f>
        <v>TRUE</v>
      </c>
      <c r="K311" s="2" t="str">
        <f>RIGHT('1&amp;2号构型'!C226,4)</f>
        <v>G900</v>
      </c>
    </row>
    <row r="312" spans="6:11">
      <c r="F312" t="str">
        <f>'1&amp;2号构型'!B227</f>
        <v>右外主轮轮毂盖</v>
      </c>
      <c r="G312" s="2" t="b">
        <f>VLOOKUP('1&amp;2号构型'!F227,B:C,2,0)=VALUE(MID('1&amp;2号构型'!D227,6,2))</f>
        <v>1</v>
      </c>
      <c r="H312" s="3" t="str">
        <f>IF(LEN('1&amp;2号构型'!D227)=9,"TRUE","FALSE")</f>
        <v>TRUE</v>
      </c>
      <c r="I312" s="2" t="b">
        <f>VALUE(MID('1&amp;2号构型'!C227,1,2))=VALUE(MID('1&amp;2号构型'!A227,5,2))</f>
        <v>1</v>
      </c>
      <c r="J312" s="2" t="str">
        <f>IF(LEN('1&amp;2号构型'!C227)=14,"TRUE","FALSE")</f>
        <v>TRUE</v>
      </c>
      <c r="K312" s="2" t="str">
        <f>RIGHT('1&amp;2号构型'!C227,4)</f>
        <v>G900</v>
      </c>
    </row>
    <row r="313" spans="6:11">
      <c r="F313" t="str">
        <f>'1&amp;2号构型'!B228</f>
        <v>左座转弯手轮</v>
      </c>
      <c r="G313" s="2" t="b">
        <f>VLOOKUP('1&amp;2号构型'!F228,B:C,2,0)=VALUE(MID('1&amp;2号构型'!D228,6,2))</f>
        <v>1</v>
      </c>
      <c r="H313" s="3" t="str">
        <f>IF(LEN('1&amp;2号构型'!D228)=9,"TRUE","FALSE")</f>
        <v>TRUE</v>
      </c>
      <c r="I313" s="2" t="b">
        <f>VALUE(MID('1&amp;2号构型'!C228,1,2))=VALUE(MID('1&amp;2号构型'!A228,5,2))</f>
        <v>1</v>
      </c>
      <c r="J313" s="2" t="str">
        <f>IF(LEN('1&amp;2号构型'!C228)=14,"TRUE","FALSE")</f>
        <v>TRUE</v>
      </c>
      <c r="K313" s="2" t="str">
        <f>RIGHT('1&amp;2号构型'!C228,4)</f>
        <v>G900</v>
      </c>
    </row>
    <row r="314" spans="6:11">
      <c r="F314" t="str">
        <f>'1&amp;2号构型'!B229</f>
        <v>右座转弯手轮</v>
      </c>
      <c r="G314" s="2" t="b">
        <f>VLOOKUP('1&amp;2号构型'!F229,B:C,2,0)=VALUE(MID('1&amp;2号构型'!D229,6,2))</f>
        <v>1</v>
      </c>
      <c r="H314" s="3" t="str">
        <f>IF(LEN('1&amp;2号构型'!D229)=9,"TRUE","FALSE")</f>
        <v>TRUE</v>
      </c>
      <c r="I314" s="2" t="b">
        <f>VALUE(MID('1&amp;2号构型'!C229,1,2))=VALUE(MID('1&amp;2号构型'!A229,5,2))</f>
        <v>1</v>
      </c>
      <c r="J314" s="2" t="str">
        <f>IF(LEN('1&amp;2号构型'!C229)=14,"TRUE","FALSE")</f>
        <v>TRUE</v>
      </c>
      <c r="K314" s="2" t="str">
        <f>RIGHT('1&amp;2号构型'!C229,4)</f>
        <v>G900</v>
      </c>
    </row>
    <row r="315" spans="6:11">
      <c r="F315" t="str">
        <f>'1&amp;2号构型'!B230</f>
        <v>转弯控制单元</v>
      </c>
      <c r="G315" s="2" t="b">
        <f>VLOOKUP('1&amp;2号构型'!F230,B:C,2,0)=VALUE(MID('1&amp;2号构型'!D230,6,2))</f>
        <v>1</v>
      </c>
      <c r="H315" s="3" t="str">
        <f>IF(LEN('1&amp;2号构型'!D230)=9,"TRUE","FALSE")</f>
        <v>TRUE</v>
      </c>
      <c r="I315" s="2" t="b">
        <f>VALUE(MID('1&amp;2号构型'!C230,1,2))=VALUE(MID('1&amp;2号构型'!A230,5,2))</f>
        <v>1</v>
      </c>
      <c r="J315" s="2" t="str">
        <f>IF(LEN('1&amp;2号构型'!C230)=14,"TRUE","FALSE")</f>
        <v>TRUE</v>
      </c>
      <c r="K315" s="2" t="str">
        <f>RIGHT('1&amp;2号构型'!C230,4)</f>
        <v>G900</v>
      </c>
    </row>
    <row r="316" spans="6:11">
      <c r="F316" t="str">
        <f>'1&amp;2号构型'!B231</f>
        <v>转弯舵机</v>
      </c>
      <c r="G316" s="2" t="b">
        <f>VLOOKUP('1&amp;2号构型'!F231,B:C,2,0)=VALUE(MID('1&amp;2号构型'!D231,6,2))</f>
        <v>1</v>
      </c>
      <c r="H316" s="3" t="str">
        <f>IF(LEN('1&amp;2号构型'!D231)=9,"TRUE","FALSE")</f>
        <v>TRUE</v>
      </c>
      <c r="I316" s="2" t="b">
        <f>VALUE(MID('1&amp;2号构型'!C231,1,2))=VALUE(MID('1&amp;2号构型'!A231,5,2))</f>
        <v>1</v>
      </c>
      <c r="J316" s="2" t="str">
        <f>IF(LEN('1&amp;2号构型'!C231)=14,"TRUE","FALSE")</f>
        <v>TRUE</v>
      </c>
      <c r="K316" s="2" t="str">
        <f>RIGHT('1&amp;2号构型'!C231,4)</f>
        <v>G900</v>
      </c>
    </row>
    <row r="317" spans="6:11">
      <c r="F317" t="str">
        <f>'1&amp;2号构型'!B232</f>
        <v>牵引指示盒</v>
      </c>
      <c r="G317" s="2" t="b">
        <f>VLOOKUP('1&amp;2号构型'!F232,B:C,2,0)=VALUE(MID('1&amp;2号构型'!D232,6,2))</f>
        <v>1</v>
      </c>
      <c r="H317" s="3" t="str">
        <f>IF(LEN('1&amp;2号构型'!D232)=9,"TRUE","FALSE")</f>
        <v>TRUE</v>
      </c>
      <c r="I317" s="2" t="b">
        <f>VALUE(MID('1&amp;2号构型'!C232,1,2))=VALUE(MID('1&amp;2号构型'!A232,5,2))</f>
        <v>1</v>
      </c>
      <c r="J317" s="2" t="str">
        <f>IF(LEN('1&amp;2号构型'!C232)=14,"TRUE","FALSE")</f>
        <v>TRUE</v>
      </c>
      <c r="K317" s="2" t="str">
        <f>RIGHT('1&amp;2号构型'!C232,4)</f>
        <v>G900</v>
      </c>
    </row>
    <row r="318" spans="6:11">
      <c r="F318" t="str">
        <f>'1&amp;2号构型'!B233</f>
        <v>前起位置指示传感器1</v>
      </c>
      <c r="G318" s="2" t="b">
        <f>VLOOKUP('1&amp;2号构型'!F233,B:C,2,0)=VALUE(MID('1&amp;2号构型'!D233,6,2))</f>
        <v>1</v>
      </c>
      <c r="H318" s="3" t="str">
        <f>IF(LEN('1&amp;2号构型'!D233)=9,"TRUE","FALSE")</f>
        <v>TRUE</v>
      </c>
      <c r="I318" s="2" t="b">
        <f>VALUE(MID('1&amp;2号构型'!C233,1,2))=VALUE(MID('1&amp;2号构型'!A233,5,2))</f>
        <v>1</v>
      </c>
      <c r="J318" s="2" t="str">
        <f>IF(LEN('1&amp;2号构型'!C233)=14,"TRUE","FALSE")</f>
        <v>TRUE</v>
      </c>
      <c r="K318" s="2" t="str">
        <f>RIGHT('1&amp;2号构型'!C233,4)</f>
        <v>G900</v>
      </c>
    </row>
    <row r="319" spans="6:11">
      <c r="F319" t="str">
        <f>'1&amp;2号构型'!B234</f>
        <v>前起位置指示传感器2</v>
      </c>
      <c r="G319" s="2" t="b">
        <f>VLOOKUP('1&amp;2号构型'!F234,B:C,2,0)=VALUE(MID('1&amp;2号构型'!D234,6,2))</f>
        <v>1</v>
      </c>
      <c r="H319" s="3" t="str">
        <f>IF(LEN('1&amp;2号构型'!D234)=9,"TRUE","FALSE")</f>
        <v>TRUE</v>
      </c>
      <c r="I319" s="2" t="b">
        <f>VALUE(MID('1&amp;2号构型'!C234,1,2))=VALUE(MID('1&amp;2号构型'!A234,5,2))</f>
        <v>1</v>
      </c>
      <c r="J319" s="2" t="str">
        <f>IF(LEN('1&amp;2号构型'!C234)=14,"TRUE","FALSE")</f>
        <v>TRUE</v>
      </c>
      <c r="K319" s="2" t="str">
        <f>RIGHT('1&amp;2号构型'!C234,4)</f>
        <v>G900</v>
      </c>
    </row>
    <row r="320" spans="6:11">
      <c r="F320" t="str">
        <f>'1&amp;2号构型'!B235</f>
        <v>收放控制单元1</v>
      </c>
      <c r="G320" s="2" t="b">
        <f>VLOOKUP('1&amp;2号构型'!F235,B:C,2,0)=VALUE(MID('1&amp;2号构型'!D235,6,2))</f>
        <v>1</v>
      </c>
      <c r="H320" s="3" t="str">
        <f>IF(LEN('1&amp;2号构型'!D235)=9,"TRUE","FALSE")</f>
        <v>TRUE</v>
      </c>
      <c r="I320" s="2" t="b">
        <f>VALUE(MID('1&amp;2号构型'!C235,1,2))=VALUE(MID('1&amp;2号构型'!A235,5,2))</f>
        <v>1</v>
      </c>
      <c r="J320" s="2" t="str">
        <f>IF(LEN('1&amp;2号构型'!C235)=14,"TRUE","FALSE")</f>
        <v>TRUE</v>
      </c>
      <c r="K320" s="2" t="str">
        <f>RIGHT('1&amp;2号构型'!C235,4)</f>
        <v>G900</v>
      </c>
    </row>
    <row r="321" spans="6:11">
      <c r="F321" t="str">
        <f>'1&amp;2号构型'!B236</f>
        <v>收放控制单元2</v>
      </c>
      <c r="G321" s="2" t="b">
        <f>VLOOKUP('1&amp;2号构型'!F236,B:C,2,0)=VALUE(MID('1&amp;2号构型'!D236,6,2))</f>
        <v>0</v>
      </c>
      <c r="H321" s="3" t="str">
        <f>IF(LEN('1&amp;2号构型'!D236)=9,"TRUE","FALSE")</f>
        <v>TRUE</v>
      </c>
      <c r="I321" s="2" t="b">
        <f>VALUE(MID('1&amp;2号构型'!C236,1,2))=VALUE(MID('1&amp;2号构型'!A236,5,2))</f>
        <v>1</v>
      </c>
      <c r="J321" s="2" t="str">
        <f>IF(LEN('1&amp;2号构型'!C236)=14,"TRUE","FALSE")</f>
        <v>TRUE</v>
      </c>
      <c r="K321" s="2" t="str">
        <f>RIGHT('1&amp;2号构型'!C236,4)</f>
        <v>G900</v>
      </c>
    </row>
    <row r="322" spans="6:11">
      <c r="F322" t="str">
        <f>'1&amp;2号构型'!B237</f>
        <v>起落架收放管路</v>
      </c>
      <c r="G322" s="2" t="e">
        <f>VLOOKUP('1&amp;2号构型'!F237,B:C,2,0)=VALUE(MID('1&amp;2号构型'!D237,6,2))</f>
        <v>#N/A</v>
      </c>
      <c r="H322" s="3" t="str">
        <f>IF(LEN('1&amp;2号构型'!D237)=9,"TRUE","FALSE")</f>
        <v>TRUE</v>
      </c>
      <c r="I322" s="2" t="e">
        <f>VALUE(MID('1&amp;2号构型'!C237,1,2))=VALUE(MID('1&amp;2号构型'!A237,5,2))</f>
        <v>#VALUE!</v>
      </c>
      <c r="J322" s="2" t="str">
        <f>IF(LEN('1&amp;2号构型'!C237)=14,"TRUE","FALSE")</f>
        <v>FALSE</v>
      </c>
      <c r="K322" s="2" t="str">
        <f>RIGHT('1&amp;2号构型'!C237,4)</f>
        <v>TBD</v>
      </c>
    </row>
    <row r="323" spans="6:11">
      <c r="F323" t="str">
        <f>'1&amp;2号构型'!B238</f>
        <v>驾驶舱顶灯</v>
      </c>
      <c r="G323" s="2" t="b">
        <f>VLOOKUP('1&amp;2号构型'!F238,B:C,2,0)=VALUE(MID('1&amp;2号构型'!D238,6,2))</f>
        <v>1</v>
      </c>
      <c r="H323" s="3" t="str">
        <f>IF(LEN('1&amp;2号构型'!D238)=9,"TRUE","FALSE")</f>
        <v>TRUE</v>
      </c>
      <c r="I323" s="2" t="b">
        <f>VALUE(MID('1&amp;2号构型'!C238,1,2))=VALUE(MID('1&amp;2号构型'!A238,5,2))</f>
        <v>1</v>
      </c>
      <c r="J323" s="2" t="str">
        <f>IF(LEN('1&amp;2号构型'!C238)=14,"TRUE","FALSE")</f>
        <v>TRUE</v>
      </c>
      <c r="K323" s="2" t="str">
        <f>RIGHT('1&amp;2号构型'!C238,4)</f>
        <v>G900</v>
      </c>
    </row>
    <row r="324" spans="6:11">
      <c r="F324" t="str">
        <f>'1&amp;2号构型'!B239</f>
        <v>地板灯1</v>
      </c>
      <c r="G324" s="2" t="b">
        <f>VLOOKUP('1&amp;2号构型'!F239,B:C,2,0)=VALUE(MID('1&amp;2号构型'!D239,6,2))</f>
        <v>1</v>
      </c>
      <c r="H324" s="3" t="str">
        <f>IF(LEN('1&amp;2号构型'!D239)=9,"TRUE","FALSE")</f>
        <v>TRUE</v>
      </c>
      <c r="I324" s="2" t="b">
        <f>VALUE(MID('1&amp;2号构型'!C239,1,2))=VALUE(MID('1&amp;2号构型'!A239,5,2))</f>
        <v>1</v>
      </c>
      <c r="J324" s="2" t="str">
        <f>IF(LEN('1&amp;2号构型'!C239)=14,"TRUE","FALSE")</f>
        <v>TRUE</v>
      </c>
      <c r="K324" s="2" t="str">
        <f>RIGHT('1&amp;2号构型'!C239,4)</f>
        <v>G900</v>
      </c>
    </row>
    <row r="325" spans="6:11">
      <c r="F325" t="str">
        <f>'1&amp;2号构型'!B240</f>
        <v>地板灯2</v>
      </c>
      <c r="G325" s="2" t="b">
        <f>VLOOKUP('1&amp;2号构型'!F240,B:C,2,0)=VALUE(MID('1&amp;2号构型'!D240,6,2))</f>
        <v>1</v>
      </c>
      <c r="H325" s="3" t="str">
        <f>IF(LEN('1&amp;2号构型'!D240)=9,"TRUE","FALSE")</f>
        <v>TRUE</v>
      </c>
      <c r="I325" s="2" t="b">
        <f>VALUE(MID('1&amp;2号构型'!C240,1,2))=VALUE(MID('1&amp;2号构型'!A240,5,2))</f>
        <v>1</v>
      </c>
      <c r="J325" s="2" t="str">
        <f>IF(LEN('1&amp;2号构型'!C240)=14,"TRUE","FALSE")</f>
        <v>TRUE</v>
      </c>
      <c r="K325" s="2" t="str">
        <f>RIGHT('1&amp;2号构型'!C240,4)</f>
        <v>G900</v>
      </c>
    </row>
    <row r="326" spans="6:11">
      <c r="F326" t="str">
        <f>'1&amp;2号构型'!B241</f>
        <v>脚蹬灯1</v>
      </c>
      <c r="G326" s="2" t="b">
        <f>VLOOKUP('1&amp;2号构型'!F241,B:C,2,0)=VALUE(MID('1&amp;2号构型'!D241,6,2))</f>
        <v>1</v>
      </c>
      <c r="H326" s="3" t="str">
        <f>IF(LEN('1&amp;2号构型'!D241)=9,"TRUE","FALSE")</f>
        <v>TRUE</v>
      </c>
      <c r="I326" s="2" t="b">
        <f>VALUE(MID('1&amp;2号构型'!C241,1,2))=VALUE(MID('1&amp;2号构型'!A241,5,2))</f>
        <v>1</v>
      </c>
      <c r="J326" s="2" t="str">
        <f>IF(LEN('1&amp;2号构型'!C241)=14,"TRUE","FALSE")</f>
        <v>TRUE</v>
      </c>
      <c r="K326" s="2" t="str">
        <f>RIGHT('1&amp;2号构型'!C241,4)</f>
        <v>G900</v>
      </c>
    </row>
    <row r="327" spans="6:11">
      <c r="F327" t="str">
        <f>'1&amp;2号构型'!B242</f>
        <v>脚蹬灯2</v>
      </c>
      <c r="G327" s="2" t="b">
        <f>VLOOKUP('1&amp;2号构型'!F242,B:C,2,0)=VALUE(MID('1&amp;2号构型'!D242,6,2))</f>
        <v>1</v>
      </c>
      <c r="H327" s="3" t="str">
        <f>IF(LEN('1&amp;2号构型'!D242)=9,"TRUE","FALSE")</f>
        <v>TRUE</v>
      </c>
      <c r="I327" s="2" t="b">
        <f>VALUE(MID('1&amp;2号构型'!C242,1,2))=VALUE(MID('1&amp;2号构型'!A242,5,2))</f>
        <v>1</v>
      </c>
      <c r="J327" s="2" t="str">
        <f>IF(LEN('1&amp;2号构型'!C242)=14,"TRUE","FALSE")</f>
        <v>TRUE</v>
      </c>
      <c r="K327" s="2" t="str">
        <f>RIGHT('1&amp;2号构型'!C242,4)</f>
        <v>G900</v>
      </c>
    </row>
    <row r="328" spans="6:11">
      <c r="F328" t="str">
        <f>'1&amp;2号构型'!B243</f>
        <v>左右操纵台泛光灯1</v>
      </c>
      <c r="G328" s="2" t="b">
        <f>VLOOKUP('1&amp;2号构型'!F243,B:C,2,0)=VALUE(MID('1&amp;2号构型'!D243,6,2))</f>
        <v>1</v>
      </c>
      <c r="H328" s="3" t="str">
        <f>IF(LEN('1&amp;2号构型'!D243)=9,"TRUE","FALSE")</f>
        <v>TRUE</v>
      </c>
      <c r="I328" s="2" t="b">
        <f>VALUE(MID('1&amp;2号构型'!C243,1,2))=VALUE(MID('1&amp;2号构型'!A243,5,2))</f>
        <v>1</v>
      </c>
      <c r="J328" s="2" t="str">
        <f>IF(LEN('1&amp;2号构型'!C243)=14,"TRUE","FALSE")</f>
        <v>TRUE</v>
      </c>
      <c r="K328" s="2" t="str">
        <f>RIGHT('1&amp;2号构型'!C243,4)</f>
        <v>G900</v>
      </c>
    </row>
    <row r="329" spans="6:11">
      <c r="F329" t="str">
        <f>'1&amp;2号构型'!B244</f>
        <v>左右操纵台泛光灯2</v>
      </c>
      <c r="G329" s="2" t="b">
        <f>VLOOKUP('1&amp;2号构型'!F244,B:C,2,0)=VALUE(MID('1&amp;2号构型'!D244,6,2))</f>
        <v>1</v>
      </c>
      <c r="H329" s="3" t="str">
        <f>IF(LEN('1&amp;2号构型'!D244)=9,"TRUE","FALSE")</f>
        <v>TRUE</v>
      </c>
      <c r="I329" s="2" t="b">
        <f>VALUE(MID('1&amp;2号构型'!C244,1,2))=VALUE(MID('1&amp;2号构型'!A244,5,2))</f>
        <v>1</v>
      </c>
      <c r="J329" s="2" t="str">
        <f>IF(LEN('1&amp;2号构型'!C244)=14,"TRUE","FALSE")</f>
        <v>TRUE</v>
      </c>
      <c r="K329" s="2" t="str">
        <f>RIGHT('1&amp;2号构型'!C244,4)</f>
        <v>G900</v>
      </c>
    </row>
    <row r="330" spans="6:11">
      <c r="F330" t="str">
        <f>'1&amp;2号构型'!B245</f>
        <v>驾驶舱灯具调光控制盒</v>
      </c>
      <c r="G330" s="2" t="e">
        <f>VLOOKUP('1&amp;2号构型'!F245,B:C,2,0)=VALUE(MID('1&amp;2号构型'!D245,6,2))</f>
        <v>#N/A</v>
      </c>
      <c r="H330" s="3" t="str">
        <f>IF(LEN('1&amp;2号构型'!D245)=9,"TRUE","FALSE")</f>
        <v>TRUE</v>
      </c>
      <c r="I330" s="2" t="b">
        <f>VALUE(MID('1&amp;2号构型'!C245,1,2))=VALUE(MID('1&amp;2号构型'!A245,5,2))</f>
        <v>1</v>
      </c>
      <c r="J330" s="2" t="str">
        <f>IF(LEN('1&amp;2号构型'!C245)=14,"TRUE","FALSE")</f>
        <v>TRUE</v>
      </c>
      <c r="K330" s="2" t="str">
        <f>RIGHT('1&amp;2号构型'!C245,4)</f>
        <v>G900</v>
      </c>
    </row>
    <row r="331" spans="6:11">
      <c r="F331" t="str">
        <f>'1&amp;2号构型'!B246</f>
        <v>驾驶员阅读灯1</v>
      </c>
      <c r="G331" s="2" t="b">
        <f>VLOOKUP('1&amp;2号构型'!F246,B:C,2,0)=VALUE(MID('1&amp;2号构型'!D246,6,2))</f>
        <v>1</v>
      </c>
      <c r="H331" s="3" t="str">
        <f>IF(LEN('1&amp;2号构型'!D246)=9,"TRUE","FALSE")</f>
        <v>TRUE</v>
      </c>
      <c r="I331" s="2" t="b">
        <f>VALUE(MID('1&amp;2号构型'!C246,1,2))=VALUE(MID('1&amp;2号构型'!A246,5,2))</f>
        <v>1</v>
      </c>
      <c r="J331" s="2" t="str">
        <f>IF(LEN('1&amp;2号构型'!C246)=14,"TRUE","FALSE")</f>
        <v>TRUE</v>
      </c>
      <c r="K331" s="2" t="str">
        <f>RIGHT('1&amp;2号构型'!C246,4)</f>
        <v>G900</v>
      </c>
    </row>
    <row r="332" spans="6:11">
      <c r="F332" t="str">
        <f>'1&amp;2号构型'!B247</f>
        <v>驾驶员阅读灯2</v>
      </c>
      <c r="G332" s="2" t="b">
        <f>VLOOKUP('1&amp;2号构型'!F247,B:C,2,0)=VALUE(MID('1&amp;2号构型'!D247,6,2))</f>
        <v>1</v>
      </c>
      <c r="H332" s="3" t="str">
        <f>IF(LEN('1&amp;2号构型'!D247)=9,"TRUE","FALSE")</f>
        <v>TRUE</v>
      </c>
      <c r="I332" s="2" t="b">
        <f>VALUE(MID('1&amp;2号构型'!C247,1,2))=VALUE(MID('1&amp;2号构型'!A247,5,2))</f>
        <v>1</v>
      </c>
      <c r="J332" s="2" t="str">
        <f>IF(LEN('1&amp;2号构型'!C247)=14,"TRUE","FALSE")</f>
        <v>TRUE</v>
      </c>
      <c r="K332" s="2" t="str">
        <f>RIGHT('1&amp;2号构型'!C247,4)</f>
        <v>G900</v>
      </c>
    </row>
    <row r="333" spans="6:11">
      <c r="F333" t="str">
        <f>'1&amp;2号构型'!B248</f>
        <v>白光航行灯（垂尾）</v>
      </c>
      <c r="G333" s="2" t="b">
        <f>VLOOKUP('1&amp;2号构型'!F248,B:C,2,0)=VALUE(MID('1&amp;2号构型'!D248,6,2))</f>
        <v>1</v>
      </c>
      <c r="H333" s="3" t="str">
        <f>IF(LEN('1&amp;2号构型'!D248)=9,"TRUE","FALSE")</f>
        <v>TRUE</v>
      </c>
      <c r="I333" s="2" t="b">
        <f>VALUE(MID('1&amp;2号构型'!C248,1,2))=VALUE(MID('1&amp;2号构型'!A248,5,2))</f>
        <v>1</v>
      </c>
      <c r="J333" s="2" t="str">
        <f>IF(LEN('1&amp;2号构型'!C248)=14,"TRUE","FALSE")</f>
        <v>TRUE</v>
      </c>
      <c r="K333" s="2" t="str">
        <f>RIGHT('1&amp;2号构型'!C248,4)</f>
        <v>G900</v>
      </c>
    </row>
    <row r="334" spans="6:11">
      <c r="F334" t="str">
        <f>'1&amp;2号构型'!B249</f>
        <v>红光航行灯（左翼尖）</v>
      </c>
      <c r="G334" s="2" t="b">
        <f>VLOOKUP('1&amp;2号构型'!F249,B:C,2,0)=VALUE(MID('1&amp;2号构型'!D249,6,2))</f>
        <v>1</v>
      </c>
      <c r="H334" s="3" t="str">
        <f>IF(LEN('1&amp;2号构型'!D249)=9,"TRUE","FALSE")</f>
        <v>TRUE</v>
      </c>
      <c r="I334" s="2" t="b">
        <f>VALUE(MID('1&amp;2号构型'!C249,1,2))=VALUE(MID('1&amp;2号构型'!A249,5,2))</f>
        <v>1</v>
      </c>
      <c r="J334" s="2" t="str">
        <f>IF(LEN('1&amp;2号构型'!C249)=14,"TRUE","FALSE")</f>
        <v>TRUE</v>
      </c>
      <c r="K334" s="2" t="str">
        <f>RIGHT('1&amp;2号构型'!C249,4)</f>
        <v>G900</v>
      </c>
    </row>
    <row r="335" spans="6:11">
      <c r="F335" t="str">
        <f>'1&amp;2号构型'!B250</f>
        <v>绿光航行灯（右翼尖）</v>
      </c>
      <c r="G335" s="2" t="b">
        <f>VLOOKUP('1&amp;2号构型'!F250,B:C,2,0)=VALUE(MID('1&amp;2号构型'!D250,6,2))</f>
        <v>1</v>
      </c>
      <c r="H335" s="3" t="str">
        <f>IF(LEN('1&amp;2号构型'!D250)=9,"TRUE","FALSE")</f>
        <v>TRUE</v>
      </c>
      <c r="I335" s="2" t="b">
        <f>VALUE(MID('1&amp;2号构型'!C250,1,2))=VALUE(MID('1&amp;2号构型'!A250,5,2))</f>
        <v>1</v>
      </c>
      <c r="J335" s="2" t="str">
        <f>IF(LEN('1&amp;2号构型'!C250)=14,"TRUE","FALSE")</f>
        <v>TRUE</v>
      </c>
      <c r="K335" s="2" t="str">
        <f>RIGHT('1&amp;2号构型'!C250,4)</f>
        <v>G900</v>
      </c>
    </row>
    <row r="336" spans="6:11">
      <c r="F336" t="str">
        <f>'1&amp;2号构型'!B251</f>
        <v>左翼尖灯罩</v>
      </c>
      <c r="G336" s="2" t="b">
        <f>VLOOKUP('1&amp;2号构型'!F251,B:C,2,0)=VALUE(MID('1&amp;2号构型'!D251,6,2))</f>
        <v>1</v>
      </c>
      <c r="H336" s="3" t="str">
        <f>IF(LEN('1&amp;2号构型'!D251)=9,"TRUE","FALSE")</f>
        <v>TRUE</v>
      </c>
      <c r="I336" s="2" t="b">
        <f>VALUE(MID('1&amp;2号构型'!C251,1,2))=VALUE(MID('1&amp;2号构型'!A251,5,2))</f>
        <v>1</v>
      </c>
      <c r="J336" s="2" t="str">
        <f>IF(LEN('1&amp;2号构型'!C251)=14,"TRUE","FALSE")</f>
        <v>TRUE</v>
      </c>
      <c r="K336" s="2" t="str">
        <f>RIGHT('1&amp;2号构型'!C251,4)</f>
        <v>G900</v>
      </c>
    </row>
    <row r="337" spans="6:11">
      <c r="F337" t="str">
        <f>'1&amp;2号构型'!B252</f>
        <v>右翼尖灯罩</v>
      </c>
      <c r="G337" s="2" t="b">
        <f>VLOOKUP('1&amp;2号构型'!F252,B:C,2,0)=VALUE(MID('1&amp;2号构型'!D252,6,2))</f>
        <v>1</v>
      </c>
      <c r="H337" s="3" t="str">
        <f>IF(LEN('1&amp;2号构型'!D252)=9,"TRUE","FALSE")</f>
        <v>TRUE</v>
      </c>
      <c r="I337" s="2" t="b">
        <f>VALUE(MID('1&amp;2号构型'!C252,1,2))=VALUE(MID('1&amp;2号构型'!A252,5,2))</f>
        <v>1</v>
      </c>
      <c r="J337" s="2" t="str">
        <f>IF(LEN('1&amp;2号构型'!C252)=14,"TRUE","FALSE")</f>
        <v>TRUE</v>
      </c>
      <c r="K337" s="2" t="str">
        <f>RIGHT('1&amp;2号构型'!C252,4)</f>
        <v>G900</v>
      </c>
    </row>
    <row r="338" spans="6:11">
      <c r="F338" t="str">
        <f>'1&amp;2号构型'!B253</f>
        <v>上红光防撞灯</v>
      </c>
      <c r="G338" s="2" t="b">
        <f>VLOOKUP('1&amp;2号构型'!F253,B:C,2,0)=VALUE(MID('1&amp;2号构型'!D253,6,2))</f>
        <v>1</v>
      </c>
      <c r="H338" s="3" t="str">
        <f>IF(LEN('1&amp;2号构型'!D253)=9,"TRUE","FALSE")</f>
        <v>TRUE</v>
      </c>
      <c r="I338" s="2" t="b">
        <f>VALUE(MID('1&amp;2号构型'!C253,1,2))=VALUE(MID('1&amp;2号构型'!A253,5,2))</f>
        <v>1</v>
      </c>
      <c r="J338" s="2" t="str">
        <f>IF(LEN('1&amp;2号构型'!C253)=14,"TRUE","FALSE")</f>
        <v>TRUE</v>
      </c>
      <c r="K338" s="2" t="str">
        <f>RIGHT('1&amp;2号构型'!C253,4)</f>
        <v>G900</v>
      </c>
    </row>
    <row r="339" spans="6:11">
      <c r="F339" t="str">
        <f>'1&amp;2号构型'!B254</f>
        <v>下红光防撞灯</v>
      </c>
      <c r="G339" s="2" t="b">
        <f>VLOOKUP('1&amp;2号构型'!F254,B:C,2,0)=VALUE(MID('1&amp;2号构型'!D254,6,2))</f>
        <v>1</v>
      </c>
      <c r="H339" s="3" t="str">
        <f>IF(LEN('1&amp;2号构型'!D254)=9,"TRUE","FALSE")</f>
        <v>TRUE</v>
      </c>
      <c r="I339" s="2" t="b">
        <f>VALUE(MID('1&amp;2号构型'!C254,1,2))=VALUE(MID('1&amp;2号构型'!A254,5,2))</f>
        <v>1</v>
      </c>
      <c r="J339" s="2" t="str">
        <f>IF(LEN('1&amp;2号构型'!C254)=14,"TRUE","FALSE")</f>
        <v>TRUE</v>
      </c>
      <c r="K339" s="2" t="str">
        <f>RIGHT('1&amp;2号构型'!C254,4)</f>
        <v>G900</v>
      </c>
    </row>
    <row r="340" spans="6:11">
      <c r="F340" t="str">
        <f>'1&amp;2号构型'!B255</f>
        <v>左白光防撞灯</v>
      </c>
      <c r="G340" s="2" t="b">
        <f>VLOOKUP('1&amp;2号构型'!F255,B:C,2,0)=VALUE(MID('1&amp;2号构型'!D255,6,2))</f>
        <v>1</v>
      </c>
      <c r="H340" s="3" t="str">
        <f>IF(LEN('1&amp;2号构型'!D255)=9,"TRUE","FALSE")</f>
        <v>TRUE</v>
      </c>
      <c r="I340" s="2" t="b">
        <f>VALUE(MID('1&amp;2号构型'!C255,1,2))=VALUE(MID('1&amp;2号构型'!A255,5,2))</f>
        <v>1</v>
      </c>
      <c r="J340" s="2" t="str">
        <f>IF(LEN('1&amp;2号构型'!C255)=14,"TRUE","FALSE")</f>
        <v>TRUE</v>
      </c>
      <c r="K340" s="2" t="str">
        <f>RIGHT('1&amp;2号构型'!C255,4)</f>
        <v>G900</v>
      </c>
    </row>
    <row r="341" spans="6:11">
      <c r="F341" t="str">
        <f>'1&amp;2号构型'!B256</f>
        <v>右白光防撞灯</v>
      </c>
      <c r="G341" s="2" t="b">
        <f>VLOOKUP('1&amp;2号构型'!F256,B:C,2,0)=VALUE(MID('1&amp;2号构型'!D256,6,2))</f>
        <v>1</v>
      </c>
      <c r="H341" s="3" t="str">
        <f>IF(LEN('1&amp;2号构型'!D256)=9,"TRUE","FALSE")</f>
        <v>TRUE</v>
      </c>
      <c r="I341" s="2" t="b">
        <f>VALUE(MID('1&amp;2号构型'!C256,1,2))=VALUE(MID('1&amp;2号构型'!A256,5,2))</f>
        <v>1</v>
      </c>
      <c r="J341" s="2" t="str">
        <f>IF(LEN('1&amp;2号构型'!C256)=14,"TRUE","FALSE")</f>
        <v>TRUE</v>
      </c>
      <c r="K341" s="2" t="str">
        <f>RIGHT('1&amp;2号构型'!C256,4)</f>
        <v>G900</v>
      </c>
    </row>
    <row r="342" spans="6:11">
      <c r="F342" t="str">
        <f>'1&amp;2号构型'!B257</f>
        <v>后白光防撞灯1</v>
      </c>
      <c r="G342" s="2" t="b">
        <f>VLOOKUP('1&amp;2号构型'!F257,B:C,2,0)=VALUE(MID('1&amp;2号构型'!D257,6,2))</f>
        <v>1</v>
      </c>
      <c r="H342" s="3" t="str">
        <f>IF(LEN('1&amp;2号构型'!D257)=9,"TRUE","FALSE")</f>
        <v>TRUE</v>
      </c>
      <c r="I342" s="2" t="b">
        <f>VALUE(MID('1&amp;2号构型'!C257,1,2))=VALUE(MID('1&amp;2号构型'!A257,5,2))</f>
        <v>1</v>
      </c>
      <c r="J342" s="2" t="str">
        <f>IF(LEN('1&amp;2号构型'!C257)=14,"TRUE","FALSE")</f>
        <v>TRUE</v>
      </c>
      <c r="K342" s="2" t="str">
        <f>RIGHT('1&amp;2号构型'!C257,4)</f>
        <v>G900</v>
      </c>
    </row>
    <row r="343" spans="6:11">
      <c r="F343" t="str">
        <f>'1&amp;2号构型'!B258</f>
        <v>后白光防撞灯2</v>
      </c>
      <c r="G343" s="2" t="b">
        <f>VLOOKUP('1&amp;2号构型'!F258,B:C,2,0)=VALUE(MID('1&amp;2号构型'!D258,6,2))</f>
        <v>1</v>
      </c>
      <c r="H343" s="3" t="str">
        <f>IF(LEN('1&amp;2号构型'!D258)=9,"TRUE","FALSE")</f>
        <v>TRUE</v>
      </c>
      <c r="I343" s="2" t="b">
        <f>VALUE(MID('1&amp;2号构型'!C258,1,2))=VALUE(MID('1&amp;2号构型'!A258,5,2))</f>
        <v>1</v>
      </c>
      <c r="J343" s="2" t="str">
        <f>IF(LEN('1&amp;2号构型'!C258)=14,"TRUE","FALSE")</f>
        <v>TRUE</v>
      </c>
      <c r="K343" s="2" t="str">
        <f>RIGHT('1&amp;2号构型'!C258,4)</f>
        <v>G900</v>
      </c>
    </row>
    <row r="344" spans="6:11">
      <c r="F344" t="str">
        <f>'1&amp;2号构型'!B259</f>
        <v>左翼根着陆灯1</v>
      </c>
      <c r="G344" s="2" t="b">
        <f>VLOOKUP('1&amp;2号构型'!F259,B:C,2,0)=VALUE(MID('1&amp;2号构型'!D259,6,2))</f>
        <v>1</v>
      </c>
      <c r="H344" s="3" t="str">
        <f>IF(LEN('1&amp;2号构型'!D259)=9,"TRUE","FALSE")</f>
        <v>TRUE</v>
      </c>
      <c r="I344" s="2" t="b">
        <f>VALUE(MID('1&amp;2号构型'!C259,1,2))=VALUE(MID('1&amp;2号构型'!A259,5,2))</f>
        <v>1</v>
      </c>
      <c r="J344" s="2" t="str">
        <f>IF(LEN('1&amp;2号构型'!C259)=14,"TRUE","FALSE")</f>
        <v>TRUE</v>
      </c>
      <c r="K344" s="2" t="str">
        <f>RIGHT('1&amp;2号构型'!C259,4)</f>
        <v>G900</v>
      </c>
    </row>
    <row r="345" spans="6:11">
      <c r="F345" t="str">
        <f>'1&amp;2号构型'!B260</f>
        <v>右翼根着陆灯1</v>
      </c>
      <c r="G345" s="2" t="b">
        <f>VLOOKUP('1&amp;2号构型'!F260,B:C,2,0)=VALUE(MID('1&amp;2号构型'!D260,6,2))</f>
        <v>1</v>
      </c>
      <c r="H345" s="3" t="str">
        <f>IF(LEN('1&amp;2号构型'!D260)=9,"TRUE","FALSE")</f>
        <v>TRUE</v>
      </c>
      <c r="I345" s="2" t="b">
        <f>VALUE(MID('1&amp;2号构型'!C260,1,2))=VALUE(MID('1&amp;2号构型'!A260,5,2))</f>
        <v>1</v>
      </c>
      <c r="J345" s="2" t="str">
        <f>IF(LEN('1&amp;2号构型'!C260)=14,"TRUE","FALSE")</f>
        <v>TRUE</v>
      </c>
      <c r="K345" s="2" t="str">
        <f>RIGHT('1&amp;2号构型'!C260,4)</f>
        <v>G900</v>
      </c>
    </row>
    <row r="346" spans="6:11">
      <c r="F346" t="str">
        <f>'1&amp;2号构型'!B261</f>
        <v>左翼根着陆灯2</v>
      </c>
      <c r="G346" s="2" t="b">
        <f>VLOOKUP('1&amp;2号构型'!F261,B:C,2,0)=VALUE(MID('1&amp;2号构型'!D261,6,2))</f>
        <v>1</v>
      </c>
      <c r="H346" s="3" t="str">
        <f>IF(LEN('1&amp;2号构型'!D261)=9,"TRUE","FALSE")</f>
        <v>TRUE</v>
      </c>
      <c r="I346" s="2" t="b">
        <f>VALUE(MID('1&amp;2号构型'!C261,1,2))=VALUE(MID('1&amp;2号构型'!A261,5,2))</f>
        <v>1</v>
      </c>
      <c r="J346" s="2" t="str">
        <f>IF(LEN('1&amp;2号构型'!C261)=14,"TRUE","FALSE")</f>
        <v>TRUE</v>
      </c>
      <c r="K346" s="2" t="str">
        <f>RIGHT('1&amp;2号构型'!C261,4)</f>
        <v>G900</v>
      </c>
    </row>
    <row r="347" spans="6:11">
      <c r="F347" t="str">
        <f>'1&amp;2号构型'!B262</f>
        <v>右翼根着陆灯2</v>
      </c>
      <c r="G347" s="2" t="b">
        <f>VLOOKUP('1&amp;2号构型'!F262,B:C,2,0)=VALUE(MID('1&amp;2号构型'!D262,6,2))</f>
        <v>1</v>
      </c>
      <c r="H347" s="3" t="str">
        <f>IF(LEN('1&amp;2号构型'!D262)=9,"TRUE","FALSE")</f>
        <v>TRUE</v>
      </c>
      <c r="I347" s="2" t="b">
        <f>VALUE(MID('1&amp;2号构型'!C262,1,2))=VALUE(MID('1&amp;2号构型'!A262,5,2))</f>
        <v>1</v>
      </c>
      <c r="J347" s="2" t="str">
        <f>IF(LEN('1&amp;2号构型'!C262)=14,"TRUE","FALSE")</f>
        <v>TRUE</v>
      </c>
      <c r="K347" s="2" t="str">
        <f>RIGHT('1&amp;2号构型'!C262,4)</f>
        <v>G900</v>
      </c>
    </row>
    <row r="348" spans="6:11">
      <c r="F348" t="str">
        <f>'1&amp;2号构型'!B263</f>
        <v>左翼根灯罩</v>
      </c>
      <c r="G348" s="2" t="b">
        <f>VLOOKUP('1&amp;2号构型'!F263,B:C,2,0)=VALUE(MID('1&amp;2号构型'!D263,6,2))</f>
        <v>1</v>
      </c>
      <c r="H348" s="3" t="str">
        <f>IF(LEN('1&amp;2号构型'!D263)=9,"TRUE","FALSE")</f>
        <v>TRUE</v>
      </c>
      <c r="I348" s="2" t="b">
        <f>VALUE(MID('1&amp;2号构型'!C263,1,2))=VALUE(MID('1&amp;2号构型'!A263,5,2))</f>
        <v>1</v>
      </c>
      <c r="J348" s="2" t="str">
        <f>IF(LEN('1&amp;2号构型'!C263)=14,"TRUE","FALSE")</f>
        <v>TRUE</v>
      </c>
      <c r="K348" s="2" t="str">
        <f>RIGHT('1&amp;2号构型'!C263,4)</f>
        <v>G900</v>
      </c>
    </row>
    <row r="349" spans="6:11">
      <c r="F349" t="str">
        <f>'1&amp;2号构型'!B264</f>
        <v>右翼根灯罩</v>
      </c>
      <c r="G349" s="2" t="b">
        <f>VLOOKUP('1&amp;2号构型'!F264,B:C,2,0)=VALUE(MID('1&amp;2号构型'!D264,6,2))</f>
        <v>1</v>
      </c>
      <c r="H349" s="3" t="str">
        <f>IF(LEN('1&amp;2号构型'!D264)=9,"TRUE","FALSE")</f>
        <v>TRUE</v>
      </c>
      <c r="I349" s="2" t="b">
        <f>VALUE(MID('1&amp;2号构型'!C264,1,2))=VALUE(MID('1&amp;2号构型'!A264,5,2))</f>
        <v>1</v>
      </c>
      <c r="J349" s="2" t="str">
        <f>IF(LEN('1&amp;2号构型'!C264)=14,"TRUE","FALSE")</f>
        <v>TRUE</v>
      </c>
      <c r="K349" s="2" t="str">
        <f>RIGHT('1&amp;2号构型'!C264,4)</f>
        <v>G900</v>
      </c>
    </row>
    <row r="350" spans="6:11">
      <c r="F350" t="str">
        <f>'1&amp;2号构型'!B265</f>
        <v>左滑行灯</v>
      </c>
      <c r="G350" s="2" t="b">
        <f>VLOOKUP('1&amp;2号构型'!F265,B:C,2,0)=VALUE(MID('1&amp;2号构型'!D265,6,2))</f>
        <v>1</v>
      </c>
      <c r="H350" s="3" t="str">
        <f>IF(LEN('1&amp;2号构型'!D265)=9,"TRUE","FALSE")</f>
        <v>TRUE</v>
      </c>
      <c r="I350" s="2" t="b">
        <f>VALUE(MID('1&amp;2号构型'!C265,1,2))=VALUE(MID('1&amp;2号构型'!A265,5,2))</f>
        <v>1</v>
      </c>
      <c r="J350" s="2" t="str">
        <f>IF(LEN('1&amp;2号构型'!C265)=14,"TRUE","FALSE")</f>
        <v>TRUE</v>
      </c>
      <c r="K350" s="2" t="str">
        <f>RIGHT('1&amp;2号构型'!C265,4)</f>
        <v>G900</v>
      </c>
    </row>
    <row r="351" spans="6:11">
      <c r="F351" t="str">
        <f>'1&amp;2号构型'!B266</f>
        <v>右滑行灯</v>
      </c>
      <c r="G351" s="2" t="b">
        <f>VLOOKUP('1&amp;2号构型'!F266,B:C,2,0)=VALUE(MID('1&amp;2号构型'!D266,6,2))</f>
        <v>1</v>
      </c>
      <c r="H351" s="3" t="str">
        <f>IF(LEN('1&amp;2号构型'!D266)=9,"TRUE","FALSE")</f>
        <v>TRUE</v>
      </c>
      <c r="I351" s="2" t="b">
        <f>VALUE(MID('1&amp;2号构型'!C266,1,2))=VALUE(MID('1&amp;2号构型'!A266,5,2))</f>
        <v>1</v>
      </c>
      <c r="J351" s="2" t="str">
        <f>IF(LEN('1&amp;2号构型'!C266)=14,"TRUE","FALSE")</f>
        <v>TRUE</v>
      </c>
      <c r="K351" s="2" t="str">
        <f>RIGHT('1&amp;2号构型'!C266,4)</f>
        <v>G900</v>
      </c>
    </row>
    <row r="352" spans="6:11">
      <c r="F352" t="str">
        <f>'1&amp;2号构型'!B267</f>
        <v>左标志灯</v>
      </c>
      <c r="G352" s="2" t="b">
        <f>VLOOKUP('1&amp;2号构型'!F267,B:C,2,0)=VALUE(MID('1&amp;2号构型'!D267,6,2))</f>
        <v>1</v>
      </c>
      <c r="H352" s="3" t="str">
        <f>IF(LEN('1&amp;2号构型'!D267)=9,"TRUE","FALSE")</f>
        <v>TRUE</v>
      </c>
      <c r="I352" s="2" t="e">
        <f>VALUE(MID('1&amp;2号构型'!C267,1,2))=VALUE(MID('1&amp;2号构型'!A267,5,2))</f>
        <v>#VALUE!</v>
      </c>
      <c r="J352" s="2" t="str">
        <f>IF(LEN('1&amp;2号构型'!C267)=14,"TRUE","FALSE")</f>
        <v>FALSE</v>
      </c>
      <c r="K352" s="2" t="str">
        <f>RIGHT('1&amp;2号构型'!C267,4)</f>
        <v/>
      </c>
    </row>
    <row r="353" spans="6:11">
      <c r="F353" t="str">
        <f>'1&amp;2号构型'!B268</f>
        <v>右标志灯</v>
      </c>
      <c r="G353" s="2" t="b">
        <f>VLOOKUP('1&amp;2号构型'!F268,B:C,2,0)=VALUE(MID('1&amp;2号构型'!D268,6,2))</f>
        <v>1</v>
      </c>
      <c r="H353" s="3" t="str">
        <f>IF(LEN('1&amp;2号构型'!D268)=9,"TRUE","FALSE")</f>
        <v>TRUE</v>
      </c>
      <c r="I353" s="2" t="e">
        <f>VALUE(MID('1&amp;2号构型'!C268,1,2))=VALUE(MID('1&amp;2号构型'!A268,5,2))</f>
        <v>#VALUE!</v>
      </c>
      <c r="J353" s="2" t="str">
        <f>IF(LEN('1&amp;2号构型'!C268)=14,"TRUE","FALSE")</f>
        <v>FALSE</v>
      </c>
      <c r="K353" s="2" t="str">
        <f>RIGHT('1&amp;2号构型'!C268,4)</f>
        <v/>
      </c>
    </row>
    <row r="354" spans="6:11">
      <c r="F354" t="str">
        <f>'1&amp;2号构型'!B269</f>
        <v>左探冰灯</v>
      </c>
      <c r="G354" s="2" t="e">
        <f>VLOOKUP('1&amp;2号构型'!F269,B:C,2,0)=VALUE(MID('1&amp;2号构型'!D269,6,2))</f>
        <v>#N/A</v>
      </c>
      <c r="H354" s="3" t="str">
        <f>IF(LEN('1&amp;2号构型'!D269)=9,"TRUE","FALSE")</f>
        <v>TRUE</v>
      </c>
      <c r="I354" s="2" t="e">
        <f>VALUE(MID('1&amp;2号构型'!C269,1,2))=VALUE(MID('1&amp;2号构型'!A269,5,2))</f>
        <v>#VALUE!</v>
      </c>
      <c r="J354" s="2" t="str">
        <f>IF(LEN('1&amp;2号构型'!C269)=14,"TRUE","FALSE")</f>
        <v>FALSE</v>
      </c>
      <c r="K354" s="2" t="str">
        <f>RIGHT('1&amp;2号构型'!C269,4)</f>
        <v/>
      </c>
    </row>
    <row r="355" spans="6:11">
      <c r="F355" t="str">
        <f>'1&amp;2号构型'!B270</f>
        <v>右探冰灯</v>
      </c>
      <c r="G355" s="2" t="e">
        <f>VLOOKUP('1&amp;2号构型'!F270,B:C,2,0)=VALUE(MID('1&amp;2号构型'!D270,6,2))</f>
        <v>#N/A</v>
      </c>
      <c r="H355" s="3" t="str">
        <f>IF(LEN('1&amp;2号构型'!D270)=9,"TRUE","FALSE")</f>
        <v>TRUE</v>
      </c>
      <c r="I355" s="2" t="e">
        <f>VALUE(MID('1&amp;2号构型'!C270,1,2))=VALUE(MID('1&amp;2号构型'!A270,5,2))</f>
        <v>#VALUE!</v>
      </c>
      <c r="J355" s="2" t="str">
        <f>IF(LEN('1&amp;2号构型'!C270)=14,"TRUE","FALSE")</f>
        <v>FALSE</v>
      </c>
      <c r="K355" s="2" t="str">
        <f>RIGHT('1&amp;2号构型'!C270,4)</f>
        <v/>
      </c>
    </row>
    <row r="356" spans="6:11">
      <c r="F356" t="e">
        <f>'1&amp;2号构型'!#REF!</f>
        <v>#REF!</v>
      </c>
      <c r="G356" s="2" t="e">
        <f>VLOOKUP('1&amp;2号构型'!#REF!,B:C,2,0)=VALUE(MID('1&amp;2号构型'!#REF!,6,2))</f>
        <v>#REF!</v>
      </c>
      <c r="H356" s="3" t="e">
        <f>IF(LEN('1&amp;2号构型'!#REF!)=9,"TRUE","FALSE")</f>
        <v>#REF!</v>
      </c>
      <c r="I356" s="2" t="e">
        <f>VALUE(MID('1&amp;2号构型'!#REF!,1,2))=VALUE(MID('1&amp;2号构型'!#REF!,5,2))</f>
        <v>#REF!</v>
      </c>
      <c r="J356" s="2" t="e">
        <f>IF(LEN('1&amp;2号构型'!#REF!)=14,"TRUE","FALSE")</f>
        <v>#REF!</v>
      </c>
      <c r="K356" s="2" t="e">
        <f>RIGHT('1&amp;2号构型'!#REF!,4)</f>
        <v>#REF!</v>
      </c>
    </row>
    <row r="357" spans="6:11">
      <c r="F357" t="e">
        <f>'1&amp;2号构型'!#REF!</f>
        <v>#REF!</v>
      </c>
      <c r="G357" s="2" t="e">
        <f>VLOOKUP('1&amp;2号构型'!#REF!,B:C,2,0)=VALUE(MID('1&amp;2号构型'!#REF!,6,2))</f>
        <v>#REF!</v>
      </c>
      <c r="H357" s="3" t="e">
        <f>IF(LEN('1&amp;2号构型'!#REF!)=9,"TRUE","FALSE")</f>
        <v>#REF!</v>
      </c>
      <c r="I357" s="2" t="e">
        <f>VALUE(MID('1&amp;2号构型'!#REF!,1,2))=VALUE(MID('1&amp;2号构型'!#REF!,5,2))</f>
        <v>#REF!</v>
      </c>
      <c r="J357" s="2" t="e">
        <f>IF(LEN('1&amp;2号构型'!#REF!)=14,"TRUE","FALSE")</f>
        <v>#REF!</v>
      </c>
      <c r="K357" s="2" t="e">
        <f>RIGHT('1&amp;2号构型'!#REF!,4)</f>
        <v>#REF!</v>
      </c>
    </row>
    <row r="358" spans="6:11">
      <c r="F358" t="e">
        <f>'1&amp;2号构型'!#REF!</f>
        <v>#REF!</v>
      </c>
      <c r="G358" s="2" t="e">
        <f>VLOOKUP('1&amp;2号构型'!#REF!,B:C,2,0)=VALUE(MID('1&amp;2号构型'!#REF!,6,2))</f>
        <v>#REF!</v>
      </c>
      <c r="H358" s="3" t="e">
        <f>IF(LEN('1&amp;2号构型'!#REF!)=9,"TRUE","FALSE")</f>
        <v>#REF!</v>
      </c>
      <c r="I358" s="2" t="e">
        <f>VALUE(MID('1&amp;2号构型'!#REF!,1,2))=VALUE(MID('1&amp;2号构型'!#REF!,5,2))</f>
        <v>#REF!</v>
      </c>
      <c r="J358" s="2" t="e">
        <f>IF(LEN('1&amp;2号构型'!#REF!)=14,"TRUE","FALSE")</f>
        <v>#REF!</v>
      </c>
      <c r="K358" s="2" t="e">
        <f>RIGHT('1&amp;2号构型'!#REF!,4)</f>
        <v>#REF!</v>
      </c>
    </row>
    <row r="359" spans="6:11">
      <c r="F359" t="e">
        <f>'1&amp;2号构型'!#REF!</f>
        <v>#REF!</v>
      </c>
      <c r="G359" s="2" t="e">
        <f>VLOOKUP('1&amp;2号构型'!#REF!,B:C,2,0)=VALUE(MID('1&amp;2号构型'!#REF!,6,2))</f>
        <v>#REF!</v>
      </c>
      <c r="H359" s="3" t="e">
        <f>IF(LEN('1&amp;2号构型'!#REF!)=9,"TRUE","FALSE")</f>
        <v>#REF!</v>
      </c>
      <c r="I359" s="2" t="e">
        <f>VALUE(MID('1&amp;2号构型'!#REF!,1,2))=VALUE(MID('1&amp;2号构型'!#REF!,5,2))</f>
        <v>#REF!</v>
      </c>
      <c r="J359" s="2" t="e">
        <f>IF(LEN('1&amp;2号构型'!#REF!)=14,"TRUE","FALSE")</f>
        <v>#REF!</v>
      </c>
      <c r="K359" s="2" t="e">
        <f>RIGHT('1&amp;2号构型'!#REF!,4)</f>
        <v>#REF!</v>
      </c>
    </row>
    <row r="360" spans="6:11">
      <c r="F360" t="e">
        <f>'1&amp;2号构型'!#REF!</f>
        <v>#REF!</v>
      </c>
      <c r="G360" s="2" t="e">
        <f>VLOOKUP('1&amp;2号构型'!#REF!,B:C,2,0)=VALUE(MID('1&amp;2号构型'!#REF!,6,2))</f>
        <v>#REF!</v>
      </c>
      <c r="H360" s="3" t="e">
        <f>IF(LEN('1&amp;2号构型'!#REF!)=9,"TRUE","FALSE")</f>
        <v>#REF!</v>
      </c>
      <c r="I360" s="2" t="e">
        <f>VALUE(MID('1&amp;2号构型'!#REF!,1,2))=VALUE(MID('1&amp;2号构型'!#REF!,5,2))</f>
        <v>#REF!</v>
      </c>
      <c r="J360" s="2" t="e">
        <f>IF(LEN('1&amp;2号构型'!#REF!)=14,"TRUE","FALSE")</f>
        <v>#REF!</v>
      </c>
      <c r="K360" s="2" t="e">
        <f>RIGHT('1&amp;2号构型'!#REF!,4)</f>
        <v>#REF!</v>
      </c>
    </row>
    <row r="361" spans="6:11">
      <c r="F361" t="e">
        <f>'1&amp;2号构型'!#REF!</f>
        <v>#REF!</v>
      </c>
      <c r="G361" s="2" t="e">
        <f>VLOOKUP('1&amp;2号构型'!#REF!,B:C,2,0)=VALUE(MID('1&amp;2号构型'!#REF!,6,2))</f>
        <v>#REF!</v>
      </c>
      <c r="H361" s="3" t="e">
        <f>IF(LEN('1&amp;2号构型'!#REF!)=9,"TRUE","FALSE")</f>
        <v>#REF!</v>
      </c>
      <c r="I361" s="2" t="e">
        <f>VALUE(MID('1&amp;2号构型'!#REF!,1,2))=VALUE(MID('1&amp;2号构型'!#REF!,5,2))</f>
        <v>#REF!</v>
      </c>
      <c r="J361" s="2" t="e">
        <f>IF(LEN('1&amp;2号构型'!#REF!)=14,"TRUE","FALSE")</f>
        <v>#REF!</v>
      </c>
      <c r="K361" s="2" t="e">
        <f>RIGHT('1&amp;2号构型'!#REF!,4)</f>
        <v>#REF!</v>
      </c>
    </row>
    <row r="362" spans="6:11">
      <c r="F362" t="e">
        <f>'1&amp;2号构型'!#REF!</f>
        <v>#REF!</v>
      </c>
      <c r="G362" s="2" t="e">
        <f>VLOOKUP('1&amp;2号构型'!#REF!,B:C,2,0)=VALUE(MID('1&amp;2号构型'!#REF!,6,2))</f>
        <v>#REF!</v>
      </c>
      <c r="H362" s="3" t="e">
        <f>IF(LEN('1&amp;2号构型'!#REF!)=9,"TRUE","FALSE")</f>
        <v>#REF!</v>
      </c>
      <c r="I362" s="2" t="e">
        <f>VALUE(MID('1&amp;2号构型'!#REF!,1,2))=VALUE(MID('1&amp;2号构型'!#REF!,5,2))</f>
        <v>#REF!</v>
      </c>
      <c r="J362" s="2" t="e">
        <f>IF(LEN('1&amp;2号构型'!#REF!)=14,"TRUE","FALSE")</f>
        <v>#REF!</v>
      </c>
      <c r="K362" s="2" t="e">
        <f>RIGHT('1&amp;2号构型'!#REF!,4)</f>
        <v>#REF!</v>
      </c>
    </row>
    <row r="363" spans="6:11">
      <c r="F363" t="e">
        <f>'1&amp;2号构型'!#REF!</f>
        <v>#REF!</v>
      </c>
      <c r="G363" s="2" t="e">
        <f>VLOOKUP('1&amp;2号构型'!#REF!,B:C,2,0)=VALUE(MID('1&amp;2号构型'!#REF!,6,2))</f>
        <v>#REF!</v>
      </c>
      <c r="H363" s="3" t="e">
        <f>IF(LEN('1&amp;2号构型'!#REF!)=9,"TRUE","FALSE")</f>
        <v>#REF!</v>
      </c>
      <c r="I363" s="2" t="e">
        <f>VALUE(MID('1&amp;2号构型'!#REF!,1,2))=VALUE(MID('1&amp;2号构型'!#REF!,5,2))</f>
        <v>#REF!</v>
      </c>
      <c r="J363" s="2" t="e">
        <f>IF(LEN('1&amp;2号构型'!#REF!)=14,"TRUE","FALSE")</f>
        <v>#REF!</v>
      </c>
      <c r="K363" s="2" t="e">
        <f>RIGHT('1&amp;2号构型'!#REF!,4)</f>
        <v>#REF!</v>
      </c>
    </row>
    <row r="364" spans="6:11">
      <c r="F364" t="e">
        <f>'1&amp;2号构型'!#REF!</f>
        <v>#REF!</v>
      </c>
      <c r="G364" s="2" t="e">
        <f>VLOOKUP('1&amp;2号构型'!#REF!,B:C,2,0)=VALUE(MID('1&amp;2号构型'!#REF!,6,2))</f>
        <v>#REF!</v>
      </c>
      <c r="H364" s="3" t="e">
        <f>IF(LEN('1&amp;2号构型'!#REF!)=9,"TRUE","FALSE")</f>
        <v>#REF!</v>
      </c>
      <c r="I364" s="2" t="e">
        <f>VALUE(MID('1&amp;2号构型'!#REF!,1,2))=VALUE(MID('1&amp;2号构型'!#REF!,5,2))</f>
        <v>#REF!</v>
      </c>
      <c r="J364" s="2" t="e">
        <f>IF(LEN('1&amp;2号构型'!#REF!)=14,"TRUE","FALSE")</f>
        <v>#REF!</v>
      </c>
      <c r="K364" s="2" t="e">
        <f>RIGHT('1&amp;2号构型'!#REF!,4)</f>
        <v>#REF!</v>
      </c>
    </row>
    <row r="365" spans="6:11">
      <c r="F365" t="e">
        <f>'1&amp;2号构型'!#REF!</f>
        <v>#REF!</v>
      </c>
      <c r="G365" s="2" t="e">
        <f>VLOOKUP('1&amp;2号构型'!#REF!,B:C,2,0)=VALUE(MID('1&amp;2号构型'!#REF!,6,2))</f>
        <v>#REF!</v>
      </c>
      <c r="H365" s="3" t="e">
        <f>IF(LEN('1&amp;2号构型'!#REF!)=9,"TRUE","FALSE")</f>
        <v>#REF!</v>
      </c>
      <c r="I365" s="2" t="e">
        <f>VALUE(MID('1&amp;2号构型'!#REF!,1,2))=VALUE(MID('1&amp;2号构型'!#REF!,5,2))</f>
        <v>#REF!</v>
      </c>
      <c r="J365" s="2" t="e">
        <f>IF(LEN('1&amp;2号构型'!#REF!)=14,"TRUE","FALSE")</f>
        <v>#REF!</v>
      </c>
      <c r="K365" s="2" t="e">
        <f>RIGHT('1&amp;2号构型'!#REF!,4)</f>
        <v>#REF!</v>
      </c>
    </row>
    <row r="366" spans="6:11">
      <c r="F366" t="e">
        <f>'1&amp;2号构型'!#REF!</f>
        <v>#REF!</v>
      </c>
      <c r="G366" s="2" t="e">
        <f>VLOOKUP('1&amp;2号构型'!#REF!,B:C,2,0)=VALUE(MID('1&amp;2号构型'!#REF!,6,2))</f>
        <v>#REF!</v>
      </c>
      <c r="H366" s="3" t="e">
        <f>IF(LEN('1&amp;2号构型'!#REF!)=9,"TRUE","FALSE")</f>
        <v>#REF!</v>
      </c>
      <c r="I366" s="2" t="e">
        <f>VALUE(MID('1&amp;2号构型'!#REF!,1,2))=VALUE(MID('1&amp;2号构型'!#REF!,5,2))</f>
        <v>#REF!</v>
      </c>
      <c r="J366" s="2" t="e">
        <f>IF(LEN('1&amp;2号构型'!#REF!)=14,"TRUE","FALSE")</f>
        <v>#REF!</v>
      </c>
      <c r="K366" s="2" t="e">
        <f>RIGHT('1&amp;2号构型'!#REF!,4)</f>
        <v>#REF!</v>
      </c>
    </row>
    <row r="367" spans="6:11">
      <c r="F367" t="e">
        <f>'1&amp;2号构型'!#REF!</f>
        <v>#REF!</v>
      </c>
      <c r="G367" s="2" t="e">
        <f>VLOOKUP('1&amp;2号构型'!#REF!,B:C,2,0)=VALUE(MID('1&amp;2号构型'!#REF!,6,2))</f>
        <v>#REF!</v>
      </c>
      <c r="H367" s="3" t="e">
        <f>IF(LEN('1&amp;2号构型'!#REF!)=9,"TRUE","FALSE")</f>
        <v>#REF!</v>
      </c>
      <c r="I367" s="2" t="e">
        <f>VALUE(MID('1&amp;2号构型'!#REF!,1,2))=VALUE(MID('1&amp;2号构型'!#REF!,5,2))</f>
        <v>#REF!</v>
      </c>
      <c r="J367" s="2" t="e">
        <f>IF(LEN('1&amp;2号构型'!#REF!)=14,"TRUE","FALSE")</f>
        <v>#REF!</v>
      </c>
      <c r="K367" s="2" t="e">
        <f>RIGHT('1&amp;2号构型'!#REF!,4)</f>
        <v>#REF!</v>
      </c>
    </row>
    <row r="368" spans="6:11">
      <c r="F368" t="e">
        <f>'1&amp;2号构型'!#REF!</f>
        <v>#REF!</v>
      </c>
      <c r="G368" s="2" t="e">
        <f>VLOOKUP('1&amp;2号构型'!#REF!,B:C,2,0)=VALUE(MID('1&amp;2号构型'!#REF!,6,2))</f>
        <v>#REF!</v>
      </c>
      <c r="H368" s="3" t="e">
        <f>IF(LEN('1&amp;2号构型'!#REF!)=9,"TRUE","FALSE")</f>
        <v>#REF!</v>
      </c>
      <c r="I368" s="2" t="e">
        <f>VALUE(MID('1&amp;2号构型'!#REF!,1,2))=VALUE(MID('1&amp;2号构型'!#REF!,5,2))</f>
        <v>#REF!</v>
      </c>
      <c r="J368" s="2" t="e">
        <f>IF(LEN('1&amp;2号构型'!#REF!)=14,"TRUE","FALSE")</f>
        <v>#REF!</v>
      </c>
      <c r="K368" s="2" t="e">
        <f>RIGHT('1&amp;2号构型'!#REF!,4)</f>
        <v>#REF!</v>
      </c>
    </row>
    <row r="369" spans="6:11">
      <c r="F369" t="e">
        <f>'1&amp;2号构型'!#REF!</f>
        <v>#REF!</v>
      </c>
      <c r="G369" s="2" t="e">
        <f>VLOOKUP('1&amp;2号构型'!#REF!,B:C,2,0)=VALUE(MID('1&amp;2号构型'!#REF!,6,2))</f>
        <v>#REF!</v>
      </c>
      <c r="H369" s="3" t="e">
        <f>IF(LEN('1&amp;2号构型'!#REF!)=9,"TRUE","FALSE")</f>
        <v>#REF!</v>
      </c>
      <c r="I369" s="2" t="e">
        <f>VALUE(MID('1&amp;2号构型'!#REF!,1,2))=VALUE(MID('1&amp;2号构型'!#REF!,5,2))</f>
        <v>#REF!</v>
      </c>
      <c r="J369" s="2" t="e">
        <f>IF(LEN('1&amp;2号构型'!#REF!)=14,"TRUE","FALSE")</f>
        <v>#REF!</v>
      </c>
      <c r="K369" s="2" t="e">
        <f>RIGHT('1&amp;2号构型'!#REF!,4)</f>
        <v>#REF!</v>
      </c>
    </row>
    <row r="370" spans="6:11">
      <c r="F370" t="e">
        <f>'1&amp;2号构型'!#REF!</f>
        <v>#REF!</v>
      </c>
      <c r="G370" s="2" t="e">
        <f>VLOOKUP('1&amp;2号构型'!#REF!,B:C,2,0)=VALUE(MID('1&amp;2号构型'!#REF!,6,2))</f>
        <v>#REF!</v>
      </c>
      <c r="H370" s="3" t="e">
        <f>IF(LEN('1&amp;2号构型'!#REF!)=9,"TRUE","FALSE")</f>
        <v>#REF!</v>
      </c>
      <c r="I370" s="2" t="e">
        <f>VALUE(MID('1&amp;2号构型'!#REF!,1,2))=VALUE(MID('1&amp;2号构型'!#REF!,5,2))</f>
        <v>#REF!</v>
      </c>
      <c r="J370" s="2" t="e">
        <f>IF(LEN('1&amp;2号构型'!#REF!)=14,"TRUE","FALSE")</f>
        <v>#REF!</v>
      </c>
      <c r="K370" s="2" t="e">
        <f>RIGHT('1&amp;2号构型'!#REF!,4)</f>
        <v>#REF!</v>
      </c>
    </row>
    <row r="371" spans="6:11">
      <c r="F371" t="e">
        <f>'1&amp;2号构型'!#REF!</f>
        <v>#REF!</v>
      </c>
      <c r="G371" s="2" t="e">
        <f>VLOOKUP('1&amp;2号构型'!#REF!,B:C,2,0)=VALUE(MID('1&amp;2号构型'!#REF!,6,2))</f>
        <v>#REF!</v>
      </c>
      <c r="H371" s="3" t="e">
        <f>IF(LEN('1&amp;2号构型'!#REF!)=9,"TRUE","FALSE")</f>
        <v>#REF!</v>
      </c>
      <c r="I371" s="2" t="e">
        <f>VALUE(MID('1&amp;2号构型'!#REF!,1,2))=VALUE(MID('1&amp;2号构型'!#REF!,5,2))</f>
        <v>#REF!</v>
      </c>
      <c r="J371" s="2" t="e">
        <f>IF(LEN('1&amp;2号构型'!#REF!)=14,"TRUE","FALSE")</f>
        <v>#REF!</v>
      </c>
      <c r="K371" s="2" t="e">
        <f>RIGHT('1&amp;2号构型'!#REF!,4)</f>
        <v>#REF!</v>
      </c>
    </row>
    <row r="372" spans="6:11">
      <c r="F372" t="e">
        <f>'1&amp;2号构型'!#REF!</f>
        <v>#REF!</v>
      </c>
      <c r="G372" s="2" t="e">
        <f>VLOOKUP('1&amp;2号构型'!#REF!,B:C,2,0)=VALUE(MID('1&amp;2号构型'!#REF!,6,2))</f>
        <v>#REF!</v>
      </c>
      <c r="H372" s="3" t="e">
        <f>IF(LEN('1&amp;2号构型'!#REF!)=9,"TRUE","FALSE")</f>
        <v>#REF!</v>
      </c>
      <c r="I372" s="2" t="e">
        <f>VALUE(MID('1&amp;2号构型'!#REF!,1,2))=VALUE(MID('1&amp;2号构型'!#REF!,5,2))</f>
        <v>#REF!</v>
      </c>
      <c r="J372" s="2" t="e">
        <f>IF(LEN('1&amp;2号构型'!#REF!)=14,"TRUE","FALSE")</f>
        <v>#REF!</v>
      </c>
      <c r="K372" s="2" t="e">
        <f>RIGHT('1&amp;2号构型'!#REF!,4)</f>
        <v>#REF!</v>
      </c>
    </row>
    <row r="373" spans="6:11">
      <c r="F373" t="e">
        <f>'1&amp;2号构型'!#REF!</f>
        <v>#REF!</v>
      </c>
      <c r="G373" s="2" t="e">
        <f>VLOOKUP('1&amp;2号构型'!#REF!,B:C,2,0)=VALUE(MID('1&amp;2号构型'!#REF!,6,2))</f>
        <v>#REF!</v>
      </c>
      <c r="H373" s="3" t="e">
        <f>IF(LEN('1&amp;2号构型'!#REF!)=9,"TRUE","FALSE")</f>
        <v>#REF!</v>
      </c>
      <c r="I373" s="2" t="e">
        <f>VALUE(MID('1&amp;2号构型'!#REF!,1,2))=VALUE(MID('1&amp;2号构型'!#REF!,5,2))</f>
        <v>#REF!</v>
      </c>
      <c r="J373" s="2" t="e">
        <f>IF(LEN('1&amp;2号构型'!#REF!)=14,"TRUE","FALSE")</f>
        <v>#REF!</v>
      </c>
      <c r="K373" s="2" t="e">
        <f>RIGHT('1&amp;2号构型'!#REF!,4)</f>
        <v>#REF!</v>
      </c>
    </row>
    <row r="374" spans="6:11">
      <c r="F374" t="e">
        <f>'1&amp;2号构型'!#REF!</f>
        <v>#REF!</v>
      </c>
      <c r="G374" s="2" t="e">
        <f>VLOOKUP('1&amp;2号构型'!#REF!,B:C,2,0)=VALUE(MID('1&amp;2号构型'!#REF!,6,2))</f>
        <v>#REF!</v>
      </c>
      <c r="H374" s="3" t="e">
        <f>IF(LEN('1&amp;2号构型'!#REF!)=9,"TRUE","FALSE")</f>
        <v>#REF!</v>
      </c>
      <c r="I374" s="2" t="e">
        <f>VALUE(MID('1&amp;2号构型'!#REF!,1,2))=VALUE(MID('1&amp;2号构型'!#REF!,5,2))</f>
        <v>#REF!</v>
      </c>
      <c r="J374" s="2" t="e">
        <f>IF(LEN('1&amp;2号构型'!#REF!)=14,"TRUE","FALSE")</f>
        <v>#REF!</v>
      </c>
      <c r="K374" s="2" t="e">
        <f>RIGHT('1&amp;2号构型'!#REF!,4)</f>
        <v>#REF!</v>
      </c>
    </row>
    <row r="375" spans="6:11">
      <c r="F375" t="e">
        <f>'1&amp;2号构型'!#REF!</f>
        <v>#REF!</v>
      </c>
      <c r="G375" s="2" t="e">
        <f>VLOOKUP('1&amp;2号构型'!#REF!,B:C,2,0)=VALUE(MID('1&amp;2号构型'!#REF!,6,2))</f>
        <v>#REF!</v>
      </c>
      <c r="H375" s="3" t="e">
        <f>IF(LEN('1&amp;2号构型'!#REF!)=9,"TRUE","FALSE")</f>
        <v>#REF!</v>
      </c>
      <c r="I375" s="2" t="e">
        <f>VALUE(MID('1&amp;2号构型'!#REF!,1,2))=VALUE(MID('1&amp;2号构型'!#REF!,5,2))</f>
        <v>#REF!</v>
      </c>
      <c r="J375" s="2" t="e">
        <f>IF(LEN('1&amp;2号构型'!#REF!)=14,"TRUE","FALSE")</f>
        <v>#REF!</v>
      </c>
      <c r="K375" s="2" t="e">
        <f>RIGHT('1&amp;2号构型'!#REF!,4)</f>
        <v>#REF!</v>
      </c>
    </row>
    <row r="376" spans="6:11">
      <c r="F376" t="e">
        <f>'1&amp;2号构型'!#REF!</f>
        <v>#REF!</v>
      </c>
      <c r="G376" s="2" t="e">
        <f>VLOOKUP('1&amp;2号构型'!#REF!,B:C,2,0)=VALUE(MID('1&amp;2号构型'!#REF!,6,2))</f>
        <v>#REF!</v>
      </c>
      <c r="H376" s="3" t="e">
        <f>IF(LEN('1&amp;2号构型'!#REF!)=9,"TRUE","FALSE")</f>
        <v>#REF!</v>
      </c>
      <c r="I376" s="2" t="e">
        <f>VALUE(MID('1&amp;2号构型'!#REF!,1,2))=VALUE(MID('1&amp;2号构型'!#REF!,5,2))</f>
        <v>#REF!</v>
      </c>
      <c r="J376" s="2" t="e">
        <f>IF(LEN('1&amp;2号构型'!#REF!)=14,"TRUE","FALSE")</f>
        <v>#REF!</v>
      </c>
      <c r="K376" s="2" t="e">
        <f>RIGHT('1&amp;2号构型'!#REF!,4)</f>
        <v>#REF!</v>
      </c>
    </row>
    <row r="377" spans="6:11">
      <c r="F377" t="e">
        <f>'1&amp;2号构型'!#REF!</f>
        <v>#REF!</v>
      </c>
      <c r="G377" s="2" t="e">
        <f>VLOOKUP('1&amp;2号构型'!#REF!,B:C,2,0)=VALUE(MID('1&amp;2号构型'!#REF!,6,2))</f>
        <v>#REF!</v>
      </c>
      <c r="H377" s="3" t="e">
        <f>IF(LEN('1&amp;2号构型'!#REF!)=9,"TRUE","FALSE")</f>
        <v>#REF!</v>
      </c>
      <c r="I377" s="2" t="e">
        <f>VALUE(MID('1&amp;2号构型'!#REF!,1,2))=VALUE(MID('1&amp;2号构型'!#REF!,5,2))</f>
        <v>#REF!</v>
      </c>
      <c r="J377" s="2" t="e">
        <f>IF(LEN('1&amp;2号构型'!#REF!)=14,"TRUE","FALSE")</f>
        <v>#REF!</v>
      </c>
      <c r="K377" s="2" t="e">
        <f>RIGHT('1&amp;2号构型'!#REF!,4)</f>
        <v>#REF!</v>
      </c>
    </row>
    <row r="378" spans="6:11">
      <c r="F378" t="e">
        <f>'1&amp;2号构型'!#REF!</f>
        <v>#REF!</v>
      </c>
      <c r="G378" s="2" t="e">
        <f>VLOOKUP('1&amp;2号构型'!#REF!,B:C,2,0)=VALUE(MID('1&amp;2号构型'!#REF!,6,2))</f>
        <v>#REF!</v>
      </c>
      <c r="H378" s="3" t="e">
        <f>IF(LEN('1&amp;2号构型'!#REF!)=9,"TRUE","FALSE")</f>
        <v>#REF!</v>
      </c>
      <c r="I378" s="2" t="e">
        <f>VALUE(MID('1&amp;2号构型'!#REF!,1,2))=VALUE(MID('1&amp;2号构型'!#REF!,5,2))</f>
        <v>#REF!</v>
      </c>
      <c r="J378" s="2" t="e">
        <f>IF(LEN('1&amp;2号构型'!#REF!)=14,"TRUE","FALSE")</f>
        <v>#REF!</v>
      </c>
      <c r="K378" s="2" t="e">
        <f>RIGHT('1&amp;2号构型'!#REF!,4)</f>
        <v>#REF!</v>
      </c>
    </row>
    <row r="379" spans="6:11">
      <c r="F379" t="e">
        <f>'1&amp;2号构型'!#REF!</f>
        <v>#REF!</v>
      </c>
      <c r="G379" s="2" t="e">
        <f>VLOOKUP('1&amp;2号构型'!#REF!,B:C,2,0)=VALUE(MID('1&amp;2号构型'!#REF!,6,2))</f>
        <v>#REF!</v>
      </c>
      <c r="H379" s="3" t="e">
        <f>IF(LEN('1&amp;2号构型'!#REF!)=9,"TRUE","FALSE")</f>
        <v>#REF!</v>
      </c>
      <c r="I379" s="2" t="e">
        <f>VALUE(MID('1&amp;2号构型'!#REF!,1,2))=VALUE(MID('1&amp;2号构型'!#REF!,5,2))</f>
        <v>#REF!</v>
      </c>
      <c r="J379" s="2" t="e">
        <f>IF(LEN('1&amp;2号构型'!#REF!)=14,"TRUE","FALSE")</f>
        <v>#REF!</v>
      </c>
      <c r="K379" s="2" t="e">
        <f>RIGHT('1&amp;2号构型'!#REF!,4)</f>
        <v>#REF!</v>
      </c>
    </row>
    <row r="380" spans="6:11">
      <c r="F380" t="e">
        <f>'1&amp;2号构型'!#REF!</f>
        <v>#REF!</v>
      </c>
      <c r="G380" s="2" t="e">
        <f>VLOOKUP('1&amp;2号构型'!#REF!,B:C,2,0)=VALUE(MID('1&amp;2号构型'!#REF!,6,2))</f>
        <v>#REF!</v>
      </c>
      <c r="H380" s="3" t="e">
        <f>IF(LEN('1&amp;2号构型'!#REF!)=9,"TRUE","FALSE")</f>
        <v>#REF!</v>
      </c>
      <c r="I380" s="2" t="e">
        <f>VALUE(MID('1&amp;2号构型'!#REF!,1,2))=VALUE(MID('1&amp;2号构型'!#REF!,5,2))</f>
        <v>#REF!</v>
      </c>
      <c r="J380" s="2" t="e">
        <f>IF(LEN('1&amp;2号构型'!#REF!)=14,"TRUE","FALSE")</f>
        <v>#REF!</v>
      </c>
      <c r="K380" s="2" t="e">
        <f>RIGHT('1&amp;2号构型'!#REF!,4)</f>
        <v>#REF!</v>
      </c>
    </row>
    <row r="381" spans="6:11">
      <c r="F381" t="e">
        <f>'1&amp;2号构型'!#REF!</f>
        <v>#REF!</v>
      </c>
      <c r="G381" s="2" t="e">
        <f>VLOOKUP('1&amp;2号构型'!#REF!,B:C,2,0)=VALUE(MID('1&amp;2号构型'!#REF!,6,2))</f>
        <v>#REF!</v>
      </c>
      <c r="H381" s="3" t="e">
        <f>IF(LEN('1&amp;2号构型'!#REF!)=9,"TRUE","FALSE")</f>
        <v>#REF!</v>
      </c>
      <c r="I381" s="2" t="e">
        <f>VALUE(MID('1&amp;2号构型'!#REF!,1,2))=VALUE(MID('1&amp;2号构型'!#REF!,5,2))</f>
        <v>#REF!</v>
      </c>
      <c r="J381" s="2" t="e">
        <f>IF(LEN('1&amp;2号构型'!#REF!)=14,"TRUE","FALSE")</f>
        <v>#REF!</v>
      </c>
      <c r="K381" s="2" t="e">
        <f>RIGHT('1&amp;2号构型'!#REF!,4)</f>
        <v>#REF!</v>
      </c>
    </row>
    <row r="382" spans="6:11">
      <c r="F382" t="e">
        <f>'1&amp;2号构型'!#REF!</f>
        <v>#REF!</v>
      </c>
      <c r="G382" s="2" t="e">
        <f>VLOOKUP('1&amp;2号构型'!#REF!,B:C,2,0)=VALUE(MID('1&amp;2号构型'!#REF!,6,2))</f>
        <v>#REF!</v>
      </c>
      <c r="H382" s="3" t="e">
        <f>IF(LEN('1&amp;2号构型'!#REF!)=9,"TRUE","FALSE")</f>
        <v>#REF!</v>
      </c>
      <c r="I382" s="2" t="e">
        <f>VALUE(MID('1&amp;2号构型'!#REF!,1,2))=VALUE(MID('1&amp;2号构型'!#REF!,5,2))</f>
        <v>#REF!</v>
      </c>
      <c r="J382" s="2" t="e">
        <f>IF(LEN('1&amp;2号构型'!#REF!)=14,"TRUE","FALSE")</f>
        <v>#REF!</v>
      </c>
      <c r="K382" s="2" t="e">
        <f>RIGHT('1&amp;2号构型'!#REF!,4)</f>
        <v>#REF!</v>
      </c>
    </row>
    <row r="383" spans="6:11">
      <c r="F383" t="e">
        <f>'1&amp;2号构型'!#REF!</f>
        <v>#REF!</v>
      </c>
      <c r="G383" s="2" t="e">
        <f>VLOOKUP('1&amp;2号构型'!#REF!,B:C,2,0)=VALUE(MID('1&amp;2号构型'!#REF!,6,2))</f>
        <v>#REF!</v>
      </c>
      <c r="H383" s="3" t="e">
        <f>IF(LEN('1&amp;2号构型'!#REF!)=9,"TRUE","FALSE")</f>
        <v>#REF!</v>
      </c>
      <c r="I383" s="2" t="e">
        <f>VALUE(MID('1&amp;2号构型'!#REF!,1,2))=VALUE(MID('1&amp;2号构型'!#REF!,5,2))</f>
        <v>#REF!</v>
      </c>
      <c r="J383" s="2" t="e">
        <f>IF(LEN('1&amp;2号构型'!#REF!)=14,"TRUE","FALSE")</f>
        <v>#REF!</v>
      </c>
      <c r="K383" s="2" t="e">
        <f>RIGHT('1&amp;2号构型'!#REF!,4)</f>
        <v>#REF!</v>
      </c>
    </row>
    <row r="384" spans="6:11">
      <c r="F384" t="e">
        <f>'1&amp;2号构型'!#REF!</f>
        <v>#REF!</v>
      </c>
      <c r="G384" s="2" t="e">
        <f>VLOOKUP('1&amp;2号构型'!#REF!,B:C,2,0)=VALUE(MID('1&amp;2号构型'!#REF!,6,2))</f>
        <v>#REF!</v>
      </c>
      <c r="H384" s="3" t="e">
        <f>IF(LEN('1&amp;2号构型'!#REF!)=9,"TRUE","FALSE")</f>
        <v>#REF!</v>
      </c>
      <c r="I384" s="2" t="e">
        <f>VALUE(MID('1&amp;2号构型'!#REF!,1,2))=VALUE(MID('1&amp;2号构型'!#REF!,5,2))</f>
        <v>#REF!</v>
      </c>
      <c r="J384" s="2" t="e">
        <f>IF(LEN('1&amp;2号构型'!#REF!)=14,"TRUE","FALSE")</f>
        <v>#REF!</v>
      </c>
      <c r="K384" s="2" t="e">
        <f>RIGHT('1&amp;2号构型'!#REF!,4)</f>
        <v>#REF!</v>
      </c>
    </row>
    <row r="385" spans="6:11">
      <c r="F385" t="e">
        <f>'1&amp;2号构型'!#REF!</f>
        <v>#REF!</v>
      </c>
      <c r="G385" s="2" t="e">
        <f>VLOOKUP('1&amp;2号构型'!#REF!,B:C,2,0)=VALUE(MID('1&amp;2号构型'!#REF!,6,2))</f>
        <v>#REF!</v>
      </c>
      <c r="H385" s="3" t="e">
        <f>IF(LEN('1&amp;2号构型'!#REF!)=9,"TRUE","FALSE")</f>
        <v>#REF!</v>
      </c>
      <c r="I385" s="2" t="e">
        <f>VALUE(MID('1&amp;2号构型'!#REF!,1,2))=VALUE(MID('1&amp;2号构型'!#REF!,5,2))</f>
        <v>#REF!</v>
      </c>
      <c r="J385" s="2" t="e">
        <f>IF(LEN('1&amp;2号构型'!#REF!)=14,"TRUE","FALSE")</f>
        <v>#REF!</v>
      </c>
      <c r="K385" s="2" t="e">
        <f>RIGHT('1&amp;2号构型'!#REF!,4)</f>
        <v>#REF!</v>
      </c>
    </row>
    <row r="386" spans="6:11">
      <c r="F386" t="e">
        <f>'1&amp;2号构型'!#REF!</f>
        <v>#REF!</v>
      </c>
      <c r="G386" s="2" t="e">
        <f>VLOOKUP('1&amp;2号构型'!#REF!,B:C,2,0)=VALUE(MID('1&amp;2号构型'!#REF!,6,2))</f>
        <v>#REF!</v>
      </c>
      <c r="H386" s="3" t="e">
        <f>IF(LEN('1&amp;2号构型'!#REF!)=9,"TRUE","FALSE")</f>
        <v>#REF!</v>
      </c>
      <c r="I386" s="2" t="e">
        <f>VALUE(MID('1&amp;2号构型'!#REF!,1,2))=VALUE(MID('1&amp;2号构型'!#REF!,5,2))</f>
        <v>#REF!</v>
      </c>
      <c r="J386" s="2" t="e">
        <f>IF(LEN('1&amp;2号构型'!#REF!)=14,"TRUE","FALSE")</f>
        <v>#REF!</v>
      </c>
      <c r="K386" s="2" t="e">
        <f>RIGHT('1&amp;2号构型'!#REF!,4)</f>
        <v>#REF!</v>
      </c>
    </row>
    <row r="387" spans="6:11">
      <c r="F387" t="e">
        <f>'1&amp;2号构型'!#REF!</f>
        <v>#REF!</v>
      </c>
      <c r="G387" s="2" t="e">
        <f>VLOOKUP('1&amp;2号构型'!#REF!,B:C,2,0)=VALUE(MID('1&amp;2号构型'!#REF!,6,2))</f>
        <v>#REF!</v>
      </c>
      <c r="H387" s="3" t="e">
        <f>IF(LEN('1&amp;2号构型'!#REF!)=9,"TRUE","FALSE")</f>
        <v>#REF!</v>
      </c>
      <c r="I387" s="2" t="e">
        <f>VALUE(MID('1&amp;2号构型'!#REF!,1,2))=VALUE(MID('1&amp;2号构型'!#REF!,5,2))</f>
        <v>#REF!</v>
      </c>
      <c r="J387" s="2" t="e">
        <f>IF(LEN('1&amp;2号构型'!#REF!)=14,"TRUE","FALSE")</f>
        <v>#REF!</v>
      </c>
      <c r="K387" s="2" t="e">
        <f>RIGHT('1&amp;2号构型'!#REF!,4)</f>
        <v>#REF!</v>
      </c>
    </row>
    <row r="388" spans="6:11">
      <c r="F388" t="e">
        <f>'1&amp;2号构型'!#REF!</f>
        <v>#REF!</v>
      </c>
      <c r="G388" s="2" t="e">
        <f>VLOOKUP('1&amp;2号构型'!#REF!,B:C,2,0)=VALUE(MID('1&amp;2号构型'!#REF!,6,2))</f>
        <v>#REF!</v>
      </c>
      <c r="H388" s="3" t="e">
        <f>IF(LEN('1&amp;2号构型'!#REF!)=9,"TRUE","FALSE")</f>
        <v>#REF!</v>
      </c>
      <c r="I388" s="2" t="e">
        <f>VALUE(MID('1&amp;2号构型'!#REF!,1,2))=VALUE(MID('1&amp;2号构型'!#REF!,5,2))</f>
        <v>#REF!</v>
      </c>
      <c r="J388" s="2" t="e">
        <f>IF(LEN('1&amp;2号构型'!#REF!)=14,"TRUE","FALSE")</f>
        <v>#REF!</v>
      </c>
      <c r="K388" s="2" t="e">
        <f>RIGHT('1&amp;2号构型'!#REF!,4)</f>
        <v>#REF!</v>
      </c>
    </row>
    <row r="389" spans="6:11">
      <c r="F389" t="e">
        <f>'1&amp;2号构型'!#REF!</f>
        <v>#REF!</v>
      </c>
      <c r="G389" s="2" t="e">
        <f>VLOOKUP('1&amp;2号构型'!#REF!,B:C,2,0)=VALUE(MID('1&amp;2号构型'!#REF!,6,2))</f>
        <v>#REF!</v>
      </c>
      <c r="H389" s="3" t="e">
        <f>IF(LEN('1&amp;2号构型'!#REF!)=9,"TRUE","FALSE")</f>
        <v>#REF!</v>
      </c>
      <c r="I389" s="2" t="e">
        <f>VALUE(MID('1&amp;2号构型'!#REF!,1,2))=VALUE(MID('1&amp;2号构型'!#REF!,5,2))</f>
        <v>#REF!</v>
      </c>
      <c r="J389" s="2" t="e">
        <f>IF(LEN('1&amp;2号构型'!#REF!)=14,"TRUE","FALSE")</f>
        <v>#REF!</v>
      </c>
      <c r="K389" s="2" t="e">
        <f>RIGHT('1&amp;2号构型'!#REF!,4)</f>
        <v>#REF!</v>
      </c>
    </row>
    <row r="390" spans="6:11">
      <c r="F390" t="e">
        <f>'1&amp;2号构型'!#REF!</f>
        <v>#REF!</v>
      </c>
      <c r="G390" s="2" t="e">
        <f>VLOOKUP('1&amp;2号构型'!#REF!,B:C,2,0)=VALUE(MID('1&amp;2号构型'!#REF!,6,2))</f>
        <v>#REF!</v>
      </c>
      <c r="H390" s="3" t="e">
        <f>IF(LEN('1&amp;2号构型'!#REF!)=9,"TRUE","FALSE")</f>
        <v>#REF!</v>
      </c>
      <c r="I390" s="2" t="e">
        <f>VALUE(MID('1&amp;2号构型'!#REF!,1,2))=VALUE(MID('1&amp;2号构型'!#REF!,5,2))</f>
        <v>#REF!</v>
      </c>
      <c r="J390" s="2" t="e">
        <f>IF(LEN('1&amp;2号构型'!#REF!)=14,"TRUE","FALSE")</f>
        <v>#REF!</v>
      </c>
      <c r="K390" s="2" t="e">
        <f>RIGHT('1&amp;2号构型'!#REF!,4)</f>
        <v>#REF!</v>
      </c>
    </row>
    <row r="391" spans="6:11">
      <c r="F391" t="e">
        <f>'1&amp;2号构型'!#REF!</f>
        <v>#REF!</v>
      </c>
      <c r="G391" s="2" t="e">
        <f>VLOOKUP('1&amp;2号构型'!#REF!,B:C,2,0)=VALUE(MID('1&amp;2号构型'!#REF!,6,2))</f>
        <v>#REF!</v>
      </c>
      <c r="H391" s="3" t="e">
        <f>IF(LEN('1&amp;2号构型'!#REF!)=9,"TRUE","FALSE")</f>
        <v>#REF!</v>
      </c>
      <c r="I391" s="2" t="e">
        <f>VALUE(MID('1&amp;2号构型'!#REF!,1,2))=VALUE(MID('1&amp;2号构型'!#REF!,5,2))</f>
        <v>#REF!</v>
      </c>
      <c r="J391" s="2" t="e">
        <f>IF(LEN('1&amp;2号构型'!#REF!)=14,"TRUE","FALSE")</f>
        <v>#REF!</v>
      </c>
      <c r="K391" s="2" t="e">
        <f>RIGHT('1&amp;2号构型'!#REF!,4)</f>
        <v>#REF!</v>
      </c>
    </row>
    <row r="392" spans="6:11">
      <c r="F392" t="e">
        <f>'1&amp;2号构型'!#REF!</f>
        <v>#REF!</v>
      </c>
      <c r="G392" s="2" t="e">
        <f>VLOOKUP('1&amp;2号构型'!#REF!,B:C,2,0)=VALUE(MID('1&amp;2号构型'!#REF!,6,2))</f>
        <v>#REF!</v>
      </c>
      <c r="H392" s="3" t="e">
        <f>IF(LEN('1&amp;2号构型'!#REF!)=9,"TRUE","FALSE")</f>
        <v>#REF!</v>
      </c>
      <c r="I392" s="2" t="e">
        <f>VALUE(MID('1&amp;2号构型'!#REF!,1,2))=VALUE(MID('1&amp;2号构型'!#REF!,5,2))</f>
        <v>#REF!</v>
      </c>
      <c r="J392" s="2" t="e">
        <f>IF(LEN('1&amp;2号构型'!#REF!)=14,"TRUE","FALSE")</f>
        <v>#REF!</v>
      </c>
      <c r="K392" s="2" t="e">
        <f>RIGHT('1&amp;2号构型'!#REF!,4)</f>
        <v>#REF!</v>
      </c>
    </row>
    <row r="393" spans="6:11">
      <c r="F393" t="e">
        <f>'1&amp;2号构型'!#REF!</f>
        <v>#REF!</v>
      </c>
      <c r="G393" s="2" t="e">
        <f>VLOOKUP('1&amp;2号构型'!#REF!,B:C,2,0)=VALUE(MID('1&amp;2号构型'!#REF!,6,2))</f>
        <v>#REF!</v>
      </c>
      <c r="H393" s="3" t="e">
        <f>IF(LEN('1&amp;2号构型'!#REF!)=9,"TRUE","FALSE")</f>
        <v>#REF!</v>
      </c>
      <c r="I393" s="2" t="e">
        <f>VALUE(MID('1&amp;2号构型'!#REF!,1,2))=VALUE(MID('1&amp;2号构型'!#REF!,5,2))</f>
        <v>#REF!</v>
      </c>
      <c r="J393" s="2" t="e">
        <f>IF(LEN('1&amp;2号构型'!#REF!)=14,"TRUE","FALSE")</f>
        <v>#REF!</v>
      </c>
      <c r="K393" s="2" t="e">
        <f>RIGHT('1&amp;2号构型'!#REF!,4)</f>
        <v>#REF!</v>
      </c>
    </row>
    <row r="394" spans="6:11">
      <c r="F394" t="e">
        <f>'1&amp;2号构型'!#REF!</f>
        <v>#REF!</v>
      </c>
      <c r="G394" s="2" t="e">
        <f>VLOOKUP('1&amp;2号构型'!#REF!,B:C,2,0)=VALUE(MID('1&amp;2号构型'!#REF!,6,2))</f>
        <v>#REF!</v>
      </c>
      <c r="H394" s="3" t="e">
        <f>IF(LEN('1&amp;2号构型'!#REF!)=9,"TRUE","FALSE")</f>
        <v>#REF!</v>
      </c>
      <c r="I394" s="2" t="e">
        <f>VALUE(MID('1&amp;2号构型'!#REF!,1,2))=VALUE(MID('1&amp;2号构型'!#REF!,5,2))</f>
        <v>#REF!</v>
      </c>
      <c r="J394" s="2" t="e">
        <f>IF(LEN('1&amp;2号构型'!#REF!)=14,"TRUE","FALSE")</f>
        <v>#REF!</v>
      </c>
      <c r="K394" s="2" t="e">
        <f>RIGHT('1&amp;2号构型'!#REF!,4)</f>
        <v>#REF!</v>
      </c>
    </row>
    <row r="395" spans="6:11">
      <c r="F395" t="e">
        <f>'1&amp;2号构型'!#REF!</f>
        <v>#REF!</v>
      </c>
      <c r="G395" s="2" t="e">
        <f>VLOOKUP('1&amp;2号构型'!#REF!,B:C,2,0)=VALUE(MID('1&amp;2号构型'!#REF!,6,2))</f>
        <v>#REF!</v>
      </c>
      <c r="H395" s="3" t="e">
        <f>IF(LEN('1&amp;2号构型'!#REF!)=9,"TRUE","FALSE")</f>
        <v>#REF!</v>
      </c>
      <c r="I395" s="2" t="e">
        <f>VALUE(MID('1&amp;2号构型'!#REF!,1,2))=VALUE(MID('1&amp;2号构型'!#REF!,5,2))</f>
        <v>#REF!</v>
      </c>
      <c r="J395" s="2" t="e">
        <f>IF(LEN('1&amp;2号构型'!#REF!)=14,"TRUE","FALSE")</f>
        <v>#REF!</v>
      </c>
      <c r="K395" s="2" t="e">
        <f>RIGHT('1&amp;2号构型'!#REF!,4)</f>
        <v>#REF!</v>
      </c>
    </row>
    <row r="396" spans="6:11">
      <c r="F396" t="e">
        <f>'1&amp;2号构型'!#REF!</f>
        <v>#REF!</v>
      </c>
      <c r="G396" s="2" t="e">
        <f>VLOOKUP('1&amp;2号构型'!#REF!,B:C,2,0)=VALUE(MID('1&amp;2号构型'!#REF!,6,2))</f>
        <v>#REF!</v>
      </c>
      <c r="H396" s="3" t="e">
        <f>IF(LEN('1&amp;2号构型'!#REF!)=9,"TRUE","FALSE")</f>
        <v>#REF!</v>
      </c>
      <c r="I396" s="2" t="e">
        <f>VALUE(MID('1&amp;2号构型'!#REF!,1,2))=VALUE(MID('1&amp;2号构型'!#REF!,5,2))</f>
        <v>#REF!</v>
      </c>
      <c r="J396" s="2" t="e">
        <f>IF(LEN('1&amp;2号构型'!#REF!)=14,"TRUE","FALSE")</f>
        <v>#REF!</v>
      </c>
      <c r="K396" s="2" t="e">
        <f>RIGHT('1&amp;2号构型'!#REF!,4)</f>
        <v>#REF!</v>
      </c>
    </row>
    <row r="397" spans="6:11">
      <c r="F397" t="e">
        <f>'1&amp;2号构型'!#REF!</f>
        <v>#REF!</v>
      </c>
      <c r="G397" s="2" t="e">
        <f>VLOOKUP('1&amp;2号构型'!#REF!,B:C,2,0)=VALUE(MID('1&amp;2号构型'!#REF!,6,2))</f>
        <v>#REF!</v>
      </c>
      <c r="H397" s="3" t="e">
        <f>IF(LEN('1&amp;2号构型'!#REF!)=9,"TRUE","FALSE")</f>
        <v>#REF!</v>
      </c>
      <c r="I397" s="2" t="e">
        <f>VALUE(MID('1&amp;2号构型'!#REF!,1,2))=VALUE(MID('1&amp;2号构型'!#REF!,5,2))</f>
        <v>#REF!</v>
      </c>
      <c r="J397" s="2" t="e">
        <f>IF(LEN('1&amp;2号构型'!#REF!)=14,"TRUE","FALSE")</f>
        <v>#REF!</v>
      </c>
      <c r="K397" s="2" t="e">
        <f>RIGHT('1&amp;2号构型'!#REF!,4)</f>
        <v>#REF!</v>
      </c>
    </row>
    <row r="398" spans="6:11">
      <c r="F398" t="e">
        <f>'1&amp;2号构型'!#REF!</f>
        <v>#REF!</v>
      </c>
      <c r="G398" s="2" t="e">
        <f>VLOOKUP('1&amp;2号构型'!#REF!,B:C,2,0)=VALUE(MID('1&amp;2号构型'!#REF!,6,2))</f>
        <v>#REF!</v>
      </c>
      <c r="H398" s="3" t="e">
        <f>IF(LEN('1&amp;2号构型'!#REF!)=9,"TRUE","FALSE")</f>
        <v>#REF!</v>
      </c>
      <c r="I398" s="2" t="e">
        <f>VALUE(MID('1&amp;2号构型'!#REF!,1,2))=VALUE(MID('1&amp;2号构型'!#REF!,5,2))</f>
        <v>#REF!</v>
      </c>
      <c r="J398" s="2" t="e">
        <f>IF(LEN('1&amp;2号构型'!#REF!)=14,"TRUE","FALSE")</f>
        <v>#REF!</v>
      </c>
      <c r="K398" s="2" t="e">
        <f>RIGHT('1&amp;2号构型'!#REF!,4)</f>
        <v>#REF!</v>
      </c>
    </row>
    <row r="399" spans="6:11">
      <c r="F399" t="e">
        <f>'1&amp;2号构型'!#REF!</f>
        <v>#REF!</v>
      </c>
      <c r="G399" s="2" t="e">
        <f>VLOOKUP('1&amp;2号构型'!#REF!,B:C,2,0)=VALUE(MID('1&amp;2号构型'!#REF!,6,2))</f>
        <v>#REF!</v>
      </c>
      <c r="H399" s="3" t="e">
        <f>IF(LEN('1&amp;2号构型'!#REF!)=9,"TRUE","FALSE")</f>
        <v>#REF!</v>
      </c>
      <c r="I399" s="2" t="e">
        <f>VALUE(MID('1&amp;2号构型'!#REF!,1,2))=VALUE(MID('1&amp;2号构型'!#REF!,5,2))</f>
        <v>#REF!</v>
      </c>
      <c r="J399" s="2" t="e">
        <f>IF(LEN('1&amp;2号构型'!#REF!)=14,"TRUE","FALSE")</f>
        <v>#REF!</v>
      </c>
      <c r="K399" s="2" t="e">
        <f>RIGHT('1&amp;2号构型'!#REF!,4)</f>
        <v>#REF!</v>
      </c>
    </row>
    <row r="400" spans="6:11">
      <c r="F400" t="e">
        <f>'1&amp;2号构型'!#REF!</f>
        <v>#REF!</v>
      </c>
      <c r="G400" s="2" t="e">
        <f>VLOOKUP('1&amp;2号构型'!#REF!,B:C,2,0)=VALUE(MID('1&amp;2号构型'!#REF!,6,2))</f>
        <v>#REF!</v>
      </c>
      <c r="H400" s="3" t="e">
        <f>IF(LEN('1&amp;2号构型'!#REF!)=9,"TRUE","FALSE")</f>
        <v>#REF!</v>
      </c>
      <c r="I400" s="2" t="e">
        <f>VALUE(MID('1&amp;2号构型'!#REF!,1,2))=VALUE(MID('1&amp;2号构型'!#REF!,5,2))</f>
        <v>#REF!</v>
      </c>
      <c r="J400" s="2" t="e">
        <f>IF(LEN('1&amp;2号构型'!#REF!)=14,"TRUE","FALSE")</f>
        <v>#REF!</v>
      </c>
      <c r="K400" s="2" t="e">
        <f>RIGHT('1&amp;2号构型'!#REF!,4)</f>
        <v>#REF!</v>
      </c>
    </row>
    <row r="401" spans="6:11">
      <c r="F401" t="e">
        <f>'1&amp;2号构型'!#REF!</f>
        <v>#REF!</v>
      </c>
      <c r="G401" s="2" t="e">
        <f>VLOOKUP('1&amp;2号构型'!#REF!,B:C,2,0)=VALUE(MID('1&amp;2号构型'!#REF!,6,2))</f>
        <v>#REF!</v>
      </c>
      <c r="H401" s="3" t="e">
        <f>IF(LEN('1&amp;2号构型'!#REF!)=9,"TRUE","FALSE")</f>
        <v>#REF!</v>
      </c>
      <c r="I401" s="2" t="e">
        <f>VALUE(MID('1&amp;2号构型'!#REF!,1,2))=VALUE(MID('1&amp;2号构型'!#REF!,5,2))</f>
        <v>#REF!</v>
      </c>
      <c r="J401" s="2" t="e">
        <f>IF(LEN('1&amp;2号构型'!#REF!)=14,"TRUE","FALSE")</f>
        <v>#REF!</v>
      </c>
      <c r="K401" s="2" t="e">
        <f>RIGHT('1&amp;2号构型'!#REF!,4)</f>
        <v>#REF!</v>
      </c>
    </row>
    <row r="402" spans="6:11">
      <c r="F402" t="e">
        <f>'1&amp;2号构型'!#REF!</f>
        <v>#REF!</v>
      </c>
      <c r="G402" s="2" t="e">
        <f>VLOOKUP('1&amp;2号构型'!#REF!,B:C,2,0)=VALUE(MID('1&amp;2号构型'!#REF!,6,2))</f>
        <v>#REF!</v>
      </c>
      <c r="H402" s="3" t="e">
        <f>IF(LEN('1&amp;2号构型'!#REF!)=9,"TRUE","FALSE")</f>
        <v>#REF!</v>
      </c>
      <c r="I402" s="2" t="e">
        <f>VALUE(MID('1&amp;2号构型'!#REF!,1,2))=VALUE(MID('1&amp;2号构型'!#REF!,5,2))</f>
        <v>#REF!</v>
      </c>
      <c r="J402" s="2" t="e">
        <f>IF(LEN('1&amp;2号构型'!#REF!)=14,"TRUE","FALSE")</f>
        <v>#REF!</v>
      </c>
      <c r="K402" s="2" t="e">
        <f>RIGHT('1&amp;2号构型'!#REF!,4)</f>
        <v>#REF!</v>
      </c>
    </row>
    <row r="403" spans="6:11">
      <c r="F403" t="e">
        <f>'1&amp;2号构型'!#REF!</f>
        <v>#REF!</v>
      </c>
      <c r="G403" s="2" t="e">
        <f>VLOOKUP('1&amp;2号构型'!#REF!,B:C,2,0)=VALUE(MID('1&amp;2号构型'!#REF!,6,2))</f>
        <v>#REF!</v>
      </c>
      <c r="H403" s="3" t="e">
        <f>IF(LEN('1&amp;2号构型'!#REF!)=9,"TRUE","FALSE")</f>
        <v>#REF!</v>
      </c>
      <c r="I403" s="2" t="e">
        <f>VALUE(MID('1&amp;2号构型'!#REF!,1,2))=VALUE(MID('1&amp;2号构型'!#REF!,5,2))</f>
        <v>#REF!</v>
      </c>
      <c r="J403" s="2" t="e">
        <f>IF(LEN('1&amp;2号构型'!#REF!)=14,"TRUE","FALSE")</f>
        <v>#REF!</v>
      </c>
      <c r="K403" s="2" t="e">
        <f>RIGHT('1&amp;2号构型'!#REF!,4)</f>
        <v>#REF!</v>
      </c>
    </row>
    <row r="404" spans="6:11">
      <c r="F404" t="e">
        <f>'1&amp;2号构型'!#REF!</f>
        <v>#REF!</v>
      </c>
      <c r="G404" s="2" t="e">
        <f>VLOOKUP('1&amp;2号构型'!#REF!,B:C,2,0)=VALUE(MID('1&amp;2号构型'!#REF!,6,2))</f>
        <v>#REF!</v>
      </c>
      <c r="H404" s="3" t="e">
        <f>IF(LEN('1&amp;2号构型'!#REF!)=9,"TRUE","FALSE")</f>
        <v>#REF!</v>
      </c>
      <c r="I404" s="2" t="e">
        <f>VALUE(MID('1&amp;2号构型'!#REF!,1,2))=VALUE(MID('1&amp;2号构型'!#REF!,5,2))</f>
        <v>#REF!</v>
      </c>
      <c r="J404" s="2" t="e">
        <f>IF(LEN('1&amp;2号构型'!#REF!)=14,"TRUE","FALSE")</f>
        <v>#REF!</v>
      </c>
      <c r="K404" s="2" t="e">
        <f>RIGHT('1&amp;2号构型'!#REF!,4)</f>
        <v>#REF!</v>
      </c>
    </row>
    <row r="405" spans="6:11">
      <c r="F405" t="e">
        <f>'1&amp;2号构型'!#REF!</f>
        <v>#REF!</v>
      </c>
      <c r="G405" s="2" t="e">
        <f>VLOOKUP('1&amp;2号构型'!#REF!,B:C,2,0)=VALUE(MID('1&amp;2号构型'!#REF!,6,2))</f>
        <v>#REF!</v>
      </c>
      <c r="H405" s="3" t="e">
        <f>IF(LEN('1&amp;2号构型'!#REF!)=9,"TRUE","FALSE")</f>
        <v>#REF!</v>
      </c>
      <c r="I405" s="2" t="e">
        <f>VALUE(MID('1&amp;2号构型'!#REF!,1,2))=VALUE(MID('1&amp;2号构型'!#REF!,5,2))</f>
        <v>#REF!</v>
      </c>
      <c r="J405" s="2" t="e">
        <f>IF(LEN('1&amp;2号构型'!#REF!)=14,"TRUE","FALSE")</f>
        <v>#REF!</v>
      </c>
      <c r="K405" s="2" t="e">
        <f>RIGHT('1&amp;2号构型'!#REF!,4)</f>
        <v>#REF!</v>
      </c>
    </row>
    <row r="406" spans="6:11">
      <c r="F406" t="e">
        <f>'1&amp;2号构型'!#REF!</f>
        <v>#REF!</v>
      </c>
      <c r="G406" s="2" t="e">
        <f>VLOOKUP('1&amp;2号构型'!#REF!,B:C,2,0)=VALUE(MID('1&amp;2号构型'!#REF!,6,2))</f>
        <v>#REF!</v>
      </c>
      <c r="H406" s="3" t="e">
        <f>IF(LEN('1&amp;2号构型'!#REF!)=9,"TRUE","FALSE")</f>
        <v>#REF!</v>
      </c>
      <c r="I406" s="2" t="e">
        <f>VALUE(MID('1&amp;2号构型'!#REF!,1,2))=VALUE(MID('1&amp;2号构型'!#REF!,5,2))</f>
        <v>#REF!</v>
      </c>
      <c r="J406" s="2" t="e">
        <f>IF(LEN('1&amp;2号构型'!#REF!)=14,"TRUE","FALSE")</f>
        <v>#REF!</v>
      </c>
      <c r="K406" s="2" t="e">
        <f>RIGHT('1&amp;2号构型'!#REF!,4)</f>
        <v>#REF!</v>
      </c>
    </row>
    <row r="407" spans="6:11">
      <c r="F407" t="e">
        <f>'1&amp;2号构型'!#REF!</f>
        <v>#REF!</v>
      </c>
      <c r="G407" s="2" t="e">
        <f>VLOOKUP('1&amp;2号构型'!#REF!,B:C,2,0)=VALUE(MID('1&amp;2号构型'!#REF!,6,2))</f>
        <v>#REF!</v>
      </c>
      <c r="H407" s="3" t="e">
        <f>IF(LEN('1&amp;2号构型'!#REF!)=9,"TRUE","FALSE")</f>
        <v>#REF!</v>
      </c>
      <c r="I407" s="2" t="e">
        <f>VALUE(MID('1&amp;2号构型'!#REF!,1,2))=VALUE(MID('1&amp;2号构型'!#REF!,5,2))</f>
        <v>#REF!</v>
      </c>
      <c r="J407" s="2" t="e">
        <f>IF(LEN('1&amp;2号构型'!#REF!)=14,"TRUE","FALSE")</f>
        <v>#REF!</v>
      </c>
      <c r="K407" s="2" t="e">
        <f>RIGHT('1&amp;2号构型'!#REF!,4)</f>
        <v>#REF!</v>
      </c>
    </row>
    <row r="408" spans="6:11">
      <c r="F408" t="e">
        <f>'1&amp;2号构型'!#REF!</f>
        <v>#REF!</v>
      </c>
      <c r="G408" s="2" t="e">
        <f>VLOOKUP('1&amp;2号构型'!#REF!,B:C,2,0)=VALUE(MID('1&amp;2号构型'!#REF!,6,2))</f>
        <v>#REF!</v>
      </c>
      <c r="H408" s="3" t="e">
        <f>IF(LEN('1&amp;2号构型'!#REF!)=9,"TRUE","FALSE")</f>
        <v>#REF!</v>
      </c>
      <c r="I408" s="2" t="e">
        <f>VALUE(MID('1&amp;2号构型'!#REF!,1,2))=VALUE(MID('1&amp;2号构型'!#REF!,5,2))</f>
        <v>#REF!</v>
      </c>
      <c r="J408" s="2" t="e">
        <f>IF(LEN('1&amp;2号构型'!#REF!)=14,"TRUE","FALSE")</f>
        <v>#REF!</v>
      </c>
      <c r="K408" s="2" t="e">
        <f>RIGHT('1&amp;2号构型'!#REF!,4)</f>
        <v>#REF!</v>
      </c>
    </row>
    <row r="409" spans="6:11">
      <c r="F409" t="e">
        <f>'1&amp;2号构型'!#REF!</f>
        <v>#REF!</v>
      </c>
      <c r="G409" s="2" t="e">
        <f>VLOOKUP('1&amp;2号构型'!#REF!,B:C,2,0)=VALUE(MID('1&amp;2号构型'!#REF!,6,2))</f>
        <v>#REF!</v>
      </c>
      <c r="H409" s="3" t="e">
        <f>IF(LEN('1&amp;2号构型'!#REF!)=9,"TRUE","FALSE")</f>
        <v>#REF!</v>
      </c>
      <c r="I409" s="2" t="e">
        <f>VALUE(MID('1&amp;2号构型'!#REF!,1,2))=VALUE(MID('1&amp;2号构型'!#REF!,5,2))</f>
        <v>#REF!</v>
      </c>
      <c r="J409" s="2" t="e">
        <f>IF(LEN('1&amp;2号构型'!#REF!)=14,"TRUE","FALSE")</f>
        <v>#REF!</v>
      </c>
      <c r="K409" s="2" t="e">
        <f>RIGHT('1&amp;2号构型'!#REF!,4)</f>
        <v>#REF!</v>
      </c>
    </row>
    <row r="410" spans="6:11">
      <c r="F410" t="e">
        <f>'1&amp;2号构型'!#REF!</f>
        <v>#REF!</v>
      </c>
      <c r="G410" s="2" t="e">
        <f>VLOOKUP('1&amp;2号构型'!#REF!,B:C,2,0)=VALUE(MID('1&amp;2号构型'!#REF!,6,2))</f>
        <v>#REF!</v>
      </c>
      <c r="H410" s="3" t="e">
        <f>IF(LEN('1&amp;2号构型'!#REF!)=9,"TRUE","FALSE")</f>
        <v>#REF!</v>
      </c>
      <c r="I410" s="2" t="e">
        <f>VALUE(MID('1&amp;2号构型'!#REF!,1,2))=VALUE(MID('1&amp;2号构型'!#REF!,5,2))</f>
        <v>#REF!</v>
      </c>
      <c r="J410" s="2" t="e">
        <f>IF(LEN('1&amp;2号构型'!#REF!)=14,"TRUE","FALSE")</f>
        <v>#REF!</v>
      </c>
      <c r="K410" s="2" t="e">
        <f>RIGHT('1&amp;2号构型'!#REF!,4)</f>
        <v>#REF!</v>
      </c>
    </row>
    <row r="411" spans="6:11">
      <c r="F411" t="e">
        <f>'1&amp;2号构型'!#REF!</f>
        <v>#REF!</v>
      </c>
      <c r="G411" s="2" t="e">
        <f>VLOOKUP('1&amp;2号构型'!#REF!,B:C,2,0)=VALUE(MID('1&amp;2号构型'!#REF!,6,2))</f>
        <v>#REF!</v>
      </c>
      <c r="H411" s="3" t="e">
        <f>IF(LEN('1&amp;2号构型'!#REF!)=9,"TRUE","FALSE")</f>
        <v>#REF!</v>
      </c>
      <c r="I411" s="2" t="e">
        <f>VALUE(MID('1&amp;2号构型'!#REF!,1,2))=VALUE(MID('1&amp;2号构型'!#REF!,5,2))</f>
        <v>#REF!</v>
      </c>
      <c r="J411" s="2" t="e">
        <f>IF(LEN('1&amp;2号构型'!#REF!)=14,"TRUE","FALSE")</f>
        <v>#REF!</v>
      </c>
      <c r="K411" s="2" t="e">
        <f>RIGHT('1&amp;2号构型'!#REF!,4)</f>
        <v>#REF!</v>
      </c>
    </row>
    <row r="412" spans="6:11">
      <c r="F412" t="e">
        <f>'1&amp;2号构型'!#REF!</f>
        <v>#REF!</v>
      </c>
      <c r="G412" s="2" t="e">
        <f>VLOOKUP('1&amp;2号构型'!#REF!,B:C,2,0)=VALUE(MID('1&amp;2号构型'!#REF!,6,2))</f>
        <v>#REF!</v>
      </c>
      <c r="H412" s="3" t="e">
        <f>IF(LEN('1&amp;2号构型'!#REF!)=9,"TRUE","FALSE")</f>
        <v>#REF!</v>
      </c>
      <c r="I412" s="2" t="e">
        <f>VALUE(MID('1&amp;2号构型'!#REF!,1,2))=VALUE(MID('1&amp;2号构型'!#REF!,5,2))</f>
        <v>#REF!</v>
      </c>
      <c r="J412" s="2" t="e">
        <f>IF(LEN('1&amp;2号构型'!#REF!)=14,"TRUE","FALSE")</f>
        <v>#REF!</v>
      </c>
      <c r="K412" s="2" t="e">
        <f>RIGHT('1&amp;2号构型'!#REF!,4)</f>
        <v>#REF!</v>
      </c>
    </row>
    <row r="413" spans="6:11">
      <c r="F413" t="e">
        <f>'1&amp;2号构型'!#REF!</f>
        <v>#REF!</v>
      </c>
      <c r="G413" s="2" t="e">
        <f>VLOOKUP('1&amp;2号构型'!#REF!,B:C,2,0)=VALUE(MID('1&amp;2号构型'!#REF!,6,2))</f>
        <v>#REF!</v>
      </c>
      <c r="H413" s="3" t="e">
        <f>IF(LEN('1&amp;2号构型'!#REF!)=9,"TRUE","FALSE")</f>
        <v>#REF!</v>
      </c>
      <c r="I413" s="2" t="e">
        <f>VALUE(MID('1&amp;2号构型'!#REF!,1,2))=VALUE(MID('1&amp;2号构型'!#REF!,5,2))</f>
        <v>#REF!</v>
      </c>
      <c r="J413" s="2" t="e">
        <f>IF(LEN('1&amp;2号构型'!#REF!)=14,"TRUE","FALSE")</f>
        <v>#REF!</v>
      </c>
      <c r="K413" s="2" t="e">
        <f>RIGHT('1&amp;2号构型'!#REF!,4)</f>
        <v>#REF!</v>
      </c>
    </row>
    <row r="414" spans="6:11">
      <c r="F414" t="str">
        <f>'1&amp;2号构型'!B271</f>
        <v>总压传感器1</v>
      </c>
      <c r="G414" s="2" t="b">
        <f>VLOOKUP('1&amp;2号构型'!F271,B:C,2,0)=VALUE(MID('1&amp;2号构型'!D271,6,2))</f>
        <v>1</v>
      </c>
      <c r="H414" s="3" t="str">
        <f>IF(LEN('1&amp;2号构型'!D271)=9,"TRUE","FALSE")</f>
        <v>TRUE</v>
      </c>
      <c r="I414" s="2" t="b">
        <f>VALUE(MID('1&amp;2号构型'!C271,1,2))=VALUE(MID('1&amp;2号构型'!A271,5,2))</f>
        <v>1</v>
      </c>
      <c r="J414" s="2" t="str">
        <f>IF(LEN('1&amp;2号构型'!C271)=14,"TRUE","FALSE")</f>
        <v>TRUE</v>
      </c>
      <c r="K414" s="2" t="str">
        <f>RIGHT('1&amp;2号构型'!C271,4)</f>
        <v>G900</v>
      </c>
    </row>
    <row r="415" spans="6:11">
      <c r="F415" t="str">
        <f>'1&amp;2号构型'!B272</f>
        <v>总压传感器2</v>
      </c>
      <c r="G415" s="2" t="b">
        <f>VLOOKUP('1&amp;2号构型'!F272,B:C,2,0)=VALUE(MID('1&amp;2号构型'!D272,6,2))</f>
        <v>1</v>
      </c>
      <c r="H415" s="3" t="str">
        <f>IF(LEN('1&amp;2号构型'!D272)=9,"TRUE","FALSE")</f>
        <v>TRUE</v>
      </c>
      <c r="I415" s="2" t="b">
        <f>VALUE(MID('1&amp;2号构型'!C272,1,2))=VALUE(MID('1&amp;2号构型'!A272,5,2))</f>
        <v>1</v>
      </c>
      <c r="J415" s="2" t="str">
        <f>IF(LEN('1&amp;2号构型'!C272)=14,"TRUE","FALSE")</f>
        <v>TRUE</v>
      </c>
      <c r="K415" s="2" t="str">
        <f>RIGHT('1&amp;2号构型'!C272,4)</f>
        <v>G900</v>
      </c>
    </row>
    <row r="416" spans="6:11">
      <c r="F416" t="str">
        <f>'1&amp;2号构型'!B273</f>
        <v>总压传感器3</v>
      </c>
      <c r="G416" s="2" t="b">
        <f>VLOOKUP('1&amp;2号构型'!F273,B:C,2,0)=VALUE(MID('1&amp;2号构型'!D273,6,2))</f>
        <v>1</v>
      </c>
      <c r="H416" s="3" t="str">
        <f>IF(LEN('1&amp;2号构型'!D273)=9,"TRUE","FALSE")</f>
        <v>TRUE</v>
      </c>
      <c r="I416" s="2" t="b">
        <f>VALUE(MID('1&amp;2号构型'!C273,1,2))=VALUE(MID('1&amp;2号构型'!A273,5,2))</f>
        <v>1</v>
      </c>
      <c r="J416" s="2" t="str">
        <f>IF(LEN('1&amp;2号构型'!C273)=14,"TRUE","FALSE")</f>
        <v>TRUE</v>
      </c>
      <c r="K416" s="2" t="str">
        <f>RIGHT('1&amp;2号构型'!C273,4)</f>
        <v>G900</v>
      </c>
    </row>
    <row r="417" spans="6:11">
      <c r="F417" t="str">
        <f>'1&amp;2号构型'!B274</f>
        <v>总温传感器1</v>
      </c>
      <c r="G417" s="2" t="b">
        <f>VLOOKUP('1&amp;2号构型'!F274,B:C,2,0)=VALUE(MID('1&amp;2号构型'!D274,6,2))</f>
        <v>1</v>
      </c>
      <c r="H417" s="3" t="str">
        <f>IF(LEN('1&amp;2号构型'!D274)=9,"TRUE","FALSE")</f>
        <v>TRUE</v>
      </c>
      <c r="I417" s="2" t="b">
        <f>VALUE(MID('1&amp;2号构型'!C274,1,2))=VALUE(MID('1&amp;2号构型'!A274,5,2))</f>
        <v>1</v>
      </c>
      <c r="J417" s="2" t="str">
        <f>IF(LEN('1&amp;2号构型'!C274)=14,"TRUE","FALSE")</f>
        <v>TRUE</v>
      </c>
      <c r="K417" s="2" t="str">
        <f>RIGHT('1&amp;2号构型'!C274,4)</f>
        <v>G900</v>
      </c>
    </row>
    <row r="418" spans="6:11">
      <c r="F418" t="str">
        <f>'1&amp;2号构型'!B275</f>
        <v>总温传感器2</v>
      </c>
      <c r="G418" s="2" t="b">
        <f>VLOOKUP('1&amp;2号构型'!F275,B:C,2,0)=VALUE(MID('1&amp;2号构型'!D275,6,2))</f>
        <v>1</v>
      </c>
      <c r="H418" s="3" t="str">
        <f>IF(LEN('1&amp;2号构型'!D275)=9,"TRUE","FALSE")</f>
        <v>TRUE</v>
      </c>
      <c r="I418" s="2" t="b">
        <f>VALUE(MID('1&amp;2号构型'!C275,1,2))=VALUE(MID('1&amp;2号构型'!A275,5,2))</f>
        <v>1</v>
      </c>
      <c r="J418" s="2" t="str">
        <f>IF(LEN('1&amp;2号构型'!C275)=14,"TRUE","FALSE")</f>
        <v>TRUE</v>
      </c>
      <c r="K418" s="2" t="str">
        <f>RIGHT('1&amp;2号构型'!C275,4)</f>
        <v>G900</v>
      </c>
    </row>
    <row r="419" spans="6:11">
      <c r="F419" t="str">
        <f>'1&amp;2号构型'!B276</f>
        <v>攻角传感器1</v>
      </c>
      <c r="G419" s="2" t="b">
        <f>VLOOKUP('1&amp;2号构型'!F276,B:C,2,0)=VALUE(MID('1&amp;2号构型'!D276,6,2))</f>
        <v>1</v>
      </c>
      <c r="H419" s="3" t="str">
        <f>IF(LEN('1&amp;2号构型'!D276)=9,"TRUE","FALSE")</f>
        <v>TRUE</v>
      </c>
      <c r="I419" s="2" t="b">
        <f>VALUE(MID('1&amp;2号构型'!C276,1,2))=VALUE(MID('1&amp;2号构型'!A276,5,2))</f>
        <v>1</v>
      </c>
      <c r="J419" s="2" t="str">
        <f>IF(LEN('1&amp;2号构型'!C276)=14,"TRUE","FALSE")</f>
        <v>TRUE</v>
      </c>
      <c r="K419" s="2" t="str">
        <f>RIGHT('1&amp;2号构型'!C276,4)</f>
        <v>G900</v>
      </c>
    </row>
    <row r="420" spans="6:11">
      <c r="F420" t="str">
        <f>'1&amp;2号构型'!B277</f>
        <v>攻角传感器2</v>
      </c>
      <c r="G420" s="2" t="b">
        <f>VLOOKUP('1&amp;2号构型'!F277,B:C,2,0)=VALUE(MID('1&amp;2号构型'!D277,6,2))</f>
        <v>1</v>
      </c>
      <c r="H420" s="3" t="str">
        <f>IF(LEN('1&amp;2号构型'!D277)=9,"TRUE","FALSE")</f>
        <v>TRUE</v>
      </c>
      <c r="I420" s="2" t="b">
        <f>VALUE(MID('1&amp;2号构型'!C277,1,2))=VALUE(MID('1&amp;2号构型'!A277,5,2))</f>
        <v>1</v>
      </c>
      <c r="J420" s="2" t="str">
        <f>IF(LEN('1&amp;2号构型'!C277)=14,"TRUE","FALSE")</f>
        <v>TRUE</v>
      </c>
      <c r="K420" s="2" t="str">
        <f>RIGHT('1&amp;2号构型'!C277,4)</f>
        <v>G900</v>
      </c>
    </row>
    <row r="421" spans="6:11">
      <c r="F421" t="str">
        <f>'1&amp;2号构型'!B278</f>
        <v>攻角传感器3</v>
      </c>
      <c r="G421" s="2" t="b">
        <f>VLOOKUP('1&amp;2号构型'!F278,B:C,2,0)=VALUE(MID('1&amp;2号构型'!D278,6,2))</f>
        <v>1</v>
      </c>
      <c r="H421" s="3" t="str">
        <f>IF(LEN('1&amp;2号构型'!D278)=9,"TRUE","FALSE")</f>
        <v>TRUE</v>
      </c>
      <c r="I421" s="2" t="b">
        <f>VALUE(MID('1&amp;2号构型'!C278,1,2))=VALUE(MID('1&amp;2号构型'!A278,5,2))</f>
        <v>1</v>
      </c>
      <c r="J421" s="2" t="str">
        <f>IF(LEN('1&amp;2号构型'!C278)=14,"TRUE","FALSE")</f>
        <v>TRUE</v>
      </c>
      <c r="K421" s="2" t="str">
        <f>RIGHT('1&amp;2号构型'!C278,4)</f>
        <v>G900</v>
      </c>
    </row>
    <row r="422" spans="6:11">
      <c r="F422" t="str">
        <f>'1&amp;2号构型'!B279</f>
        <v>侧滑角传感器</v>
      </c>
      <c r="G422" s="2" t="b">
        <f>VLOOKUP('1&amp;2号构型'!F279,B:C,2,0)=VALUE(MID('1&amp;2号构型'!D279,6,2))</f>
        <v>1</v>
      </c>
      <c r="H422" s="3" t="str">
        <f>IF(LEN('1&amp;2号构型'!D279)=9,"TRUE","FALSE")</f>
        <v>TRUE</v>
      </c>
      <c r="I422" s="2" t="b">
        <f>VALUE(MID('1&amp;2号构型'!C279,1,2))=VALUE(MID('1&amp;2号构型'!A279,5,2))</f>
        <v>1</v>
      </c>
      <c r="J422" s="2" t="str">
        <f>IF(LEN('1&amp;2号构型'!C279)=14,"TRUE","FALSE")</f>
        <v>TRUE</v>
      </c>
      <c r="K422" s="2" t="str">
        <f>RIGHT('1&amp;2号构型'!C279,4)</f>
        <v>G900</v>
      </c>
    </row>
    <row r="423" spans="6:11">
      <c r="F423" t="str">
        <f>'1&amp;2号构型'!B280</f>
        <v>静压传感器1</v>
      </c>
      <c r="G423" s="2" t="b">
        <f>VLOOKUP('1&amp;2号构型'!F280,B:C,2,0)=VALUE(MID('1&amp;2号构型'!D280,6,2))</f>
        <v>1</v>
      </c>
      <c r="H423" s="3" t="str">
        <f>IF(LEN('1&amp;2号构型'!D280)=9,"TRUE","FALSE")</f>
        <v>TRUE</v>
      </c>
      <c r="I423" s="2" t="b">
        <f>VALUE(MID('1&amp;2号构型'!C280,1,2))=VALUE(MID('1&amp;2号构型'!A280,5,2))</f>
        <v>1</v>
      </c>
      <c r="J423" s="2" t="str">
        <f>IF(LEN('1&amp;2号构型'!C280)=14,"TRUE","FALSE")</f>
        <v>TRUE</v>
      </c>
      <c r="K423" s="2" t="str">
        <f>RIGHT('1&amp;2号构型'!C280,4)</f>
        <v>G900</v>
      </c>
    </row>
    <row r="424" spans="6:11">
      <c r="F424" t="str">
        <f>'1&amp;2号构型'!B281</f>
        <v>静压传感器2</v>
      </c>
      <c r="G424" s="2" t="b">
        <f>VLOOKUP('1&amp;2号构型'!F281,B:C,2,0)=VALUE(MID('1&amp;2号构型'!D281,6,2))</f>
        <v>1</v>
      </c>
      <c r="H424" s="3" t="str">
        <f>IF(LEN('1&amp;2号构型'!D281)=9,"TRUE","FALSE")</f>
        <v>TRUE</v>
      </c>
      <c r="I424" s="2" t="b">
        <f>VALUE(MID('1&amp;2号构型'!C281,1,2))=VALUE(MID('1&amp;2号构型'!A281,5,2))</f>
        <v>1</v>
      </c>
      <c r="J424" s="2" t="str">
        <f>IF(LEN('1&amp;2号构型'!C281)=14,"TRUE","FALSE")</f>
        <v>TRUE</v>
      </c>
      <c r="K424" s="2" t="str">
        <f>RIGHT('1&amp;2号构型'!C281,4)</f>
        <v>G900</v>
      </c>
    </row>
    <row r="425" spans="6:11">
      <c r="F425" t="str">
        <f>'1&amp;2号构型'!B282</f>
        <v>静压传感器3</v>
      </c>
      <c r="G425" s="2" t="b">
        <f>VLOOKUP('1&amp;2号构型'!F282,B:C,2,0)=VALUE(MID('1&amp;2号构型'!D282,6,2))</f>
        <v>1</v>
      </c>
      <c r="H425" s="3" t="str">
        <f>IF(LEN('1&amp;2号构型'!D282)=9,"TRUE","FALSE")</f>
        <v>TRUE</v>
      </c>
      <c r="I425" s="2" t="b">
        <f>VALUE(MID('1&amp;2号构型'!C282,1,2))=VALUE(MID('1&amp;2号构型'!A282,5,2))</f>
        <v>1</v>
      </c>
      <c r="J425" s="2" t="str">
        <f>IF(LEN('1&amp;2号构型'!C282)=14,"TRUE","FALSE")</f>
        <v>TRUE</v>
      </c>
      <c r="K425" s="2" t="str">
        <f>RIGHT('1&amp;2号构型'!C282,4)</f>
        <v>G900</v>
      </c>
    </row>
    <row r="426" spans="6:11">
      <c r="F426" t="str">
        <f>'1&amp;2号构型'!B283</f>
        <v>静压传感器4</v>
      </c>
      <c r="G426" s="2" t="b">
        <f>VLOOKUP('1&amp;2号构型'!F283,B:C,2,0)=VALUE(MID('1&amp;2号构型'!D283,6,2))</f>
        <v>1</v>
      </c>
      <c r="H426" s="3" t="str">
        <f>IF(LEN('1&amp;2号构型'!D283)=9,"TRUE","FALSE")</f>
        <v>TRUE</v>
      </c>
      <c r="I426" s="2" t="b">
        <f>VALUE(MID('1&amp;2号构型'!C283,1,2))=VALUE(MID('1&amp;2号构型'!A283,5,2))</f>
        <v>1</v>
      </c>
      <c r="J426" s="2" t="str">
        <f>IF(LEN('1&amp;2号构型'!C283)=14,"TRUE","FALSE")</f>
        <v>TRUE</v>
      </c>
      <c r="K426" s="2" t="str">
        <f>RIGHT('1&amp;2号构型'!C283,4)</f>
        <v>G900</v>
      </c>
    </row>
    <row r="427" spans="6:11">
      <c r="F427" t="str">
        <f>'1&amp;2号构型'!B284</f>
        <v>静压传感器5</v>
      </c>
      <c r="G427" s="2" t="b">
        <f>VLOOKUP('1&amp;2号构型'!F284,B:C,2,0)=VALUE(MID('1&amp;2号构型'!D284,6,2))</f>
        <v>1</v>
      </c>
      <c r="H427" s="3" t="str">
        <f>IF(LEN('1&amp;2号构型'!D284)=9,"TRUE","FALSE")</f>
        <v>TRUE</v>
      </c>
      <c r="I427" s="2" t="b">
        <f>VALUE(MID('1&amp;2号构型'!C284,1,2))=VALUE(MID('1&amp;2号构型'!A284,5,2))</f>
        <v>1</v>
      </c>
      <c r="J427" s="2" t="str">
        <f>IF(LEN('1&amp;2号构型'!C284)=14,"TRUE","FALSE")</f>
        <v>TRUE</v>
      </c>
      <c r="K427" s="2" t="str">
        <f>RIGHT('1&amp;2号构型'!C284,4)</f>
        <v>G900</v>
      </c>
    </row>
    <row r="428" spans="6:11">
      <c r="F428" t="str">
        <f>'1&amp;2号构型'!B285</f>
        <v>静压传感器6</v>
      </c>
      <c r="G428" s="2" t="b">
        <f>VLOOKUP('1&amp;2号构型'!F285,B:C,2,0)=VALUE(MID('1&amp;2号构型'!D285,6,2))</f>
        <v>1</v>
      </c>
      <c r="H428" s="3" t="str">
        <f>IF(LEN('1&amp;2号构型'!D285)=9,"TRUE","FALSE")</f>
        <v>TRUE</v>
      </c>
      <c r="I428" s="2" t="b">
        <f>VALUE(MID('1&amp;2号构型'!C285,1,2))=VALUE(MID('1&amp;2号构型'!A285,5,2))</f>
        <v>1</v>
      </c>
      <c r="J428" s="2" t="str">
        <f>IF(LEN('1&amp;2号构型'!C285)=14,"TRUE","FALSE")</f>
        <v>TRUE</v>
      </c>
      <c r="K428" s="2" t="str">
        <f>RIGHT('1&amp;2号构型'!C285,4)</f>
        <v>G900</v>
      </c>
    </row>
    <row r="429" spans="6:11">
      <c r="F429" t="str">
        <f>'1&amp;2号构型'!B286</f>
        <v>大气数据模块1</v>
      </c>
      <c r="G429" s="2" t="b">
        <f>VLOOKUP('1&amp;2号构型'!F286,B:C,2,0)=VALUE(MID('1&amp;2号构型'!D286,6,2))</f>
        <v>1</v>
      </c>
      <c r="H429" s="3" t="str">
        <f>IF(LEN('1&amp;2号构型'!D286)=9,"TRUE","FALSE")</f>
        <v>TRUE</v>
      </c>
      <c r="I429" s="2" t="b">
        <f>VALUE(MID('1&amp;2号构型'!C286,1,2))=VALUE(MID('1&amp;2号构型'!A286,5,2))</f>
        <v>1</v>
      </c>
      <c r="J429" s="2" t="str">
        <f>IF(LEN('1&amp;2号构型'!C286)=14,"TRUE","FALSE")</f>
        <v>TRUE</v>
      </c>
      <c r="K429" s="2" t="str">
        <f>RIGHT('1&amp;2号构型'!C286,4)</f>
        <v>G900</v>
      </c>
    </row>
    <row r="430" spans="6:11">
      <c r="F430" t="str">
        <f>'1&amp;2号构型'!B287</f>
        <v>大气数据模块2</v>
      </c>
      <c r="G430" s="2" t="b">
        <f>VLOOKUP('1&amp;2号构型'!F287,B:C,2,0)=VALUE(MID('1&amp;2号构型'!D287,6,2))</f>
        <v>1</v>
      </c>
      <c r="H430" s="3" t="str">
        <f>IF(LEN('1&amp;2号构型'!D287)=9,"TRUE","FALSE")</f>
        <v>TRUE</v>
      </c>
      <c r="I430" s="2" t="b">
        <f>VALUE(MID('1&amp;2号构型'!C287,1,2))=VALUE(MID('1&amp;2号构型'!A287,5,2))</f>
        <v>1</v>
      </c>
      <c r="J430" s="2" t="str">
        <f>IF(LEN('1&amp;2号构型'!C287)=14,"TRUE","FALSE")</f>
        <v>TRUE</v>
      </c>
      <c r="K430" s="2" t="str">
        <f>RIGHT('1&amp;2号构型'!C287,4)</f>
        <v>G900</v>
      </c>
    </row>
    <row r="431" spans="6:11">
      <c r="F431" t="str">
        <f>'1&amp;2号构型'!B288</f>
        <v>大气数据模块3</v>
      </c>
      <c r="G431" s="2" t="b">
        <f>VLOOKUP('1&amp;2号构型'!F288,B:C,2,0)=VALUE(MID('1&amp;2号构型'!D288,6,2))</f>
        <v>1</v>
      </c>
      <c r="H431" s="3" t="str">
        <f>IF(LEN('1&amp;2号构型'!D288)=9,"TRUE","FALSE")</f>
        <v>TRUE</v>
      </c>
      <c r="I431" s="2" t="b">
        <f>VALUE(MID('1&amp;2号构型'!C288,1,2))=VALUE(MID('1&amp;2号构型'!A288,5,2))</f>
        <v>1</v>
      </c>
      <c r="J431" s="2" t="str">
        <f>IF(LEN('1&amp;2号构型'!C288)=14,"TRUE","FALSE")</f>
        <v>TRUE</v>
      </c>
      <c r="K431" s="2" t="str">
        <f>RIGHT('1&amp;2号构型'!C288,4)</f>
        <v>G900</v>
      </c>
    </row>
    <row r="432" spans="6:11">
      <c r="F432" t="str">
        <f>'1&amp;2号构型'!B289</f>
        <v>大气数据模块4</v>
      </c>
      <c r="G432" s="2" t="b">
        <f>VLOOKUP('1&amp;2号构型'!F289,B:C,2,0)=VALUE(MID('1&amp;2号构型'!D289,6,2))</f>
        <v>1</v>
      </c>
      <c r="H432" s="3" t="str">
        <f>IF(LEN('1&amp;2号构型'!D289)=9,"TRUE","FALSE")</f>
        <v>TRUE</v>
      </c>
      <c r="I432" s="2" t="b">
        <f>VALUE(MID('1&amp;2号构型'!C289,1,2))=VALUE(MID('1&amp;2号构型'!A289,5,2))</f>
        <v>1</v>
      </c>
      <c r="J432" s="2" t="str">
        <f>IF(LEN('1&amp;2号构型'!C289)=14,"TRUE","FALSE")</f>
        <v>TRUE</v>
      </c>
      <c r="K432" s="2" t="str">
        <f>RIGHT('1&amp;2号构型'!C289,4)</f>
        <v>G900</v>
      </c>
    </row>
    <row r="433" spans="6:11">
      <c r="F433" t="str">
        <f>'1&amp;2号构型'!B290</f>
        <v>大气数据模块5</v>
      </c>
      <c r="G433" s="2" t="b">
        <f>VLOOKUP('1&amp;2号构型'!F290,B:C,2,0)=VALUE(MID('1&amp;2号构型'!D290,6,2))</f>
        <v>1</v>
      </c>
      <c r="H433" s="3" t="str">
        <f>IF(LEN('1&amp;2号构型'!D290)=9,"TRUE","FALSE")</f>
        <v>TRUE</v>
      </c>
      <c r="I433" s="2" t="b">
        <f>VALUE(MID('1&amp;2号构型'!C290,1,2))=VALUE(MID('1&amp;2号构型'!A290,5,2))</f>
        <v>1</v>
      </c>
      <c r="J433" s="2" t="str">
        <f>IF(LEN('1&amp;2号构型'!C290)=14,"TRUE","FALSE")</f>
        <v>TRUE</v>
      </c>
      <c r="K433" s="2" t="str">
        <f>RIGHT('1&amp;2号构型'!C290,4)</f>
        <v>G900</v>
      </c>
    </row>
    <row r="434" spans="6:11">
      <c r="F434" t="str">
        <f>'1&amp;2号构型'!B291</f>
        <v>大气数据模块6</v>
      </c>
      <c r="G434" s="2" t="b">
        <f>VLOOKUP('1&amp;2号构型'!F291,B:C,2,0)=VALUE(MID('1&amp;2号构型'!D291,6,2))</f>
        <v>1</v>
      </c>
      <c r="H434" s="3" t="str">
        <f>IF(LEN('1&amp;2号构型'!D291)=9,"TRUE","FALSE")</f>
        <v>TRUE</v>
      </c>
      <c r="I434" s="2" t="b">
        <f>VALUE(MID('1&amp;2号构型'!C291,1,2))=VALUE(MID('1&amp;2号构型'!A291,5,2))</f>
        <v>1</v>
      </c>
      <c r="J434" s="2" t="str">
        <f>IF(LEN('1&amp;2号构型'!C291)=14,"TRUE","FALSE")</f>
        <v>TRUE</v>
      </c>
      <c r="K434" s="2" t="str">
        <f>RIGHT('1&amp;2号构型'!C291,4)</f>
        <v>G900</v>
      </c>
    </row>
    <row r="435" spans="6:11">
      <c r="F435" t="str">
        <f>'1&amp;2号构型'!B292</f>
        <v>大气数据模块7</v>
      </c>
      <c r="G435" s="2" t="b">
        <f>VLOOKUP('1&amp;2号构型'!F292,B:C,2,0)=VALUE(MID('1&amp;2号构型'!D292,6,2))</f>
        <v>1</v>
      </c>
      <c r="H435" s="3" t="str">
        <f>IF(LEN('1&amp;2号构型'!D292)=9,"TRUE","FALSE")</f>
        <v>TRUE</v>
      </c>
      <c r="I435" s="2" t="b">
        <f>VALUE(MID('1&amp;2号构型'!C292,1,2))=VALUE(MID('1&amp;2号构型'!A292,5,2))</f>
        <v>1</v>
      </c>
      <c r="J435" s="2" t="str">
        <f>IF(LEN('1&amp;2号构型'!C292)=14,"TRUE","FALSE")</f>
        <v>TRUE</v>
      </c>
      <c r="K435" s="2" t="str">
        <f>RIGHT('1&amp;2号构型'!C292,4)</f>
        <v>G900</v>
      </c>
    </row>
    <row r="436" spans="6:11">
      <c r="F436" t="str">
        <f>'1&amp;2号构型'!B293</f>
        <v>大气数据模块8</v>
      </c>
      <c r="G436" s="2" t="b">
        <f>VLOOKUP('1&amp;2号构型'!F293,B:C,2,0)=VALUE(MID('1&amp;2号构型'!D293,6,2))</f>
        <v>1</v>
      </c>
      <c r="H436" s="3" t="str">
        <f>IF(LEN('1&amp;2号构型'!D293)=9,"TRUE","FALSE")</f>
        <v>TRUE</v>
      </c>
      <c r="I436" s="2" t="b">
        <f>VALUE(MID('1&amp;2号构型'!C293,1,2))=VALUE(MID('1&amp;2号构型'!A293,5,2))</f>
        <v>1</v>
      </c>
      <c r="J436" s="2" t="str">
        <f>IF(LEN('1&amp;2号构型'!C293)=14,"TRUE","FALSE")</f>
        <v>TRUE</v>
      </c>
      <c r="K436" s="2" t="str">
        <f>RIGHT('1&amp;2号构型'!C293,4)</f>
        <v>G900</v>
      </c>
    </row>
    <row r="437" spans="6:11">
      <c r="F437" t="str">
        <f>'1&amp;2号构型'!B294</f>
        <v>大气数据模块9</v>
      </c>
      <c r="G437" s="2" t="b">
        <f>VLOOKUP('1&amp;2号构型'!F294,B:C,2,0)=VALUE(MID('1&amp;2号构型'!D294,6,2))</f>
        <v>1</v>
      </c>
      <c r="H437" s="3" t="str">
        <f>IF(LEN('1&amp;2号构型'!D294)=9,"TRUE","FALSE")</f>
        <v>TRUE</v>
      </c>
      <c r="I437" s="2" t="b">
        <f>VALUE(MID('1&amp;2号构型'!C294,1,2))=VALUE(MID('1&amp;2号构型'!A294,5,2))</f>
        <v>1</v>
      </c>
      <c r="J437" s="2" t="str">
        <f>IF(LEN('1&amp;2号构型'!C294)=14,"TRUE","FALSE")</f>
        <v>TRUE</v>
      </c>
      <c r="K437" s="2" t="str">
        <f>RIGHT('1&amp;2号构型'!C294,4)</f>
        <v>G900</v>
      </c>
    </row>
    <row r="438" spans="6:11">
      <c r="F438" t="str">
        <f>'1&amp;2号构型'!B295</f>
        <v>大气数据计算机1</v>
      </c>
      <c r="G438" s="2" t="b">
        <f>VLOOKUP('1&amp;2号构型'!F295,B:C,2,0)=VALUE(MID('1&amp;2号构型'!D295,6,2))</f>
        <v>1</v>
      </c>
      <c r="H438" s="3" t="str">
        <f>IF(LEN('1&amp;2号构型'!D295)=9,"TRUE","FALSE")</f>
        <v>TRUE</v>
      </c>
      <c r="I438" s="2" t="b">
        <f>VALUE(MID('1&amp;2号构型'!C295,1,2))=VALUE(MID('1&amp;2号构型'!A295,5,2))</f>
        <v>1</v>
      </c>
      <c r="J438" s="2" t="str">
        <f>IF(LEN('1&amp;2号构型'!C295)=14,"TRUE","FALSE")</f>
        <v>TRUE</v>
      </c>
      <c r="K438" s="2" t="str">
        <f>RIGHT('1&amp;2号构型'!C295,4)</f>
        <v>G900</v>
      </c>
    </row>
    <row r="439" spans="6:11">
      <c r="F439" t="str">
        <f>'1&amp;2号构型'!B296</f>
        <v>大气数据计算机2</v>
      </c>
      <c r="G439" s="2" t="b">
        <f>VLOOKUP('1&amp;2号构型'!F296,B:C,2,0)=VALUE(MID('1&amp;2号构型'!D296,6,2))</f>
        <v>1</v>
      </c>
      <c r="H439" s="3" t="str">
        <f>IF(LEN('1&amp;2号构型'!D296)=9,"TRUE","FALSE")</f>
        <v>TRUE</v>
      </c>
      <c r="I439" s="2" t="b">
        <f>VALUE(MID('1&amp;2号构型'!C296,1,2))=VALUE(MID('1&amp;2号构型'!A296,5,2))</f>
        <v>1</v>
      </c>
      <c r="J439" s="2" t="str">
        <f>IF(LEN('1&amp;2号构型'!C296)=14,"TRUE","FALSE")</f>
        <v>TRUE</v>
      </c>
      <c r="K439" s="2" t="str">
        <f>RIGHT('1&amp;2号构型'!C296,4)</f>
        <v>G900</v>
      </c>
    </row>
    <row r="440" spans="6:11">
      <c r="F440" t="str">
        <f>'1&amp;2号构型'!B297</f>
        <v>大气数据计算机3</v>
      </c>
      <c r="G440" s="2" t="b">
        <f>VLOOKUP('1&amp;2号构型'!F297,B:C,2,0)=VALUE(MID('1&amp;2号构型'!D297,6,2))</f>
        <v>1</v>
      </c>
      <c r="H440" s="3" t="str">
        <f>IF(LEN('1&amp;2号构型'!D297)=9,"TRUE","FALSE")</f>
        <v>TRUE</v>
      </c>
      <c r="I440" s="2" t="b">
        <f>VALUE(MID('1&amp;2号构型'!C297,1,2))=VALUE(MID('1&amp;2号构型'!A297,5,2))</f>
        <v>1</v>
      </c>
      <c r="J440" s="2" t="str">
        <f>IF(LEN('1&amp;2号构型'!C297)=14,"TRUE","FALSE")</f>
        <v>TRUE</v>
      </c>
      <c r="K440" s="2" t="str">
        <f>RIGHT('1&amp;2号构型'!C297,4)</f>
        <v>G900</v>
      </c>
    </row>
    <row r="441" spans="6:11">
      <c r="F441" t="e">
        <f>'1&amp;2号构型'!#REF!</f>
        <v>#REF!</v>
      </c>
      <c r="G441" s="2" t="e">
        <f>VLOOKUP('1&amp;2号构型'!#REF!,B:C,2,0)=VALUE(MID('1&amp;2号构型'!#REF!,6,2))</f>
        <v>#REF!</v>
      </c>
      <c r="H441" s="3" t="e">
        <f>IF(LEN('1&amp;2号构型'!#REF!)=9,"TRUE","FALSE")</f>
        <v>#REF!</v>
      </c>
      <c r="I441" s="2" t="e">
        <f>VALUE(MID('1&amp;2号构型'!#REF!,1,2))=VALUE(MID('1&amp;2号构型'!#REF!,5,2))</f>
        <v>#REF!</v>
      </c>
      <c r="J441" s="2" t="e">
        <f>IF(LEN('1&amp;2号构型'!#REF!)=14,"TRUE","FALSE")</f>
        <v>#REF!</v>
      </c>
      <c r="K441" s="2" t="e">
        <f>RIGHT('1&amp;2号构型'!#REF!,4)</f>
        <v>#REF!</v>
      </c>
    </row>
    <row r="442" spans="6:11">
      <c r="F442" t="e">
        <f>'1&amp;2号构型'!#REF!</f>
        <v>#REF!</v>
      </c>
      <c r="G442" s="2" t="e">
        <f>VLOOKUP('1&amp;2号构型'!#REF!,B:C,2,0)=VALUE(MID('1&amp;2号构型'!#REF!,6,2))</f>
        <v>#REF!</v>
      </c>
      <c r="H442" s="3" t="e">
        <f>IF(LEN('1&amp;2号构型'!#REF!)=9,"TRUE","FALSE")</f>
        <v>#REF!</v>
      </c>
      <c r="I442" s="2" t="e">
        <f>VALUE(MID('1&amp;2号构型'!#REF!,1,2))=VALUE(MID('1&amp;2号构型'!#REF!,5,2))</f>
        <v>#REF!</v>
      </c>
      <c r="J442" s="2" t="e">
        <f>IF(LEN('1&amp;2号构型'!#REF!)=14,"TRUE","FALSE")</f>
        <v>#REF!</v>
      </c>
      <c r="K442" s="2" t="e">
        <f>RIGHT('1&amp;2号构型'!#REF!,4)</f>
        <v>#REF!</v>
      </c>
    </row>
    <row r="443" spans="6:11">
      <c r="F443" t="str">
        <f>'1&amp;2号构型'!B298</f>
        <v>综合备份仪表</v>
      </c>
      <c r="G443" s="2" t="b">
        <f>VLOOKUP('1&amp;2号构型'!F298,B:C,2,0)=VALUE(MID('1&amp;2号构型'!D298,6,2))</f>
        <v>0</v>
      </c>
      <c r="H443" s="3" t="str">
        <f>IF(LEN('1&amp;2号构型'!D298)=9,"TRUE","FALSE")</f>
        <v>TRUE</v>
      </c>
      <c r="I443" s="2" t="b">
        <f>VALUE(MID('1&amp;2号构型'!C298,1,2))=VALUE(MID('1&amp;2号构型'!A298,5,2))</f>
        <v>1</v>
      </c>
      <c r="J443" s="2" t="str">
        <f>IF(LEN('1&amp;2号构型'!C298)=14,"TRUE","FALSE")</f>
        <v>TRUE</v>
      </c>
      <c r="K443" s="2" t="str">
        <f>RIGHT('1&amp;2号构型'!C298,4)</f>
        <v>G900</v>
      </c>
    </row>
    <row r="444" spans="6:11">
      <c r="F444" t="str">
        <f>'1&amp;2号构型'!B299</f>
        <v>磁罗盘</v>
      </c>
      <c r="G444" s="2" t="b">
        <f>VLOOKUP('1&amp;2号构型'!F299,B:C,2,0)=VALUE(MID('1&amp;2号构型'!D299,6,2))</f>
        <v>0</v>
      </c>
      <c r="H444" s="3" t="str">
        <f>IF(LEN('1&amp;2号构型'!D299)=9,"TRUE","FALSE")</f>
        <v>TRUE</v>
      </c>
      <c r="I444" s="2" t="b">
        <f>VALUE(MID('1&amp;2号构型'!C299,1,2))=VALUE(MID('1&amp;2号构型'!A299,5,2))</f>
        <v>1</v>
      </c>
      <c r="J444" s="2" t="str">
        <f>IF(LEN('1&amp;2号构型'!C299)=14,"TRUE","FALSE")</f>
        <v>TRUE</v>
      </c>
      <c r="K444" s="2" t="str">
        <f>RIGHT('1&amp;2号构型'!C299,4)</f>
        <v>G900</v>
      </c>
    </row>
    <row r="445" spans="6:11">
      <c r="F445" t="str">
        <f>'1&amp;2号构型'!B300</f>
        <v>仪表着陆(LOC/GS)天线1</v>
      </c>
      <c r="G445" s="2" t="b">
        <f>VLOOKUP('1&amp;2号构型'!F300,B:C,2,0)=VALUE(MID('1&amp;2号构型'!D300,6,2))</f>
        <v>1</v>
      </c>
      <c r="H445" s="3" t="str">
        <f>IF(LEN('1&amp;2号构型'!D300)=9,"TRUE","FALSE")</f>
        <v>TRUE</v>
      </c>
      <c r="I445" s="2" t="b">
        <f>VALUE(MID('1&amp;2号构型'!C300,1,2))=VALUE(MID('1&amp;2号构型'!A300,5,2))</f>
        <v>1</v>
      </c>
      <c r="J445" s="2" t="str">
        <f>IF(LEN('1&amp;2号构型'!C300)=14,"TRUE","FALSE")</f>
        <v>TRUE</v>
      </c>
      <c r="K445" s="2" t="str">
        <f>RIGHT('1&amp;2号构型'!C300,4)</f>
        <v>G900</v>
      </c>
    </row>
    <row r="446" spans="6:11">
      <c r="F446" t="str">
        <f>'1&amp;2号构型'!B301</f>
        <v>仪表着陆(LOC/GS)天线2</v>
      </c>
      <c r="G446" s="2" t="b">
        <f>VLOOKUP('1&amp;2号构型'!F301,B:C,2,0)=VALUE(MID('1&amp;2号构型'!D301,6,2))</f>
        <v>1</v>
      </c>
      <c r="H446" s="3" t="str">
        <f>IF(LEN('1&amp;2号构型'!D301)=9,"TRUE","FALSE")</f>
        <v>TRUE</v>
      </c>
      <c r="I446" s="2" t="b">
        <f>VALUE(MID('1&amp;2号构型'!C301,1,2))=VALUE(MID('1&amp;2号构型'!A301,5,2))</f>
        <v>1</v>
      </c>
      <c r="J446" s="2" t="str">
        <f>IF(LEN('1&amp;2号构型'!C301)=14,"TRUE","FALSE")</f>
        <v>TRUE</v>
      </c>
      <c r="K446" s="2" t="str">
        <f>RIGHT('1&amp;2号构型'!C301,4)</f>
        <v>G900</v>
      </c>
    </row>
    <row r="447" spans="6:11">
      <c r="F447" t="str">
        <f>'1&amp;2号构型'!B302</f>
        <v>LOC/GS天线合路器</v>
      </c>
      <c r="G447" s="2" t="b">
        <f>VLOOKUP('1&amp;2号构型'!F302,B:C,2,0)=VALUE(MID('1&amp;2号构型'!D302,6,2))</f>
        <v>1</v>
      </c>
      <c r="H447" s="3" t="str">
        <f>IF(LEN('1&amp;2号构型'!D302)=9,"TRUE","FALSE")</f>
        <v>TRUE</v>
      </c>
      <c r="I447" s="2" t="b">
        <f>VALUE(MID('1&amp;2号构型'!C302,1,2))=VALUE(MID('1&amp;2号构型'!A302,5,2))</f>
        <v>1</v>
      </c>
      <c r="J447" s="2" t="str">
        <f>IF(LEN('1&amp;2号构型'!C302)=14,"TRUE","FALSE")</f>
        <v>TRUE</v>
      </c>
      <c r="K447" s="2" t="str">
        <f>RIGHT('1&amp;2号构型'!C302,4)</f>
        <v>G900</v>
      </c>
    </row>
    <row r="448" spans="6:11">
      <c r="F448" t="str">
        <f>'1&amp;2号构型'!B303</f>
        <v>LOC/GS功分器1</v>
      </c>
      <c r="G448" s="2" t="b">
        <f>VLOOKUP('1&amp;2号构型'!F303,B:C,2,0)=VALUE(MID('1&amp;2号构型'!D303,6,2))</f>
        <v>1</v>
      </c>
      <c r="H448" s="3" t="str">
        <f>IF(LEN('1&amp;2号构型'!D303)=9,"TRUE","FALSE")</f>
        <v>TRUE</v>
      </c>
      <c r="I448" s="2" t="b">
        <f>VALUE(MID('1&amp;2号构型'!C303,1,2))=VALUE(MID('1&amp;2号构型'!A303,5,2))</f>
        <v>1</v>
      </c>
      <c r="J448" s="2" t="str">
        <f>IF(LEN('1&amp;2号构型'!C303)=14,"TRUE","FALSE")</f>
        <v>TRUE</v>
      </c>
      <c r="K448" s="2" t="str">
        <f>RIGHT('1&amp;2号构型'!C303,4)</f>
        <v>G900</v>
      </c>
    </row>
    <row r="449" spans="6:11">
      <c r="F449" t="str">
        <f>'1&amp;2号构型'!B304</f>
        <v>LOC/GS功分器2</v>
      </c>
      <c r="G449" s="2" t="b">
        <f>VLOOKUP('1&amp;2号构型'!F304,B:C,2,0)=VALUE(MID('1&amp;2号构型'!D304,6,2))</f>
        <v>1</v>
      </c>
      <c r="H449" s="3" t="str">
        <f>IF(LEN('1&amp;2号构型'!D304)=9,"TRUE","FALSE")</f>
        <v>TRUE</v>
      </c>
      <c r="I449" s="2" t="b">
        <f>VALUE(MID('1&amp;2号构型'!C304,1,2))=VALUE(MID('1&amp;2号构型'!A304,5,2))</f>
        <v>1</v>
      </c>
      <c r="J449" s="2" t="str">
        <f>IF(LEN('1&amp;2号构型'!C304)=14,"TRUE","FALSE")</f>
        <v>TRUE</v>
      </c>
      <c r="K449" s="2" t="str">
        <f>RIGHT('1&amp;2号构型'!C304,4)</f>
        <v>G900</v>
      </c>
    </row>
    <row r="450" spans="6:11">
      <c r="F450" t="str">
        <f>'1&amp;2号构型'!B305</f>
        <v>无线电高度表天线1</v>
      </c>
      <c r="G450" s="2" t="b">
        <f>VLOOKUP('1&amp;2号构型'!F305,B:C,2,0)=VALUE(MID('1&amp;2号构型'!D305,6,2))</f>
        <v>1</v>
      </c>
      <c r="H450" s="3" t="str">
        <f>IF(LEN('1&amp;2号构型'!D305)=9,"TRUE","FALSE")</f>
        <v>TRUE</v>
      </c>
      <c r="I450" s="2" t="b">
        <f>VALUE(MID('1&amp;2号构型'!C305,1,2))=VALUE(MID('1&amp;2号构型'!A305,5,2))</f>
        <v>1</v>
      </c>
      <c r="J450" s="2" t="str">
        <f>IF(LEN('1&amp;2号构型'!C305)=14,"TRUE","FALSE")</f>
        <v>TRUE</v>
      </c>
      <c r="K450" s="2" t="str">
        <f>RIGHT('1&amp;2号构型'!C305,4)</f>
        <v>G900</v>
      </c>
    </row>
    <row r="451" spans="6:11">
      <c r="F451" t="str">
        <f>'1&amp;2号构型'!B306</f>
        <v>无线电高度表天线2</v>
      </c>
      <c r="G451" s="2" t="b">
        <f>VLOOKUP('1&amp;2号构型'!F306,B:C,2,0)=VALUE(MID('1&amp;2号构型'!D306,6,2))</f>
        <v>1</v>
      </c>
      <c r="H451" s="3" t="str">
        <f>IF(LEN('1&amp;2号构型'!D306)=9,"TRUE","FALSE")</f>
        <v>TRUE</v>
      </c>
      <c r="I451" s="2" t="b">
        <f>VALUE(MID('1&amp;2号构型'!C306,1,2))=VALUE(MID('1&amp;2号构型'!A306,5,2))</f>
        <v>1</v>
      </c>
      <c r="J451" s="2" t="str">
        <f>IF(LEN('1&amp;2号构型'!C306)=14,"TRUE","FALSE")</f>
        <v>TRUE</v>
      </c>
      <c r="K451" s="2" t="str">
        <f>RIGHT('1&amp;2号构型'!C306,4)</f>
        <v>G900</v>
      </c>
    </row>
    <row r="452" spans="6:11">
      <c r="F452" t="str">
        <f>'1&amp;2号构型'!B307</f>
        <v>无线电高度表天线3</v>
      </c>
      <c r="G452" s="2" t="b">
        <f>VLOOKUP('1&amp;2号构型'!F307,B:C,2,0)=VALUE(MID('1&amp;2号构型'!D307,6,2))</f>
        <v>1</v>
      </c>
      <c r="H452" s="3" t="str">
        <f>IF(LEN('1&amp;2号构型'!D307)=9,"TRUE","FALSE")</f>
        <v>TRUE</v>
      </c>
      <c r="I452" s="2" t="b">
        <f>VALUE(MID('1&amp;2号构型'!C307,1,2))=VALUE(MID('1&amp;2号构型'!A307,5,2))</f>
        <v>1</v>
      </c>
      <c r="J452" s="2" t="str">
        <f>IF(LEN('1&amp;2号构型'!C307)=14,"TRUE","FALSE")</f>
        <v>TRUE</v>
      </c>
      <c r="K452" s="2" t="str">
        <f>RIGHT('1&amp;2号构型'!C307,4)</f>
        <v>G900</v>
      </c>
    </row>
    <row r="453" spans="6:11">
      <c r="F453" t="str">
        <f>'1&amp;2号构型'!B308</f>
        <v>无线电高度表天线4</v>
      </c>
      <c r="G453" s="2" t="b">
        <f>VLOOKUP('1&amp;2号构型'!F308,B:C,2,0)=VALUE(MID('1&amp;2号构型'!D308,6,2))</f>
        <v>1</v>
      </c>
      <c r="H453" s="3" t="str">
        <f>IF(LEN('1&amp;2号构型'!D308)=9,"TRUE","FALSE")</f>
        <v>TRUE</v>
      </c>
      <c r="I453" s="2" t="b">
        <f>VALUE(MID('1&amp;2号构型'!C308,1,2))=VALUE(MID('1&amp;2号构型'!A308,5,2))</f>
        <v>1</v>
      </c>
      <c r="J453" s="2" t="str">
        <f>IF(LEN('1&amp;2号构型'!C308)=14,"TRUE","FALSE")</f>
        <v>TRUE</v>
      </c>
      <c r="K453" s="2" t="str">
        <f>RIGHT('1&amp;2号构型'!C308,4)</f>
        <v>G900</v>
      </c>
    </row>
    <row r="454" spans="6:11">
      <c r="F454" t="str">
        <f>'1&amp;2号构型'!B309</f>
        <v>无线电高度表（RA）收发机1</v>
      </c>
      <c r="G454" s="2" t="b">
        <f>VLOOKUP('1&amp;2号构型'!F309,B:C,2,0)=VALUE(MID('1&amp;2号构型'!D309,6,2))</f>
        <v>1</v>
      </c>
      <c r="H454" s="3" t="str">
        <f>IF(LEN('1&amp;2号构型'!D309)=9,"TRUE","FALSE")</f>
        <v>TRUE</v>
      </c>
      <c r="I454" s="2" t="b">
        <f>VALUE(MID('1&amp;2号构型'!C309,1,2))=VALUE(MID('1&amp;2号构型'!A309,5,2))</f>
        <v>1</v>
      </c>
      <c r="J454" s="2" t="str">
        <f>IF(LEN('1&amp;2号构型'!C309)=14,"TRUE","FALSE")</f>
        <v>TRUE</v>
      </c>
      <c r="K454" s="2" t="str">
        <f>RIGHT('1&amp;2号构型'!C309,4)</f>
        <v>G900</v>
      </c>
    </row>
    <row r="455" spans="6:11">
      <c r="F455" t="str">
        <f>'1&amp;2号构型'!B310</f>
        <v>无线电高度表（RA）收发机2</v>
      </c>
      <c r="G455" s="2" t="b">
        <f>VLOOKUP('1&amp;2号构型'!F310,B:C,2,0)=VALUE(MID('1&amp;2号构型'!D310,6,2))</f>
        <v>1</v>
      </c>
      <c r="H455" s="3" t="str">
        <f>IF(LEN('1&amp;2号构型'!D310)=9,"TRUE","FALSE")</f>
        <v>TRUE</v>
      </c>
      <c r="I455" s="2" t="b">
        <f>VALUE(MID('1&amp;2号构型'!C310,1,2))=VALUE(MID('1&amp;2号构型'!A310,5,2))</f>
        <v>1</v>
      </c>
      <c r="J455" s="2" t="str">
        <f>IF(LEN('1&amp;2号构型'!C310)=14,"TRUE","FALSE")</f>
        <v>TRUE</v>
      </c>
      <c r="K455" s="2" t="str">
        <f>RIGHT('1&amp;2号构型'!C310,4)</f>
        <v>G900</v>
      </c>
    </row>
    <row r="456" spans="6:11">
      <c r="F456" t="str">
        <f>'1&amp;2号构型'!B311</f>
        <v>惯性基准系统1</v>
      </c>
      <c r="G456" s="2" t="b">
        <f>VLOOKUP('1&amp;2号构型'!F311,B:C,2,0)=VALUE(MID('1&amp;2号构型'!D311,6,2))</f>
        <v>1</v>
      </c>
      <c r="H456" s="3" t="str">
        <f>IF(LEN('1&amp;2号构型'!D311)=9,"TRUE","FALSE")</f>
        <v>TRUE</v>
      </c>
      <c r="I456" s="2" t="b">
        <f>VALUE(MID('1&amp;2号构型'!C311,1,2))=VALUE(MID('1&amp;2号构型'!A311,5,2))</f>
        <v>1</v>
      </c>
      <c r="J456" s="2" t="str">
        <f>IF(LEN('1&amp;2号构型'!C311)=14,"TRUE","FALSE")</f>
        <v>TRUE</v>
      </c>
      <c r="K456" s="2" t="str">
        <f>RIGHT('1&amp;2号构型'!C311,4)</f>
        <v>G900</v>
      </c>
    </row>
    <row r="457" spans="6:11">
      <c r="F457" t="str">
        <f>'1&amp;2号构型'!B312</f>
        <v>惯性基准系统2</v>
      </c>
      <c r="G457" s="2" t="b">
        <f>VLOOKUP('1&amp;2号构型'!F312,B:C,2,0)=VALUE(MID('1&amp;2号构型'!D312,6,2))</f>
        <v>1</v>
      </c>
      <c r="H457" s="3" t="str">
        <f>IF(LEN('1&amp;2号构型'!D312)=9,"TRUE","FALSE")</f>
        <v>TRUE</v>
      </c>
      <c r="I457" s="2" t="b">
        <f>VALUE(MID('1&amp;2号构型'!C312,1,2))=VALUE(MID('1&amp;2号构型'!A312,5,2))</f>
        <v>1</v>
      </c>
      <c r="J457" s="2" t="str">
        <f>IF(LEN('1&amp;2号构型'!C312)=14,"TRUE","FALSE")</f>
        <v>TRUE</v>
      </c>
      <c r="K457" s="2" t="str">
        <f>RIGHT('1&amp;2号构型'!C312,4)</f>
        <v>G900</v>
      </c>
    </row>
    <row r="458" spans="6:11">
      <c r="F458" t="str">
        <f>'1&amp;2号构型'!B313</f>
        <v>惯性基准系统3</v>
      </c>
      <c r="G458" s="2" t="b">
        <f>VLOOKUP('1&amp;2号构型'!F313,B:C,2,0)=VALUE(MID('1&amp;2号构型'!D313,6,2))</f>
        <v>1</v>
      </c>
      <c r="H458" s="3" t="str">
        <f>IF(LEN('1&amp;2号构型'!D313)=9,"TRUE","FALSE")</f>
        <v>TRUE</v>
      </c>
      <c r="I458" s="2" t="b">
        <f>VALUE(MID('1&amp;2号构型'!C313,1,2))=VALUE(MID('1&amp;2号构型'!A313,5,2))</f>
        <v>1</v>
      </c>
      <c r="J458" s="2" t="str">
        <f>IF(LEN('1&amp;2号构型'!C313)=14,"TRUE","FALSE")</f>
        <v>TRUE</v>
      </c>
      <c r="K458" s="2" t="str">
        <f>RIGHT('1&amp;2号构型'!C313,4)</f>
        <v>G900</v>
      </c>
    </row>
    <row r="459" spans="6:11">
      <c r="F459" t="str">
        <f>'1&amp;2号构型'!B314</f>
        <v>甚高频通信及无线电导航集成设备1</v>
      </c>
      <c r="G459" s="2" t="b">
        <f>VLOOKUP('1&amp;2号构型'!F314,B:C,2,0)=VALUE(MID('1&amp;2号构型'!D314,6,2))</f>
        <v>1</v>
      </c>
      <c r="H459" s="3" t="str">
        <f>IF(LEN('1&amp;2号构型'!D314)=9,"TRUE","FALSE")</f>
        <v>TRUE</v>
      </c>
      <c r="I459" s="2" t="b">
        <f>VALUE(MID('1&amp;2号构型'!C314,1,2))=VALUE(MID('1&amp;2号构型'!A314,5,2))</f>
        <v>1</v>
      </c>
      <c r="J459" s="2" t="str">
        <f>IF(LEN('1&amp;2号构型'!C314)=14,"TRUE","FALSE")</f>
        <v>TRUE</v>
      </c>
      <c r="K459" s="2" t="str">
        <f>RIGHT('1&amp;2号构型'!C314,4)</f>
        <v>G900</v>
      </c>
    </row>
    <row r="460" spans="6:11">
      <c r="F460" t="str">
        <f>'1&amp;2号构型'!B315</f>
        <v>甚高频通信及无线电导航集成设备2</v>
      </c>
      <c r="G460" s="2" t="b">
        <f>VLOOKUP('1&amp;2号构型'!F315,B:C,2,0)=VALUE(MID('1&amp;2号构型'!D315,6,2))</f>
        <v>1</v>
      </c>
      <c r="H460" s="3" t="str">
        <f>IF(LEN('1&amp;2号构型'!D315)=9,"TRUE","FALSE")</f>
        <v>TRUE</v>
      </c>
      <c r="I460" s="2" t="b">
        <f>VALUE(MID('1&amp;2号构型'!C315,1,2))=VALUE(MID('1&amp;2号构型'!A315,5,2))</f>
        <v>1</v>
      </c>
      <c r="J460" s="2" t="str">
        <f>IF(LEN('1&amp;2号构型'!C315)=14,"TRUE","FALSE")</f>
        <v>TRUE</v>
      </c>
      <c r="K460" s="2" t="str">
        <f>RIGHT('1&amp;2号构型'!C315,4)</f>
        <v>G900</v>
      </c>
    </row>
    <row r="461" spans="6:11">
      <c r="F461" t="str">
        <f>'1&amp;2号构型'!B316</f>
        <v>VHF天线1</v>
      </c>
      <c r="G461" s="2" t="b">
        <f>VLOOKUP('1&amp;2号构型'!F316,B:C,2,0)=VALUE(MID('1&amp;2号构型'!D316,6,2))</f>
        <v>1</v>
      </c>
      <c r="H461" s="3" t="str">
        <f>IF(LEN('1&amp;2号构型'!D316)=9,"TRUE","FALSE")</f>
        <v>TRUE</v>
      </c>
      <c r="I461" s="2" t="b">
        <f>VALUE(MID('1&amp;2号构型'!C316,1,2))=VALUE(MID('1&amp;2号构型'!A316,5,2))</f>
        <v>1</v>
      </c>
      <c r="J461" s="2" t="str">
        <f>IF(LEN('1&amp;2号构型'!C316)=14,"TRUE","FALSE")</f>
        <v>TRUE</v>
      </c>
      <c r="K461" s="2" t="str">
        <f>RIGHT('1&amp;2号构型'!C316,4)</f>
        <v>G900</v>
      </c>
    </row>
    <row r="462" spans="6:11">
      <c r="F462" t="str">
        <f>'1&amp;2号构型'!B317</f>
        <v>VHF天线2</v>
      </c>
      <c r="G462" s="2" t="b">
        <f>VLOOKUP('1&amp;2号构型'!F317,B:C,2,0)=VALUE(MID('1&amp;2号构型'!D317,6,2))</f>
        <v>1</v>
      </c>
      <c r="H462" s="3" t="str">
        <f>IF(LEN('1&amp;2号构型'!D317)=9,"TRUE","FALSE")</f>
        <v>TRUE</v>
      </c>
      <c r="I462" s="2" t="b">
        <f>VALUE(MID('1&amp;2号构型'!C317,1,2))=VALUE(MID('1&amp;2号构型'!A317,5,2))</f>
        <v>1</v>
      </c>
      <c r="J462" s="2" t="str">
        <f>IF(LEN('1&amp;2号构型'!C317)=14,"TRUE","FALSE")</f>
        <v>TRUE</v>
      </c>
      <c r="K462" s="2" t="str">
        <f>RIGHT('1&amp;2号构型'!C317,4)</f>
        <v>G900</v>
      </c>
    </row>
    <row r="463" spans="6:11">
      <c r="F463" t="str">
        <f>'1&amp;2号构型'!B318</f>
        <v>VHF天线3</v>
      </c>
      <c r="G463" s="2" t="b">
        <f>VLOOKUP('1&amp;2号构型'!F318,B:C,2,0)=VALUE(MID('1&amp;2号构型'!D318,6,2))</f>
        <v>1</v>
      </c>
      <c r="H463" s="3" t="str">
        <f>IF(LEN('1&amp;2号构型'!D318)=9,"TRUE","FALSE")</f>
        <v>TRUE</v>
      </c>
      <c r="I463" s="2" t="b">
        <f>VALUE(MID('1&amp;2号构型'!C318,1,2))=VALUE(MID('1&amp;2号构型'!A318,5,2))</f>
        <v>1</v>
      </c>
      <c r="J463" s="2" t="str">
        <f>IF(LEN('1&amp;2号构型'!C318)=14,"TRUE","FALSE")</f>
        <v>TRUE</v>
      </c>
      <c r="K463" s="2" t="str">
        <f>RIGHT('1&amp;2号构型'!C318,4)</f>
        <v>G900</v>
      </c>
    </row>
    <row r="464" spans="6:11">
      <c r="F464" t="str">
        <f>'1&amp;2号构型'!B319</f>
        <v>交通监视处理机</v>
      </c>
      <c r="G464" s="2" t="b">
        <f>VLOOKUP('1&amp;2号构型'!F319,B:C,2,0)=VALUE(MID('1&amp;2号构型'!D319,6,2))</f>
        <v>1</v>
      </c>
      <c r="H464" s="3" t="str">
        <f>IF(LEN('1&amp;2号构型'!D319)=9,"TRUE","FALSE")</f>
        <v>TRUE</v>
      </c>
      <c r="I464" s="2" t="b">
        <f>VALUE(MID('1&amp;2号构型'!C319,1,2))=VALUE(MID('1&amp;2号构型'!A319,5,2))</f>
        <v>1</v>
      </c>
      <c r="J464" s="2" t="str">
        <f>IF(LEN('1&amp;2号构型'!C319)=14,"TRUE","FALSE")</f>
        <v>TRUE</v>
      </c>
      <c r="K464" s="2" t="str">
        <f>RIGHT('1&amp;2号构型'!C319,4)</f>
        <v>G900</v>
      </c>
    </row>
    <row r="465" spans="6:11">
      <c r="F465" t="str">
        <f>'1&amp;2号构型'!B320</f>
        <v>交通监视上天线</v>
      </c>
      <c r="G465" s="2" t="b">
        <f>VLOOKUP('1&amp;2号构型'!F320,B:C,2,0)=VALUE(MID('1&amp;2号构型'!D320,6,2))</f>
        <v>1</v>
      </c>
      <c r="H465" s="3" t="str">
        <f>IF(LEN('1&amp;2号构型'!D320)=9,"TRUE","FALSE")</f>
        <v>TRUE</v>
      </c>
      <c r="I465" s="2" t="b">
        <f>VALUE(MID('1&amp;2号构型'!C320,1,2))=VALUE(MID('1&amp;2号构型'!A320,5,2))</f>
        <v>1</v>
      </c>
      <c r="J465" s="2" t="str">
        <f>IF(LEN('1&amp;2号构型'!C320)=14,"TRUE","FALSE")</f>
        <v>TRUE</v>
      </c>
      <c r="K465" s="2" t="str">
        <f>RIGHT('1&amp;2号构型'!C320,4)</f>
        <v>G900</v>
      </c>
    </row>
    <row r="466" spans="6:11">
      <c r="F466" t="str">
        <f>'1&amp;2号构型'!B321</f>
        <v>交通监视下天线</v>
      </c>
      <c r="G466" s="2" t="b">
        <f>VLOOKUP('1&amp;2号构型'!F321,B:C,2,0)=VALUE(MID('1&amp;2号构型'!D321,6,2))</f>
        <v>1</v>
      </c>
      <c r="H466" s="3" t="str">
        <f>IF(LEN('1&amp;2号构型'!D321)=9,"TRUE","FALSE")</f>
        <v>TRUE</v>
      </c>
      <c r="I466" s="2" t="b">
        <f>VALUE(MID('1&amp;2号构型'!C321,1,2))=VALUE(MID('1&amp;2号构型'!A321,5,2))</f>
        <v>1</v>
      </c>
      <c r="J466" s="2" t="str">
        <f>IF(LEN('1&amp;2号构型'!C321)=14,"TRUE","FALSE")</f>
        <v>TRUE</v>
      </c>
      <c r="K466" s="2" t="str">
        <f>RIGHT('1&amp;2号构型'!C321,4)</f>
        <v>G900</v>
      </c>
    </row>
    <row r="467" spans="6:11">
      <c r="F467" t="str">
        <f>'1&amp;2号构型'!B322</f>
        <v>气象雷达</v>
      </c>
      <c r="G467" s="2" t="b">
        <f>VLOOKUP('1&amp;2号构型'!F322,B:C,2,0)=VALUE(MID('1&amp;2号构型'!D322,6,2))</f>
        <v>1</v>
      </c>
      <c r="H467" s="3" t="str">
        <f>IF(LEN('1&amp;2号构型'!D322)=9,"TRUE","FALSE")</f>
        <v>TRUE</v>
      </c>
      <c r="I467" s="2" t="b">
        <f>VALUE(MID('1&amp;2号构型'!C322,1,2))=VALUE(MID('1&amp;2号构型'!A322,5,2))</f>
        <v>1</v>
      </c>
      <c r="J467" s="2" t="str">
        <f>IF(LEN('1&amp;2号构型'!C322)=14,"TRUE","FALSE")</f>
        <v>TRUE</v>
      </c>
      <c r="K467" s="2" t="str">
        <f>RIGHT('1&amp;2号构型'!C322,4)</f>
        <v>G900</v>
      </c>
    </row>
    <row r="468" spans="6:11">
      <c r="F468" t="str">
        <f>'1&amp;2号构型'!B323</f>
        <v>TAWS</v>
      </c>
      <c r="G468" s="2" t="e">
        <f>VLOOKUP('1&amp;2号构型'!F323,B:C,2,0)=VALUE(MID('1&amp;2号构型'!D323,6,2))</f>
        <v>#N/A</v>
      </c>
      <c r="H468" s="3" t="str">
        <f>IF(LEN('1&amp;2号构型'!D323)=9,"TRUE","FALSE")</f>
        <v>FALSE</v>
      </c>
      <c r="I468" s="2" t="e">
        <f>VALUE(MID('1&amp;2号构型'!C323,1,2))=VALUE(MID('1&amp;2号构型'!A323,5,2))</f>
        <v>#VALUE!</v>
      </c>
      <c r="J468" s="2" t="str">
        <f>IF(LEN('1&amp;2号构型'!C323)=14,"TRUE","FALSE")</f>
        <v>FALSE</v>
      </c>
      <c r="K468" s="2" t="str">
        <f>RIGHT('1&amp;2号构型'!C323,4)</f>
        <v>TBD</v>
      </c>
    </row>
    <row r="469" spans="6:11">
      <c r="F469" t="str">
        <f>'1&amp;2号构型'!B324</f>
        <v>GPS天线1</v>
      </c>
      <c r="G469" s="2" t="b">
        <f>VLOOKUP('1&amp;2号构型'!F324,B:C,2,0)=VALUE(MID('1&amp;2号构型'!D324,6,2))</f>
        <v>1</v>
      </c>
      <c r="H469" s="3" t="str">
        <f>IF(LEN('1&amp;2号构型'!D324)=9,"TRUE","FALSE")</f>
        <v>TRUE</v>
      </c>
      <c r="I469" s="2" t="b">
        <f>VALUE(MID('1&amp;2号构型'!C324,1,2))=VALUE(MID('1&amp;2号构型'!A324,5,2))</f>
        <v>1</v>
      </c>
      <c r="J469" s="2" t="str">
        <f>IF(LEN('1&amp;2号构型'!C324)=14,"TRUE","FALSE")</f>
        <v>TRUE</v>
      </c>
      <c r="K469" s="2" t="str">
        <f>RIGHT('1&amp;2号构型'!C324,4)</f>
        <v>G900</v>
      </c>
    </row>
    <row r="470" spans="6:11">
      <c r="F470" t="str">
        <f>'1&amp;2号构型'!B325</f>
        <v>GPS天线2</v>
      </c>
      <c r="G470" s="2" t="b">
        <f>VLOOKUP('1&amp;2号构型'!F325,B:C,2,0)=VALUE(MID('1&amp;2号构型'!D325,6,2))</f>
        <v>1</v>
      </c>
      <c r="H470" s="3" t="str">
        <f>IF(LEN('1&amp;2号构型'!D325)=9,"TRUE","FALSE")</f>
        <v>TRUE</v>
      </c>
      <c r="I470" s="2" t="b">
        <f>VALUE(MID('1&amp;2号构型'!C325,1,2))=VALUE(MID('1&amp;2号构型'!A325,5,2))</f>
        <v>1</v>
      </c>
      <c r="J470" s="2" t="str">
        <f>IF(LEN('1&amp;2号构型'!C325)=14,"TRUE","FALSE")</f>
        <v>TRUE</v>
      </c>
      <c r="K470" s="2" t="str">
        <f>RIGHT('1&amp;2号构型'!C325,4)</f>
        <v>G900</v>
      </c>
    </row>
    <row r="471" spans="6:11">
      <c r="F471" t="str">
        <f>'1&amp;2号构型'!B326</f>
        <v>GNSS射频功分器1</v>
      </c>
      <c r="G471" s="2" t="b">
        <f>VLOOKUP('1&amp;2号构型'!F326,B:C,2,0)=VALUE(MID('1&amp;2号构型'!D326,6,2))</f>
        <v>1</v>
      </c>
      <c r="H471" s="3" t="str">
        <f>IF(LEN('1&amp;2号构型'!D326)=9,"TRUE","FALSE")</f>
        <v>TRUE</v>
      </c>
      <c r="I471" s="2" t="b">
        <f>VALUE(MID('1&amp;2号构型'!C326,1,2))=VALUE(MID('1&amp;2号构型'!A326,5,2))</f>
        <v>1</v>
      </c>
      <c r="J471" s="2" t="str">
        <f>IF(LEN('1&amp;2号构型'!C326)=14,"TRUE","FALSE")</f>
        <v>TRUE</v>
      </c>
      <c r="K471" s="2" t="str">
        <f>RIGHT('1&amp;2号构型'!C326,4)</f>
        <v>G900</v>
      </c>
    </row>
    <row r="472" spans="6:11">
      <c r="F472" t="str">
        <f>'1&amp;2号构型'!B327</f>
        <v>GNSS射频功分器2</v>
      </c>
      <c r="G472" s="2" t="b">
        <f>VLOOKUP('1&amp;2号构型'!F327,B:C,2,0)=VALUE(MID('1&amp;2号构型'!D327,6,2))</f>
        <v>1</v>
      </c>
      <c r="H472" s="3" t="str">
        <f>IF(LEN('1&amp;2号构型'!D327)=9,"TRUE","FALSE")</f>
        <v>TRUE</v>
      </c>
      <c r="I472" s="2" t="b">
        <f>VALUE(MID('1&amp;2号构型'!C327,1,2))=VALUE(MID('1&amp;2号构型'!A327,5,2))</f>
        <v>1</v>
      </c>
      <c r="J472" s="2" t="str">
        <f>IF(LEN('1&amp;2号构型'!C327)=14,"TRUE","FALSE")</f>
        <v>TRUE</v>
      </c>
      <c r="K472" s="2" t="str">
        <f>RIGHT('1&amp;2号构型'!C327,4)</f>
        <v>G900</v>
      </c>
    </row>
    <row r="473" spans="6:11">
      <c r="F473" t="str">
        <f>'1&amp;2号构型'!B328</f>
        <v>RTK机载接收机1</v>
      </c>
      <c r="G473" s="2" t="b">
        <f>VLOOKUP('1&amp;2号构型'!F328,B:C,2,0)=VALUE(MID('1&amp;2号构型'!D328,6,2))</f>
        <v>1</v>
      </c>
      <c r="H473" s="3" t="str">
        <f>IF(LEN('1&amp;2号构型'!D328)=9,"TRUE","FALSE")</f>
        <v>TRUE</v>
      </c>
      <c r="I473" s="2" t="b">
        <f>VALUE(MID('1&amp;2号构型'!C328,1,2))=VALUE(MID('1&amp;2号构型'!A328,5,2))</f>
        <v>1</v>
      </c>
      <c r="J473" s="2" t="str">
        <f>IF(LEN('1&amp;2号构型'!C328)=14,"TRUE","FALSE")</f>
        <v>TRUE</v>
      </c>
      <c r="K473" s="2" t="str">
        <f>RIGHT('1&amp;2号构型'!C328,4)</f>
        <v>U900</v>
      </c>
    </row>
    <row r="474" spans="6:11">
      <c r="F474" t="str">
        <f>'1&amp;2号构型'!B329</f>
        <v>RTK机载接收机2</v>
      </c>
      <c r="G474" s="2" t="b">
        <f>VLOOKUP('1&amp;2号构型'!F329,B:C,2,0)=VALUE(MID('1&amp;2号构型'!D329,6,2))</f>
        <v>1</v>
      </c>
      <c r="H474" s="3" t="str">
        <f>IF(LEN('1&amp;2号构型'!D329)=9,"TRUE","FALSE")</f>
        <v>TRUE</v>
      </c>
      <c r="I474" s="2" t="b">
        <f>VALUE(MID('1&amp;2号构型'!C329,1,2))=VALUE(MID('1&amp;2号构型'!A329,5,2))</f>
        <v>1</v>
      </c>
      <c r="J474" s="2" t="str">
        <f>IF(LEN('1&amp;2号构型'!C329)=14,"TRUE","FALSE")</f>
        <v>TRUE</v>
      </c>
      <c r="K474" s="2" t="str">
        <f>RIGHT('1&amp;2号构型'!C329,4)</f>
        <v>U900</v>
      </c>
    </row>
    <row r="475" spans="6:11">
      <c r="F475" t="e">
        <f>'1&amp;2号构型'!#REF!</f>
        <v>#REF!</v>
      </c>
      <c r="G475" s="2" t="e">
        <f>VLOOKUP('1&amp;2号构型'!#REF!,B:C,2,0)=VALUE(MID('1&amp;2号构型'!#REF!,6,2))</f>
        <v>#REF!</v>
      </c>
      <c r="H475" s="3" t="e">
        <f>IF(LEN('1&amp;2号构型'!#REF!)=9,"TRUE","FALSE")</f>
        <v>#REF!</v>
      </c>
      <c r="I475" s="2" t="e">
        <f>VALUE(MID('1&amp;2号构型'!#REF!,1,2))=VALUE(MID('1&amp;2号构型'!#REF!,5,2))</f>
        <v>#REF!</v>
      </c>
      <c r="J475" s="2" t="e">
        <f>IF(LEN('1&amp;2号构型'!#REF!)=14,"TRUE","FALSE")</f>
        <v>#REF!</v>
      </c>
      <c r="K475" s="2" t="e">
        <f>RIGHT('1&amp;2号构型'!#REF!,4)</f>
        <v>#REF!</v>
      </c>
    </row>
    <row r="476" spans="6:11">
      <c r="F476" t="str">
        <f>'1&amp;2号构型'!B330</f>
        <v>便携式氧气瓶组件1</v>
      </c>
      <c r="G476" s="2" t="e">
        <f>VLOOKUP('1&amp;2号构型'!F330,B:C,2,0)=VALUE(MID('1&amp;2号构型'!D330,6,2))</f>
        <v>#N/A</v>
      </c>
      <c r="H476" s="3" t="str">
        <f>IF(LEN('1&amp;2号构型'!D330)=9,"TRUE","FALSE")</f>
        <v>FALSE</v>
      </c>
      <c r="I476" s="2" t="e">
        <f>VALUE(MID('1&amp;2号构型'!C330,1,2))=VALUE(MID('1&amp;2号构型'!A330,5,2))</f>
        <v>#VALUE!</v>
      </c>
      <c r="J476" s="2" t="str">
        <f>IF(LEN('1&amp;2号构型'!C330)=14,"TRUE","FALSE")</f>
        <v>FALSE</v>
      </c>
      <c r="K476" s="2" t="str">
        <f>RIGHT('1&amp;2号构型'!C330,4)</f>
        <v/>
      </c>
    </row>
    <row r="477" spans="6:11">
      <c r="F477" t="str">
        <f>'1&amp;2号构型'!B331</f>
        <v>便携式氧气瓶组件2</v>
      </c>
      <c r="G477" s="2" t="e">
        <f>VLOOKUP('1&amp;2号构型'!F331,B:C,2,0)=VALUE(MID('1&amp;2号构型'!D331,6,2))</f>
        <v>#N/A</v>
      </c>
      <c r="H477" s="3" t="str">
        <f>IF(LEN('1&amp;2号构型'!D331)=9,"TRUE","FALSE")</f>
        <v>FALSE</v>
      </c>
      <c r="I477" s="2" t="e">
        <f>VALUE(MID('1&amp;2号构型'!C331,1,2))=VALUE(MID('1&amp;2号构型'!A331,5,2))</f>
        <v>#VALUE!</v>
      </c>
      <c r="J477" s="2" t="str">
        <f>IF(LEN('1&amp;2号构型'!C331)=14,"TRUE","FALSE")</f>
        <v>FALSE</v>
      </c>
      <c r="K477" s="2" t="str">
        <f>RIGHT('1&amp;2号构型'!C331,4)</f>
        <v/>
      </c>
    </row>
    <row r="478" spans="6:11">
      <c r="F478" t="e">
        <f>'1&amp;2号构型'!#REF!</f>
        <v>#REF!</v>
      </c>
      <c r="G478" s="2" t="e">
        <f>VLOOKUP('1&amp;2号构型'!#REF!,B:C,2,0)=VALUE(MID('1&amp;2号构型'!#REF!,6,2))</f>
        <v>#REF!</v>
      </c>
      <c r="H478" s="3" t="e">
        <f>IF(LEN('1&amp;2号构型'!#REF!)=9,"TRUE","FALSE")</f>
        <v>#REF!</v>
      </c>
      <c r="I478" s="2" t="e">
        <f>VALUE(MID('1&amp;2号构型'!#REF!,1,2))=VALUE(MID('1&amp;2号构型'!#REF!,5,2))</f>
        <v>#REF!</v>
      </c>
      <c r="J478" s="2" t="e">
        <f>IF(LEN('1&amp;2号构型'!#REF!)=14,"TRUE","FALSE")</f>
        <v>#REF!</v>
      </c>
      <c r="K478" s="2" t="e">
        <f>RIGHT('1&amp;2号构型'!#REF!,4)</f>
        <v>#REF!</v>
      </c>
    </row>
    <row r="479" spans="6:11">
      <c r="F479" t="str">
        <f>'1&amp;2号构型'!B332</f>
        <v>飞机数据网络交换机1</v>
      </c>
      <c r="G479" s="2" t="b">
        <f>VLOOKUP('1&amp;2号构型'!F332,B:C,2,0)=VALUE(MID('1&amp;2号构型'!D332,6,2))</f>
        <v>0</v>
      </c>
      <c r="H479" s="3" t="str">
        <f>IF(LEN('1&amp;2号构型'!D332)=9,"TRUE","FALSE")</f>
        <v>TRUE</v>
      </c>
      <c r="I479" s="2" t="b">
        <f>VALUE(MID('1&amp;2号构型'!C332,1,2))=VALUE(MID('1&amp;2号构型'!A332,5,2))</f>
        <v>1</v>
      </c>
      <c r="J479" s="2" t="str">
        <f>IF(LEN('1&amp;2号构型'!C332)=14,"TRUE","FALSE")</f>
        <v>TRUE</v>
      </c>
      <c r="K479" s="2" t="str">
        <f>RIGHT('1&amp;2号构型'!C332,4)</f>
        <v>G900</v>
      </c>
    </row>
    <row r="480" spans="6:11">
      <c r="F480" t="str">
        <f>'1&amp;2号构型'!B333</f>
        <v>飞机数据网络交换机2</v>
      </c>
      <c r="G480" s="2" t="b">
        <f>VLOOKUP('1&amp;2号构型'!F333,B:C,2,0)=VALUE(MID('1&amp;2号构型'!D333,6,2))</f>
        <v>0</v>
      </c>
      <c r="H480" s="3" t="str">
        <f>IF(LEN('1&amp;2号构型'!D333)=9,"TRUE","FALSE")</f>
        <v>TRUE</v>
      </c>
      <c r="I480" s="2" t="b">
        <f>VALUE(MID('1&amp;2号构型'!C333,1,2))=VALUE(MID('1&amp;2号构型'!A333,5,2))</f>
        <v>1</v>
      </c>
      <c r="J480" s="2" t="str">
        <f>IF(LEN('1&amp;2号构型'!C333)=14,"TRUE","FALSE")</f>
        <v>TRUE</v>
      </c>
      <c r="K480" s="2" t="str">
        <f>RIGHT('1&amp;2号构型'!C333,4)</f>
        <v>G900</v>
      </c>
    </row>
    <row r="481" spans="6:11">
      <c r="F481" t="str">
        <f>'1&amp;2号构型'!B334</f>
        <v>TSN数据记录器1</v>
      </c>
      <c r="G481" s="2" t="b">
        <f>VLOOKUP('1&amp;2号构型'!F334,B:C,2,0)=VALUE(MID('1&amp;2号构型'!D334,6,2))</f>
        <v>1</v>
      </c>
      <c r="H481" s="3" t="str">
        <f>IF(LEN('1&amp;2号构型'!D334)=9,"TRUE","FALSE")</f>
        <v>TRUE</v>
      </c>
      <c r="I481" s="2" t="b">
        <f>VALUE(MID('1&amp;2号构型'!C334,1,2))=VALUE(MID('1&amp;2号构型'!A334,5,2))</f>
        <v>1</v>
      </c>
      <c r="J481" s="2" t="str">
        <f>IF(LEN('1&amp;2号构型'!C334)=14,"TRUE","FALSE")</f>
        <v>TRUE</v>
      </c>
      <c r="K481" s="2" t="str">
        <f>RIGHT('1&amp;2号构型'!C334,4)</f>
        <v>U900</v>
      </c>
    </row>
    <row r="482" spans="6:11">
      <c r="F482" t="str">
        <f>'1&amp;2号构型'!B335</f>
        <v>TSN数据记录器2</v>
      </c>
      <c r="G482" s="2" t="b">
        <f>VLOOKUP('1&amp;2号构型'!F335,B:C,2,0)=VALUE(MID('1&amp;2号构型'!D335,6,2))</f>
        <v>1</v>
      </c>
      <c r="H482" s="3" t="str">
        <f>IF(LEN('1&amp;2号构型'!D335)=9,"TRUE","FALSE")</f>
        <v>TRUE</v>
      </c>
      <c r="I482" s="2" t="b">
        <f>VALUE(MID('1&amp;2号构型'!C335,1,2))=VALUE(MID('1&amp;2号构型'!A335,5,2))</f>
        <v>1</v>
      </c>
      <c r="J482" s="2" t="str">
        <f>IF(LEN('1&amp;2号构型'!C335)=14,"TRUE","FALSE")</f>
        <v>TRUE</v>
      </c>
      <c r="K482" s="2" t="str">
        <f>RIGHT('1&amp;2号构型'!C335,4)</f>
        <v>U900</v>
      </c>
    </row>
    <row r="483" spans="6:11">
      <c r="F483" t="str">
        <f>'1&amp;2号构型'!B336</f>
        <v>数据接口单元1</v>
      </c>
      <c r="G483" s="2" t="b">
        <f>VLOOKUP('1&amp;2号构型'!F336,B:C,2,0)=VALUE(MID('1&amp;2号构型'!D336,6,2))</f>
        <v>1</v>
      </c>
      <c r="H483" s="3" t="str">
        <f>IF(LEN('1&amp;2号构型'!D336)=9,"TRUE","FALSE")</f>
        <v>TRUE</v>
      </c>
      <c r="I483" s="2" t="b">
        <f>VALUE(MID('1&amp;2号构型'!C336,1,2))=VALUE(MID('1&amp;2号构型'!A336,5,2))</f>
        <v>1</v>
      </c>
      <c r="J483" s="2" t="str">
        <f>IF(LEN('1&amp;2号构型'!C336)=14,"TRUE","FALSE")</f>
        <v>TRUE</v>
      </c>
      <c r="K483" s="2" t="str">
        <f>RIGHT('1&amp;2号构型'!C336,4)</f>
        <v>G900</v>
      </c>
    </row>
    <row r="484" spans="6:11">
      <c r="F484" t="str">
        <f>'1&amp;2号构型'!B337</f>
        <v>数据接口单元2</v>
      </c>
      <c r="G484" s="2" t="b">
        <f>VLOOKUP('1&amp;2号构型'!F337,B:C,2,0)=VALUE(MID('1&amp;2号构型'!D337,6,2))</f>
        <v>1</v>
      </c>
      <c r="H484" s="3" t="str">
        <f>IF(LEN('1&amp;2号构型'!D337)=9,"TRUE","FALSE")</f>
        <v>TRUE</v>
      </c>
      <c r="I484" s="2" t="b">
        <f>VALUE(MID('1&amp;2号构型'!C337,1,2))=VALUE(MID('1&amp;2号构型'!A337,5,2))</f>
        <v>1</v>
      </c>
      <c r="J484" s="2" t="str">
        <f>IF(LEN('1&amp;2号构型'!C337)=14,"TRUE","FALSE")</f>
        <v>TRUE</v>
      </c>
      <c r="K484" s="2" t="str">
        <f>RIGHT('1&amp;2号构型'!C337,4)</f>
        <v>G900</v>
      </c>
    </row>
    <row r="485" spans="6:11">
      <c r="F485" t="str">
        <f>'1&amp;2号构型'!B338</f>
        <v>数据接口单元3</v>
      </c>
      <c r="G485" s="2" t="b">
        <f>VLOOKUP('1&amp;2号构型'!F338,B:C,2,0)=VALUE(MID('1&amp;2号构型'!D338,6,2))</f>
        <v>1</v>
      </c>
      <c r="H485" s="3" t="str">
        <f>IF(LEN('1&amp;2号构型'!D338)=9,"TRUE","FALSE")</f>
        <v>TRUE</v>
      </c>
      <c r="I485" s="2" t="b">
        <f>VALUE(MID('1&amp;2号构型'!C338,1,2))=VALUE(MID('1&amp;2号构型'!A338,5,2))</f>
        <v>1</v>
      </c>
      <c r="J485" s="2" t="str">
        <f>IF(LEN('1&amp;2号构型'!C338)=14,"TRUE","FALSE")</f>
        <v>TRUE</v>
      </c>
      <c r="K485" s="2" t="str">
        <f>RIGHT('1&amp;2号构型'!C338,4)</f>
        <v>G900</v>
      </c>
    </row>
    <row r="486" spans="6:11">
      <c r="F486" t="str">
        <f>'1&amp;2号构型'!B339</f>
        <v>数据接口单元4</v>
      </c>
      <c r="G486" s="2" t="b">
        <f>VLOOKUP('1&amp;2号构型'!F339,B:C,2,0)=VALUE(MID('1&amp;2号构型'!D339,6,2))</f>
        <v>1</v>
      </c>
      <c r="H486" s="3" t="str">
        <f>IF(LEN('1&amp;2号构型'!D339)=9,"TRUE","FALSE")</f>
        <v>TRUE</v>
      </c>
      <c r="I486" s="2" t="b">
        <f>VALUE(MID('1&amp;2号构型'!C339,1,2))=VALUE(MID('1&amp;2号构型'!A339,5,2))</f>
        <v>1</v>
      </c>
      <c r="J486" s="2" t="str">
        <f>IF(LEN('1&amp;2号构型'!C339)=14,"TRUE","FALSE")</f>
        <v>TRUE</v>
      </c>
      <c r="K486" s="2" t="str">
        <f>RIGHT('1&amp;2号构型'!C339,4)</f>
        <v>G900</v>
      </c>
    </row>
    <row r="487" spans="6:11">
      <c r="F487" t="str">
        <f>'1&amp;2号构型'!B340</f>
        <v>数据接口单元5</v>
      </c>
      <c r="G487" s="2" t="b">
        <f>VLOOKUP('1&amp;2号构型'!F340,B:C,2,0)=VALUE(MID('1&amp;2号构型'!D340,6,2))</f>
        <v>1</v>
      </c>
      <c r="H487" s="3" t="str">
        <f>IF(LEN('1&amp;2号构型'!D340)=9,"TRUE","FALSE")</f>
        <v>TRUE</v>
      </c>
      <c r="I487" s="2" t="b">
        <f>VALUE(MID('1&amp;2号构型'!C340,1,2))=VALUE(MID('1&amp;2号构型'!A340,5,2))</f>
        <v>1</v>
      </c>
      <c r="J487" s="2" t="str">
        <f>IF(LEN('1&amp;2号构型'!C340)=14,"TRUE","FALSE")</f>
        <v>TRUE</v>
      </c>
      <c r="K487" s="2" t="str">
        <f>RIGHT('1&amp;2号构型'!C340,4)</f>
        <v>G900</v>
      </c>
    </row>
    <row r="488" spans="6:11">
      <c r="F488" t="str">
        <f>'1&amp;2号构型'!B341</f>
        <v>数据接口单元6</v>
      </c>
      <c r="G488" s="2" t="b">
        <f>VLOOKUP('1&amp;2号构型'!F341,B:C,2,0)=VALUE(MID('1&amp;2号构型'!D341,6,2))</f>
        <v>1</v>
      </c>
      <c r="H488" s="3" t="str">
        <f>IF(LEN('1&amp;2号构型'!D341)=9,"TRUE","FALSE")</f>
        <v>TRUE</v>
      </c>
      <c r="I488" s="2" t="b">
        <f>VALUE(MID('1&amp;2号构型'!C341,1,2))=VALUE(MID('1&amp;2号构型'!A341,5,2))</f>
        <v>1</v>
      </c>
      <c r="J488" s="2" t="str">
        <f>IF(LEN('1&amp;2号构型'!C341)=14,"TRUE","FALSE")</f>
        <v>TRUE</v>
      </c>
      <c r="K488" s="2" t="str">
        <f>RIGHT('1&amp;2号构型'!C341,4)</f>
        <v>G900</v>
      </c>
    </row>
    <row r="489" spans="6:11">
      <c r="F489" t="e">
        <f>'1&amp;2号构型'!#REF!</f>
        <v>#REF!</v>
      </c>
      <c r="G489" s="2" t="e">
        <f>VLOOKUP('1&amp;2号构型'!#REF!,B:C,2,0)=VALUE(MID('1&amp;2号构型'!#REF!,6,2))</f>
        <v>#REF!</v>
      </c>
      <c r="H489" s="3" t="e">
        <f>IF(LEN('1&amp;2号构型'!#REF!)=9,"TRUE","FALSE")</f>
        <v>#REF!</v>
      </c>
      <c r="I489" s="2" t="e">
        <f>VALUE(MID('1&amp;2号构型'!#REF!,1,2))=VALUE(MID('1&amp;2号构型'!#REF!,5,2))</f>
        <v>#REF!</v>
      </c>
      <c r="J489" s="2" t="e">
        <f>IF(LEN('1&amp;2号构型'!#REF!)=14,"TRUE","FALSE")</f>
        <v>#REF!</v>
      </c>
      <c r="K489" s="2" t="e">
        <f>RIGHT('1&amp;2号构型'!#REF!,4)</f>
        <v>#REF!</v>
      </c>
    </row>
    <row r="490" spans="6:11">
      <c r="F490" t="e">
        <f>'1&amp;2号构型'!#REF!</f>
        <v>#REF!</v>
      </c>
      <c r="G490" s="2" t="e">
        <f>VLOOKUP('1&amp;2号构型'!#REF!,B:C,2,0)=VALUE(MID('1&amp;2号构型'!#REF!,6,2))</f>
        <v>#REF!</v>
      </c>
      <c r="H490" s="3" t="e">
        <f>IF(LEN('1&amp;2号构型'!#REF!)=9,"TRUE","FALSE")</f>
        <v>#REF!</v>
      </c>
      <c r="I490" s="2" t="e">
        <f>VALUE(MID('1&amp;2号构型'!#REF!,1,2))=VALUE(MID('1&amp;2号构型'!#REF!,5,2))</f>
        <v>#REF!</v>
      </c>
      <c r="J490" s="2" t="e">
        <f>IF(LEN('1&amp;2号构型'!#REF!)=14,"TRUE","FALSE")</f>
        <v>#REF!</v>
      </c>
      <c r="K490" s="2" t="e">
        <f>RIGHT('1&amp;2号构型'!#REF!,4)</f>
        <v>#REF!</v>
      </c>
    </row>
    <row r="491" spans="6:11">
      <c r="F491" t="e">
        <f>'1&amp;2号构型'!#REF!</f>
        <v>#REF!</v>
      </c>
      <c r="G491" s="2" t="e">
        <f>VLOOKUP('1&amp;2号构型'!#REF!,B:C,2,0)=VALUE(MID('1&amp;2号构型'!#REF!,6,2))</f>
        <v>#REF!</v>
      </c>
      <c r="H491" s="3" t="e">
        <f>IF(LEN('1&amp;2号构型'!#REF!)=9,"TRUE","FALSE")</f>
        <v>#REF!</v>
      </c>
      <c r="I491" s="2" t="e">
        <f>VALUE(MID('1&amp;2号构型'!#REF!,1,2))=VALUE(MID('1&amp;2号构型'!#REF!,5,2))</f>
        <v>#REF!</v>
      </c>
      <c r="J491" s="2" t="e">
        <f>IF(LEN('1&amp;2号构型'!#REF!)=14,"TRUE","FALSE")</f>
        <v>#REF!</v>
      </c>
      <c r="K491" s="2" t="e">
        <f>RIGHT('1&amp;2号构型'!#REF!,4)</f>
        <v>#REF!</v>
      </c>
    </row>
    <row r="492" spans="6:11">
      <c r="F492" t="e">
        <f>'1&amp;2号构型'!#REF!</f>
        <v>#REF!</v>
      </c>
      <c r="G492" s="2" t="e">
        <f>VLOOKUP('1&amp;2号构型'!#REF!,B:C,2,0)=VALUE(MID('1&amp;2号构型'!#REF!,6,2))</f>
        <v>#REF!</v>
      </c>
      <c r="H492" s="3" t="e">
        <f>IF(LEN('1&amp;2号构型'!#REF!)=9,"TRUE","FALSE")</f>
        <v>#REF!</v>
      </c>
      <c r="I492" s="2" t="e">
        <f>VALUE(MID('1&amp;2号构型'!#REF!,1,2))=VALUE(MID('1&amp;2号构型'!#REF!,5,2))</f>
        <v>#REF!</v>
      </c>
      <c r="J492" s="2" t="e">
        <f>IF(LEN('1&amp;2号构型'!#REF!)=14,"TRUE","FALSE")</f>
        <v>#REF!</v>
      </c>
      <c r="K492" s="2" t="e">
        <f>RIGHT('1&amp;2号构型'!#REF!,4)</f>
        <v>#REF!</v>
      </c>
    </row>
    <row r="493" spans="6:11">
      <c r="F493" t="e">
        <f>'1&amp;2号构型'!#REF!</f>
        <v>#REF!</v>
      </c>
      <c r="G493" s="2" t="e">
        <f>VLOOKUP('1&amp;2号构型'!#REF!,B:C,2,0)=VALUE(MID('1&amp;2号构型'!#REF!,6,2))</f>
        <v>#REF!</v>
      </c>
      <c r="H493" s="3" t="e">
        <f>IF(LEN('1&amp;2号构型'!#REF!)=9,"TRUE","FALSE")</f>
        <v>#REF!</v>
      </c>
      <c r="I493" s="2" t="e">
        <f>VALUE(MID('1&amp;2号构型'!#REF!,1,2))=VALUE(MID('1&amp;2号构型'!#REF!,5,2))</f>
        <v>#REF!</v>
      </c>
      <c r="J493" s="2" t="e">
        <f>IF(LEN('1&amp;2号构型'!#REF!)=14,"TRUE","FALSE")</f>
        <v>#REF!</v>
      </c>
      <c r="K493" s="2" t="e">
        <f>RIGHT('1&amp;2号构型'!#REF!,4)</f>
        <v>#REF!</v>
      </c>
    </row>
    <row r="494" spans="6:11">
      <c r="F494" t="e">
        <f>'1&amp;2号构型'!#REF!</f>
        <v>#REF!</v>
      </c>
      <c r="G494" s="2" t="e">
        <f>VLOOKUP('1&amp;2号构型'!#REF!,B:C,2,0)=VALUE(MID('1&amp;2号构型'!#REF!,6,2))</f>
        <v>#REF!</v>
      </c>
      <c r="H494" s="3" t="e">
        <f>IF(LEN('1&amp;2号构型'!#REF!)=9,"TRUE","FALSE")</f>
        <v>#REF!</v>
      </c>
      <c r="I494" s="2" t="e">
        <f>VALUE(MID('1&amp;2号构型'!#REF!,1,2))=VALUE(MID('1&amp;2号构型'!#REF!,5,2))</f>
        <v>#REF!</v>
      </c>
      <c r="J494" s="2" t="e">
        <f>IF(LEN('1&amp;2号构型'!#REF!)=14,"TRUE","FALSE")</f>
        <v>#REF!</v>
      </c>
      <c r="K494" s="2" t="e">
        <f>RIGHT('1&amp;2号构型'!#REF!,4)</f>
        <v>#REF!</v>
      </c>
    </row>
    <row r="495" spans="6:11">
      <c r="F495" t="e">
        <f>'1&amp;2号构型'!#REF!</f>
        <v>#REF!</v>
      </c>
      <c r="G495" s="2" t="e">
        <f>VLOOKUP('1&amp;2号构型'!#REF!,B:C,2,0)=VALUE(MID('1&amp;2号构型'!#REF!,6,2))</f>
        <v>#REF!</v>
      </c>
      <c r="H495" s="3" t="e">
        <f>IF(LEN('1&amp;2号构型'!#REF!)=9,"TRUE","FALSE")</f>
        <v>#REF!</v>
      </c>
      <c r="I495" s="2" t="e">
        <f>VALUE(MID('1&amp;2号构型'!#REF!,1,2))=VALUE(MID('1&amp;2号构型'!#REF!,5,2))</f>
        <v>#REF!</v>
      </c>
      <c r="J495" s="2" t="e">
        <f>IF(LEN('1&amp;2号构型'!#REF!)=14,"TRUE","FALSE")</f>
        <v>#REF!</v>
      </c>
      <c r="K495" s="2" t="e">
        <f>RIGHT('1&amp;2号构型'!#REF!,4)</f>
        <v>#REF!</v>
      </c>
    </row>
    <row r="496" spans="6:11">
      <c r="F496" t="e">
        <f>'1&amp;2号构型'!#REF!</f>
        <v>#REF!</v>
      </c>
      <c r="G496" s="2" t="e">
        <f>VLOOKUP('1&amp;2号构型'!#REF!,B:C,2,0)=VALUE(MID('1&amp;2号构型'!#REF!,6,2))</f>
        <v>#REF!</v>
      </c>
      <c r="H496" s="3" t="e">
        <f>IF(LEN('1&amp;2号构型'!#REF!)=9,"TRUE","FALSE")</f>
        <v>#REF!</v>
      </c>
      <c r="I496" s="2" t="e">
        <f>VALUE(MID('1&amp;2号构型'!#REF!,1,2))=VALUE(MID('1&amp;2号构型'!#REF!,5,2))</f>
        <v>#REF!</v>
      </c>
      <c r="J496" s="2" t="e">
        <f>IF(LEN('1&amp;2号构型'!#REF!)=14,"TRUE","FALSE")</f>
        <v>#REF!</v>
      </c>
      <c r="K496" s="2" t="e">
        <f>RIGHT('1&amp;2号构型'!#REF!,4)</f>
        <v>#REF!</v>
      </c>
    </row>
    <row r="497" spans="6:11">
      <c r="F497" t="e">
        <f>'1&amp;2号构型'!#REF!</f>
        <v>#REF!</v>
      </c>
      <c r="G497" s="2" t="e">
        <f>VLOOKUP('1&amp;2号构型'!#REF!,B:C,2,0)=VALUE(MID('1&amp;2号构型'!#REF!,6,2))</f>
        <v>#REF!</v>
      </c>
      <c r="H497" s="3" t="e">
        <f>IF(LEN('1&amp;2号构型'!#REF!)=9,"TRUE","FALSE")</f>
        <v>#REF!</v>
      </c>
      <c r="I497" s="2" t="e">
        <f>VALUE(MID('1&amp;2号构型'!#REF!,1,2))=VALUE(MID('1&amp;2号构型'!#REF!,5,2))</f>
        <v>#REF!</v>
      </c>
      <c r="J497" s="2" t="e">
        <f>IF(LEN('1&amp;2号构型'!#REF!)=14,"TRUE","FALSE")</f>
        <v>#REF!</v>
      </c>
      <c r="K497" s="2" t="e">
        <f>RIGHT('1&amp;2号构型'!#REF!,4)</f>
        <v>#REF!</v>
      </c>
    </row>
    <row r="498" spans="6:11">
      <c r="F498" t="e">
        <f>'1&amp;2号构型'!#REF!</f>
        <v>#REF!</v>
      </c>
      <c r="G498" s="2" t="e">
        <f>VLOOKUP('1&amp;2号构型'!#REF!,B:C,2,0)=VALUE(MID('1&amp;2号构型'!#REF!,6,2))</f>
        <v>#REF!</v>
      </c>
      <c r="H498" s="3" t="e">
        <f>IF(LEN('1&amp;2号构型'!#REF!)=9,"TRUE","FALSE")</f>
        <v>#REF!</v>
      </c>
      <c r="I498" s="2" t="e">
        <f>VALUE(MID('1&amp;2号构型'!#REF!,1,2))=VALUE(MID('1&amp;2号构型'!#REF!,5,2))</f>
        <v>#REF!</v>
      </c>
      <c r="J498" s="2" t="e">
        <f>IF(LEN('1&amp;2号构型'!#REF!)=14,"TRUE","FALSE")</f>
        <v>#REF!</v>
      </c>
      <c r="K498" s="2" t="e">
        <f>RIGHT('1&amp;2号构型'!#REF!,4)</f>
        <v>#REF!</v>
      </c>
    </row>
    <row r="499" spans="6:11">
      <c r="F499" t="e">
        <f>'1&amp;2号构型'!#REF!</f>
        <v>#REF!</v>
      </c>
      <c r="G499" s="2" t="e">
        <f>VLOOKUP('1&amp;2号构型'!#REF!,B:C,2,0)=VALUE(MID('1&amp;2号构型'!#REF!,6,2))</f>
        <v>#REF!</v>
      </c>
      <c r="H499" s="3" t="e">
        <f>IF(LEN('1&amp;2号构型'!#REF!)=9,"TRUE","FALSE")</f>
        <v>#REF!</v>
      </c>
      <c r="I499" s="2" t="e">
        <f>VALUE(MID('1&amp;2号构型'!#REF!,1,2))=VALUE(MID('1&amp;2号构型'!#REF!,5,2))</f>
        <v>#REF!</v>
      </c>
      <c r="J499" s="2" t="e">
        <f>IF(LEN('1&amp;2号构型'!#REF!)=14,"TRUE","FALSE")</f>
        <v>#REF!</v>
      </c>
      <c r="K499" s="2" t="e">
        <f>RIGHT('1&amp;2号构型'!#REF!,4)</f>
        <v>#REF!</v>
      </c>
    </row>
    <row r="500" spans="6:11">
      <c r="F500" t="e">
        <f>'1&amp;2号构型'!#REF!</f>
        <v>#REF!</v>
      </c>
      <c r="G500" s="2" t="e">
        <f>VLOOKUP('1&amp;2号构型'!#REF!,B:C,2,0)=VALUE(MID('1&amp;2号构型'!#REF!,6,2))</f>
        <v>#REF!</v>
      </c>
      <c r="H500" s="3" t="e">
        <f>IF(LEN('1&amp;2号构型'!#REF!)=9,"TRUE","FALSE")</f>
        <v>#REF!</v>
      </c>
      <c r="I500" s="2" t="e">
        <f>VALUE(MID('1&amp;2号构型'!#REF!,1,2))=VALUE(MID('1&amp;2号构型'!#REF!,5,2))</f>
        <v>#REF!</v>
      </c>
      <c r="J500" s="2" t="e">
        <f>IF(LEN('1&amp;2号构型'!#REF!)=14,"TRUE","FALSE")</f>
        <v>#REF!</v>
      </c>
      <c r="K500" s="2" t="e">
        <f>RIGHT('1&amp;2号构型'!#REF!,4)</f>
        <v>#REF!</v>
      </c>
    </row>
    <row r="501" spans="6:11">
      <c r="F501" t="e">
        <f>'1&amp;2号构型'!#REF!</f>
        <v>#REF!</v>
      </c>
      <c r="G501" s="2" t="e">
        <f>VLOOKUP('1&amp;2号构型'!#REF!,B:C,2,0)=VALUE(MID('1&amp;2号构型'!#REF!,6,2))</f>
        <v>#REF!</v>
      </c>
      <c r="H501" s="3" t="e">
        <f>IF(LEN('1&amp;2号构型'!#REF!)=9,"TRUE","FALSE")</f>
        <v>#REF!</v>
      </c>
      <c r="I501" s="2" t="e">
        <f>VALUE(MID('1&amp;2号构型'!#REF!,1,2))=VALUE(MID('1&amp;2号构型'!#REF!,5,2))</f>
        <v>#REF!</v>
      </c>
      <c r="J501" s="2" t="e">
        <f>IF(LEN('1&amp;2号构型'!#REF!)=14,"TRUE","FALSE")</f>
        <v>#REF!</v>
      </c>
      <c r="K501" s="2" t="e">
        <f>RIGHT('1&amp;2号构型'!#REF!,4)</f>
        <v>#REF!</v>
      </c>
    </row>
    <row r="502" spans="6:11">
      <c r="F502" t="e">
        <f>'1&amp;2号构型'!#REF!</f>
        <v>#REF!</v>
      </c>
      <c r="G502" s="2" t="e">
        <f>VLOOKUP('1&amp;2号构型'!#REF!,B:C,2,0)=VALUE(MID('1&amp;2号构型'!#REF!,6,2))</f>
        <v>#REF!</v>
      </c>
      <c r="H502" s="3" t="e">
        <f>IF(LEN('1&amp;2号构型'!#REF!)=9,"TRUE","FALSE")</f>
        <v>#REF!</v>
      </c>
      <c r="I502" s="2" t="e">
        <f>VALUE(MID('1&amp;2号构型'!#REF!,1,2))=VALUE(MID('1&amp;2号构型'!#REF!,5,2))</f>
        <v>#REF!</v>
      </c>
      <c r="J502" s="2" t="e">
        <f>IF(LEN('1&amp;2号构型'!#REF!)=14,"TRUE","FALSE")</f>
        <v>#REF!</v>
      </c>
      <c r="K502" s="2" t="e">
        <f>RIGHT('1&amp;2号构型'!#REF!,4)</f>
        <v>#REF!</v>
      </c>
    </row>
    <row r="503" spans="6:11">
      <c r="F503" t="e">
        <f>'1&amp;2号构型'!#REF!</f>
        <v>#REF!</v>
      </c>
      <c r="G503" s="2" t="e">
        <f>VLOOKUP('1&amp;2号构型'!#REF!,B:C,2,0)=VALUE(MID('1&amp;2号构型'!#REF!,6,2))</f>
        <v>#REF!</v>
      </c>
      <c r="H503" s="3" t="e">
        <f>IF(LEN('1&amp;2号构型'!#REF!)=9,"TRUE","FALSE")</f>
        <v>#REF!</v>
      </c>
      <c r="I503" s="2" t="e">
        <f>VALUE(MID('1&amp;2号构型'!#REF!,1,2))=VALUE(MID('1&amp;2号构型'!#REF!,5,2))</f>
        <v>#REF!</v>
      </c>
      <c r="J503" s="2" t="e">
        <f>IF(LEN('1&amp;2号构型'!#REF!)=14,"TRUE","FALSE")</f>
        <v>#REF!</v>
      </c>
      <c r="K503" s="2" t="e">
        <f>RIGHT('1&amp;2号构型'!#REF!,4)</f>
        <v>#REF!</v>
      </c>
    </row>
    <row r="504" spans="6:11">
      <c r="F504" t="e">
        <f>'1&amp;2号构型'!#REF!</f>
        <v>#REF!</v>
      </c>
      <c r="G504" s="2" t="e">
        <f>VLOOKUP('1&amp;2号构型'!#REF!,B:C,2,0)=VALUE(MID('1&amp;2号构型'!#REF!,6,2))</f>
        <v>#REF!</v>
      </c>
      <c r="H504" s="3" t="e">
        <f>IF(LEN('1&amp;2号构型'!#REF!)=9,"TRUE","FALSE")</f>
        <v>#REF!</v>
      </c>
      <c r="I504" s="2" t="e">
        <f>VALUE(MID('1&amp;2号构型'!#REF!,1,2))=VALUE(MID('1&amp;2号构型'!#REF!,5,2))</f>
        <v>#REF!</v>
      </c>
      <c r="J504" s="2" t="e">
        <f>IF(LEN('1&amp;2号构型'!#REF!)=14,"TRUE","FALSE")</f>
        <v>#REF!</v>
      </c>
      <c r="K504" s="2" t="e">
        <f>RIGHT('1&amp;2号构型'!#REF!,4)</f>
        <v>#REF!</v>
      </c>
    </row>
    <row r="505" spans="6:11">
      <c r="F505" t="e">
        <f>'1&amp;2号构型'!#REF!</f>
        <v>#REF!</v>
      </c>
      <c r="G505" s="2" t="e">
        <f>VLOOKUP('1&amp;2号构型'!#REF!,B:C,2,0)=VALUE(MID('1&amp;2号构型'!#REF!,6,2))</f>
        <v>#REF!</v>
      </c>
      <c r="H505" s="3" t="e">
        <f>IF(LEN('1&amp;2号构型'!#REF!)=9,"TRUE","FALSE")</f>
        <v>#REF!</v>
      </c>
      <c r="I505" s="2" t="e">
        <f>VALUE(MID('1&amp;2号构型'!#REF!,1,2))=VALUE(MID('1&amp;2号构型'!#REF!,5,2))</f>
        <v>#REF!</v>
      </c>
      <c r="J505" s="2" t="e">
        <f>IF(LEN('1&amp;2号构型'!#REF!)=14,"TRUE","FALSE")</f>
        <v>#REF!</v>
      </c>
      <c r="K505" s="2" t="e">
        <f>RIGHT('1&amp;2号构型'!#REF!,4)</f>
        <v>#REF!</v>
      </c>
    </row>
    <row r="506" spans="6:11">
      <c r="F506" t="e">
        <f>'1&amp;2号构型'!#REF!</f>
        <v>#REF!</v>
      </c>
      <c r="G506" s="2" t="e">
        <f>VLOOKUP('1&amp;2号构型'!#REF!,B:C,2,0)=VALUE(MID('1&amp;2号构型'!#REF!,6,2))</f>
        <v>#REF!</v>
      </c>
      <c r="H506" s="3" t="e">
        <f>IF(LEN('1&amp;2号构型'!#REF!)=9,"TRUE","FALSE")</f>
        <v>#REF!</v>
      </c>
      <c r="I506" s="2" t="e">
        <f>VALUE(MID('1&amp;2号构型'!#REF!,1,2))=VALUE(MID('1&amp;2号构型'!#REF!,5,2))</f>
        <v>#REF!</v>
      </c>
      <c r="J506" s="2" t="e">
        <f>IF(LEN('1&amp;2号构型'!#REF!)=14,"TRUE","FALSE")</f>
        <v>#REF!</v>
      </c>
      <c r="K506" s="2" t="e">
        <f>RIGHT('1&amp;2号构型'!#REF!,4)</f>
        <v>#REF!</v>
      </c>
    </row>
    <row r="507" spans="6:11">
      <c r="F507" t="e">
        <f>'1&amp;2号构型'!#REF!</f>
        <v>#REF!</v>
      </c>
      <c r="G507" s="2" t="e">
        <f>VLOOKUP('1&amp;2号构型'!#REF!,B:C,2,0)=VALUE(MID('1&amp;2号构型'!#REF!,6,2))</f>
        <v>#REF!</v>
      </c>
      <c r="H507" s="3" t="e">
        <f>IF(LEN('1&amp;2号构型'!#REF!)=9,"TRUE","FALSE")</f>
        <v>#REF!</v>
      </c>
      <c r="I507" s="2" t="e">
        <f>VALUE(MID('1&amp;2号构型'!#REF!,1,2))=VALUE(MID('1&amp;2号构型'!#REF!,5,2))</f>
        <v>#REF!</v>
      </c>
      <c r="J507" s="2" t="e">
        <f>IF(LEN('1&amp;2号构型'!#REF!)=14,"TRUE","FALSE")</f>
        <v>#REF!</v>
      </c>
      <c r="K507" s="2" t="e">
        <f>RIGHT('1&amp;2号构型'!#REF!,4)</f>
        <v>#REF!</v>
      </c>
    </row>
    <row r="508" spans="6:11">
      <c r="F508" t="e">
        <f>'1&amp;2号构型'!#REF!</f>
        <v>#REF!</v>
      </c>
      <c r="G508" s="2" t="e">
        <f>VLOOKUP('1&amp;2号构型'!#REF!,B:C,2,0)=VALUE(MID('1&amp;2号构型'!#REF!,6,2))</f>
        <v>#REF!</v>
      </c>
      <c r="H508" s="3" t="e">
        <f>IF(LEN('1&amp;2号构型'!#REF!)=9,"TRUE","FALSE")</f>
        <v>#REF!</v>
      </c>
      <c r="I508" s="2" t="e">
        <f>VALUE(MID('1&amp;2号构型'!#REF!,1,2))=VALUE(MID('1&amp;2号构型'!#REF!,5,2))</f>
        <v>#REF!</v>
      </c>
      <c r="J508" s="2" t="e">
        <f>IF(LEN('1&amp;2号构型'!#REF!)=14,"TRUE","FALSE")</f>
        <v>#REF!</v>
      </c>
      <c r="K508" s="2" t="e">
        <f>RIGHT('1&amp;2号构型'!#REF!,4)</f>
        <v>#REF!</v>
      </c>
    </row>
    <row r="509" spans="6:11">
      <c r="F509" t="e">
        <f>'1&amp;2号构型'!#REF!</f>
        <v>#REF!</v>
      </c>
      <c r="G509" s="2" t="e">
        <f>VLOOKUP('1&amp;2号构型'!#REF!,B:C,2,0)=VALUE(MID('1&amp;2号构型'!#REF!,6,2))</f>
        <v>#REF!</v>
      </c>
      <c r="H509" s="3" t="e">
        <f>IF(LEN('1&amp;2号构型'!#REF!)=9,"TRUE","FALSE")</f>
        <v>#REF!</v>
      </c>
      <c r="I509" s="2" t="e">
        <f>VALUE(MID('1&amp;2号构型'!#REF!,1,2))=VALUE(MID('1&amp;2号构型'!#REF!,5,2))</f>
        <v>#REF!</v>
      </c>
      <c r="J509" s="2" t="e">
        <f>IF(LEN('1&amp;2号构型'!#REF!)=14,"TRUE","FALSE")</f>
        <v>#REF!</v>
      </c>
      <c r="K509" s="2" t="e">
        <f>RIGHT('1&amp;2号构型'!#REF!,4)</f>
        <v>#REF!</v>
      </c>
    </row>
    <row r="510" spans="6:11">
      <c r="F510" t="e">
        <f>'1&amp;2号构型'!#REF!</f>
        <v>#REF!</v>
      </c>
      <c r="G510" s="2" t="e">
        <f>VLOOKUP('1&amp;2号构型'!#REF!,B:C,2,0)=VALUE(MID('1&amp;2号构型'!#REF!,6,2))</f>
        <v>#REF!</v>
      </c>
      <c r="H510" s="3" t="e">
        <f>IF(LEN('1&amp;2号构型'!#REF!)=9,"TRUE","FALSE")</f>
        <v>#REF!</v>
      </c>
      <c r="I510" s="2" t="e">
        <f>VALUE(MID('1&amp;2号构型'!#REF!,1,2))=VALUE(MID('1&amp;2号构型'!#REF!,5,2))</f>
        <v>#REF!</v>
      </c>
      <c r="J510" s="2" t="e">
        <f>IF(LEN('1&amp;2号构型'!#REF!)=14,"TRUE","FALSE")</f>
        <v>#REF!</v>
      </c>
      <c r="K510" s="2" t="e">
        <f>RIGHT('1&amp;2号构型'!#REF!,4)</f>
        <v>#REF!</v>
      </c>
    </row>
    <row r="511" spans="6:11">
      <c r="F511" t="e">
        <f>'1&amp;2号构型'!#REF!</f>
        <v>#REF!</v>
      </c>
      <c r="G511" s="2" t="e">
        <f>VLOOKUP('1&amp;2号构型'!#REF!,B:C,2,0)=VALUE(MID('1&amp;2号构型'!#REF!,6,2))</f>
        <v>#REF!</v>
      </c>
      <c r="H511" s="3" t="e">
        <f>IF(LEN('1&amp;2号构型'!#REF!)=9,"TRUE","FALSE")</f>
        <v>#REF!</v>
      </c>
      <c r="I511" s="2" t="e">
        <f>VALUE(MID('1&amp;2号构型'!#REF!,1,2))=VALUE(MID('1&amp;2号构型'!#REF!,5,2))</f>
        <v>#REF!</v>
      </c>
      <c r="J511" s="2" t="e">
        <f>IF(LEN('1&amp;2号构型'!#REF!)=14,"TRUE","FALSE")</f>
        <v>#REF!</v>
      </c>
      <c r="K511" s="2" t="e">
        <f>RIGHT('1&amp;2号构型'!#REF!,4)</f>
        <v>#REF!</v>
      </c>
    </row>
    <row r="512" spans="6:11">
      <c r="F512" t="e">
        <f>'1&amp;2号构型'!#REF!</f>
        <v>#REF!</v>
      </c>
      <c r="G512" s="2" t="e">
        <f>VLOOKUP('1&amp;2号构型'!#REF!,B:C,2,0)=VALUE(MID('1&amp;2号构型'!#REF!,6,2))</f>
        <v>#REF!</v>
      </c>
      <c r="H512" s="3" t="e">
        <f>IF(LEN('1&amp;2号构型'!#REF!)=9,"TRUE","FALSE")</f>
        <v>#REF!</v>
      </c>
      <c r="I512" s="2" t="e">
        <f>VALUE(MID('1&amp;2号构型'!#REF!,1,2))=VALUE(MID('1&amp;2号构型'!#REF!,5,2))</f>
        <v>#REF!</v>
      </c>
      <c r="J512" s="2" t="e">
        <f>IF(LEN('1&amp;2号构型'!#REF!)=14,"TRUE","FALSE")</f>
        <v>#REF!</v>
      </c>
      <c r="K512" s="2" t="e">
        <f>RIGHT('1&amp;2号构型'!#REF!,4)</f>
        <v>#REF!</v>
      </c>
    </row>
    <row r="513" spans="6:11">
      <c r="F513" t="e">
        <f>'1&amp;2号构型'!#REF!</f>
        <v>#REF!</v>
      </c>
      <c r="G513" s="2" t="e">
        <f>VLOOKUP('1&amp;2号构型'!#REF!,B:C,2,0)=VALUE(MID('1&amp;2号构型'!#REF!,6,2))</f>
        <v>#REF!</v>
      </c>
      <c r="H513" s="3" t="e">
        <f>IF(LEN('1&amp;2号构型'!#REF!)=9,"TRUE","FALSE")</f>
        <v>#REF!</v>
      </c>
      <c r="I513" s="2" t="e">
        <f>VALUE(MID('1&amp;2号构型'!#REF!,1,2))=VALUE(MID('1&amp;2号构型'!#REF!,5,2))</f>
        <v>#REF!</v>
      </c>
      <c r="J513" s="2" t="e">
        <f>IF(LEN('1&amp;2号构型'!#REF!)=14,"TRUE","FALSE")</f>
        <v>#REF!</v>
      </c>
      <c r="K513" s="2" t="e">
        <f>RIGHT('1&amp;2号构型'!#REF!,4)</f>
        <v>#REF!</v>
      </c>
    </row>
    <row r="514" spans="6:11">
      <c r="F514" t="e">
        <f>'1&amp;2号构型'!#REF!</f>
        <v>#REF!</v>
      </c>
      <c r="G514" s="2" t="e">
        <f>VLOOKUP('1&amp;2号构型'!#REF!,B:C,2,0)=VALUE(MID('1&amp;2号构型'!#REF!,6,2))</f>
        <v>#REF!</v>
      </c>
      <c r="H514" s="3" t="e">
        <f>IF(LEN('1&amp;2号构型'!#REF!)=9,"TRUE","FALSE")</f>
        <v>#REF!</v>
      </c>
      <c r="I514" s="2" t="e">
        <f>VALUE(MID('1&amp;2号构型'!#REF!,1,2))=VALUE(MID('1&amp;2号构型'!#REF!,5,2))</f>
        <v>#REF!</v>
      </c>
      <c r="J514" s="2" t="e">
        <f>IF(LEN('1&amp;2号构型'!#REF!)=14,"TRUE","FALSE")</f>
        <v>#REF!</v>
      </c>
      <c r="K514" s="2" t="e">
        <f>RIGHT('1&amp;2号构型'!#REF!,4)</f>
        <v>#REF!</v>
      </c>
    </row>
    <row r="515" spans="6:11">
      <c r="F515" t="e">
        <f>'1&amp;2号构型'!#REF!</f>
        <v>#REF!</v>
      </c>
      <c r="G515" s="2" t="e">
        <f>VLOOKUP('1&amp;2号构型'!#REF!,B:C,2,0)=VALUE(MID('1&amp;2号构型'!#REF!,6,2))</f>
        <v>#REF!</v>
      </c>
      <c r="H515" s="3" t="e">
        <f>IF(LEN('1&amp;2号构型'!#REF!)=9,"TRUE","FALSE")</f>
        <v>#REF!</v>
      </c>
      <c r="I515" s="2" t="e">
        <f>VALUE(MID('1&amp;2号构型'!#REF!,1,2))=VALUE(MID('1&amp;2号构型'!#REF!,5,2))</f>
        <v>#REF!</v>
      </c>
      <c r="J515" s="2" t="e">
        <f>IF(LEN('1&amp;2号构型'!#REF!)=14,"TRUE","FALSE")</f>
        <v>#REF!</v>
      </c>
      <c r="K515" s="2" t="e">
        <f>RIGHT('1&amp;2号构型'!#REF!,4)</f>
        <v>#REF!</v>
      </c>
    </row>
    <row r="516" spans="6:11">
      <c r="F516" t="e">
        <f>'1&amp;2号构型'!#REF!</f>
        <v>#REF!</v>
      </c>
      <c r="G516" s="2" t="e">
        <f>VLOOKUP('1&amp;2号构型'!#REF!,B:C,2,0)=VALUE(MID('1&amp;2号构型'!#REF!,6,2))</f>
        <v>#REF!</v>
      </c>
      <c r="H516" s="3" t="e">
        <f>IF(LEN('1&amp;2号构型'!#REF!)=9,"TRUE","FALSE")</f>
        <v>#REF!</v>
      </c>
      <c r="I516" s="2" t="e">
        <f>VALUE(MID('1&amp;2号构型'!#REF!,1,2))=VALUE(MID('1&amp;2号构型'!#REF!,5,2))</f>
        <v>#REF!</v>
      </c>
      <c r="J516" s="2" t="e">
        <f>IF(LEN('1&amp;2号构型'!#REF!)=14,"TRUE","FALSE")</f>
        <v>#REF!</v>
      </c>
      <c r="K516" s="2" t="e">
        <f>RIGHT('1&amp;2号构型'!#REF!,4)</f>
        <v>#REF!</v>
      </c>
    </row>
    <row r="517" spans="6:11">
      <c r="F517" t="e">
        <f>'1&amp;2号构型'!#REF!</f>
        <v>#REF!</v>
      </c>
      <c r="G517" s="2" t="e">
        <f>VLOOKUP('1&amp;2号构型'!#REF!,B:C,2,0)=VALUE(MID('1&amp;2号构型'!#REF!,6,2))</f>
        <v>#REF!</v>
      </c>
      <c r="H517" s="3" t="e">
        <f>IF(LEN('1&amp;2号构型'!#REF!)=9,"TRUE","FALSE")</f>
        <v>#REF!</v>
      </c>
      <c r="I517" s="2" t="e">
        <f>VALUE(MID('1&amp;2号构型'!#REF!,1,2))=VALUE(MID('1&amp;2号构型'!#REF!,5,2))</f>
        <v>#REF!</v>
      </c>
      <c r="J517" s="2" t="e">
        <f>IF(LEN('1&amp;2号构型'!#REF!)=14,"TRUE","FALSE")</f>
        <v>#REF!</v>
      </c>
      <c r="K517" s="2" t="e">
        <f>RIGHT('1&amp;2号构型'!#REF!,4)</f>
        <v>#REF!</v>
      </c>
    </row>
    <row r="518" spans="6:11">
      <c r="F518" t="e">
        <f>'1&amp;2号构型'!#REF!</f>
        <v>#REF!</v>
      </c>
      <c r="G518" s="2" t="e">
        <f>VLOOKUP('1&amp;2号构型'!#REF!,B:C,2,0)=VALUE(MID('1&amp;2号构型'!#REF!,6,2))</f>
        <v>#REF!</v>
      </c>
      <c r="H518" s="3" t="e">
        <f>IF(LEN('1&amp;2号构型'!#REF!)=9,"TRUE","FALSE")</f>
        <v>#REF!</v>
      </c>
      <c r="I518" s="2" t="e">
        <f>VALUE(MID('1&amp;2号构型'!#REF!,1,2))=VALUE(MID('1&amp;2号构型'!#REF!,5,2))</f>
        <v>#REF!</v>
      </c>
      <c r="J518" s="2" t="e">
        <f>IF(LEN('1&amp;2号构型'!#REF!)=14,"TRUE","FALSE")</f>
        <v>#REF!</v>
      </c>
      <c r="K518" s="2" t="e">
        <f>RIGHT('1&amp;2号构型'!#REF!,4)</f>
        <v>#REF!</v>
      </c>
    </row>
    <row r="519" spans="6:11">
      <c r="F519" t="e">
        <f>'1&amp;2号构型'!#REF!</f>
        <v>#REF!</v>
      </c>
      <c r="G519" s="2" t="e">
        <f>VLOOKUP('1&amp;2号构型'!#REF!,B:C,2,0)=VALUE(MID('1&amp;2号构型'!#REF!,6,2))</f>
        <v>#REF!</v>
      </c>
      <c r="H519" s="3" t="e">
        <f>IF(LEN('1&amp;2号构型'!#REF!)=9,"TRUE","FALSE")</f>
        <v>#REF!</v>
      </c>
      <c r="I519" s="2" t="e">
        <f>VALUE(MID('1&amp;2号构型'!#REF!,1,2))=VALUE(MID('1&amp;2号构型'!#REF!,5,2))</f>
        <v>#REF!</v>
      </c>
      <c r="J519" s="2" t="e">
        <f>IF(LEN('1&amp;2号构型'!#REF!)=14,"TRUE","FALSE")</f>
        <v>#REF!</v>
      </c>
      <c r="K519" s="2" t="e">
        <f>RIGHT('1&amp;2号构型'!#REF!,4)</f>
        <v>#REF!</v>
      </c>
    </row>
    <row r="520" spans="6:11">
      <c r="F520" t="e">
        <f>'1&amp;2号构型'!#REF!</f>
        <v>#REF!</v>
      </c>
      <c r="G520" s="2" t="e">
        <f>VLOOKUP('1&amp;2号构型'!#REF!,B:C,2,0)=VALUE(MID('1&amp;2号构型'!#REF!,6,2))</f>
        <v>#REF!</v>
      </c>
      <c r="H520" s="3" t="e">
        <f>IF(LEN('1&amp;2号构型'!#REF!)=9,"TRUE","FALSE")</f>
        <v>#REF!</v>
      </c>
      <c r="I520" s="2" t="e">
        <f>VALUE(MID('1&amp;2号构型'!#REF!,1,2))=VALUE(MID('1&amp;2号构型'!#REF!,5,2))</f>
        <v>#REF!</v>
      </c>
      <c r="J520" s="2" t="e">
        <f>IF(LEN('1&amp;2号构型'!#REF!)=14,"TRUE","FALSE")</f>
        <v>#REF!</v>
      </c>
      <c r="K520" s="2" t="e">
        <f>RIGHT('1&amp;2号构型'!#REF!,4)</f>
        <v>#REF!</v>
      </c>
    </row>
    <row r="521" spans="6:11">
      <c r="F521" t="e">
        <f>'1&amp;2号构型'!#REF!</f>
        <v>#REF!</v>
      </c>
      <c r="G521" s="2" t="e">
        <f>VLOOKUP('1&amp;2号构型'!#REF!,B:C,2,0)=VALUE(MID('1&amp;2号构型'!#REF!,6,2))</f>
        <v>#REF!</v>
      </c>
      <c r="H521" s="3" t="e">
        <f>IF(LEN('1&amp;2号构型'!#REF!)=9,"TRUE","FALSE")</f>
        <v>#REF!</v>
      </c>
      <c r="I521" s="2" t="e">
        <f>VALUE(MID('1&amp;2号构型'!#REF!,1,2))=VALUE(MID('1&amp;2号构型'!#REF!,5,2))</f>
        <v>#REF!</v>
      </c>
      <c r="J521" s="2" t="e">
        <f>IF(LEN('1&amp;2号构型'!#REF!)=14,"TRUE","FALSE")</f>
        <v>#REF!</v>
      </c>
      <c r="K521" s="2" t="e">
        <f>RIGHT('1&amp;2号构型'!#REF!,4)</f>
        <v>#REF!</v>
      </c>
    </row>
    <row r="522" spans="6:11">
      <c r="F522" t="e">
        <f>'1&amp;2号构型'!#REF!</f>
        <v>#REF!</v>
      </c>
      <c r="G522" s="2" t="e">
        <f>VLOOKUP('1&amp;2号构型'!#REF!,B:C,2,0)=VALUE(MID('1&amp;2号构型'!#REF!,6,2))</f>
        <v>#REF!</v>
      </c>
      <c r="H522" s="3" t="e">
        <f>IF(LEN('1&amp;2号构型'!#REF!)=9,"TRUE","FALSE")</f>
        <v>#REF!</v>
      </c>
      <c r="I522" s="2" t="e">
        <f>VALUE(MID('1&amp;2号构型'!#REF!,1,2))=VALUE(MID('1&amp;2号构型'!#REF!,5,2))</f>
        <v>#REF!</v>
      </c>
      <c r="J522" s="2" t="e">
        <f>IF(LEN('1&amp;2号构型'!#REF!)=14,"TRUE","FALSE")</f>
        <v>#REF!</v>
      </c>
      <c r="K522" s="2" t="e">
        <f>RIGHT('1&amp;2号构型'!#REF!,4)</f>
        <v>#REF!</v>
      </c>
    </row>
    <row r="523" spans="6:11">
      <c r="F523" t="str">
        <f>'1&amp;2号构型'!B342</f>
        <v>视频服务单元1</v>
      </c>
      <c r="G523" s="2" t="b">
        <f>VLOOKUP('1&amp;2号构型'!F342,B:C,2,0)=VALUE(MID('1&amp;2号构型'!D342,6,2))</f>
        <v>1</v>
      </c>
      <c r="H523" s="3" t="str">
        <f>IF(LEN('1&amp;2号构型'!D342)=9,"TRUE","FALSE")</f>
        <v>TRUE</v>
      </c>
      <c r="I523" s="2" t="b">
        <f>VALUE(MID('1&amp;2号构型'!C342,1,2))=VALUE(MID('1&amp;2号构型'!A342,5,2))</f>
        <v>1</v>
      </c>
      <c r="J523" s="2" t="str">
        <f>IF(LEN('1&amp;2号构型'!C342)=14,"TRUE","FALSE")</f>
        <v>TRUE</v>
      </c>
      <c r="K523" s="2" t="str">
        <f>RIGHT('1&amp;2号构型'!C342,4)</f>
        <v>G900</v>
      </c>
    </row>
    <row r="524" spans="6:11">
      <c r="F524" t="e">
        <f>'1&amp;2号构型'!#REF!</f>
        <v>#REF!</v>
      </c>
      <c r="G524" s="2" t="e">
        <f>VLOOKUP('1&amp;2号构型'!#REF!,B:C,2,0)=VALUE(MID('1&amp;2号构型'!#REF!,6,2))</f>
        <v>#REF!</v>
      </c>
      <c r="H524" s="3" t="e">
        <f>IF(LEN('1&amp;2号构型'!#REF!)=9,"TRUE","FALSE")</f>
        <v>#REF!</v>
      </c>
      <c r="I524" s="2" t="e">
        <f>VALUE(MID('1&amp;2号构型'!#REF!,1,2))=VALUE(MID('1&amp;2号构型'!#REF!,5,2))</f>
        <v>#REF!</v>
      </c>
      <c r="J524" s="2" t="e">
        <f>IF(LEN('1&amp;2号构型'!#REF!)=14,"TRUE","FALSE")</f>
        <v>#REF!</v>
      </c>
      <c r="K524" s="2" t="e">
        <f>RIGHT('1&amp;2号构型'!#REF!,4)</f>
        <v>#REF!</v>
      </c>
    </row>
    <row r="525" spans="6:11">
      <c r="F525" t="str">
        <f>'1&amp;2号构型'!B343</f>
        <v>跑道监视摄像头</v>
      </c>
      <c r="G525" s="2" t="b">
        <f>VLOOKUP('1&amp;2号构型'!F343,B:C,2,0)=VALUE(MID('1&amp;2号构型'!D343,6,2))</f>
        <v>1</v>
      </c>
      <c r="H525" s="3" t="str">
        <f>IF(LEN('1&amp;2号构型'!D343)=9,"TRUE","FALSE")</f>
        <v>TRUE</v>
      </c>
      <c r="I525" s="2" t="b">
        <f>VALUE(MID('1&amp;2号构型'!C343,1,2))=VALUE(MID('1&amp;2号构型'!A343,5,2))</f>
        <v>1</v>
      </c>
      <c r="J525" s="2" t="str">
        <f>IF(LEN('1&amp;2号构型'!C343)=14,"TRUE","FALSE")</f>
        <v>TRUE</v>
      </c>
      <c r="K525" s="2" t="str">
        <f>RIGHT('1&amp;2号构型'!C343,4)</f>
        <v>G900</v>
      </c>
    </row>
    <row r="526" spans="6:11">
      <c r="F526" t="e">
        <f>'1&amp;2号构型'!#REF!</f>
        <v>#REF!</v>
      </c>
      <c r="G526" s="2" t="e">
        <f>VLOOKUP('1&amp;2号构型'!#REF!,B:C,2,0)=VALUE(MID('1&amp;2号构型'!#REF!,6,2))</f>
        <v>#REF!</v>
      </c>
      <c r="H526" s="3" t="e">
        <f>IF(LEN('1&amp;2号构型'!#REF!)=9,"TRUE","FALSE")</f>
        <v>#REF!</v>
      </c>
      <c r="I526" s="2" t="e">
        <f>VALUE(MID('1&amp;2号构型'!#REF!,1,2))=VALUE(MID('1&amp;2号构型'!#REF!,5,2))</f>
        <v>#REF!</v>
      </c>
      <c r="J526" s="2" t="e">
        <f>IF(LEN('1&amp;2号构型'!#REF!)=14,"TRUE","FALSE")</f>
        <v>#REF!</v>
      </c>
      <c r="K526" s="2" t="e">
        <f>RIGHT('1&amp;2号构型'!#REF!,4)</f>
        <v>#REF!</v>
      </c>
    </row>
    <row r="527" spans="6:11">
      <c r="F527" t="str">
        <f>'1&amp;2号构型'!B344</f>
        <v>通用信息处理计算机</v>
      </c>
      <c r="G527" s="2" t="b">
        <f>VLOOKUP('1&amp;2号构型'!F344,B:C,2,0)=VALUE(MID('1&amp;2号构型'!D344,6,2))</f>
        <v>1</v>
      </c>
      <c r="H527" s="3" t="str">
        <f>IF(LEN('1&amp;2号构型'!D344)=9,"TRUE","FALSE")</f>
        <v>TRUE</v>
      </c>
      <c r="I527" s="2" t="b">
        <f>VALUE(MID('1&amp;2号构型'!C344,1,2))=VALUE(MID('1&amp;2号构型'!A344,5,2))</f>
        <v>1</v>
      </c>
      <c r="J527" s="2" t="str">
        <f>IF(LEN('1&amp;2号构型'!C344)=14,"TRUE","FALSE")</f>
        <v>TRUE</v>
      </c>
      <c r="K527" s="2" t="str">
        <f>RIGHT('1&amp;2号构型'!C344,4)</f>
        <v>G900</v>
      </c>
    </row>
    <row r="528" spans="6:11">
      <c r="F528" t="e">
        <f>'1&amp;2号构型'!#REF!</f>
        <v>#REF!</v>
      </c>
      <c r="G528" s="2" t="e">
        <f>VLOOKUP('1&amp;2号构型'!#REF!,B:C,2,0)=VALUE(MID('1&amp;2号构型'!#REF!,6,2))</f>
        <v>#REF!</v>
      </c>
      <c r="H528" s="3" t="e">
        <f>IF(LEN('1&amp;2号构型'!#REF!)=9,"TRUE","FALSE")</f>
        <v>#REF!</v>
      </c>
      <c r="I528" s="2" t="e">
        <f>VALUE(MID('1&amp;2号构型'!#REF!,1,2))=VALUE(MID('1&amp;2号构型'!#REF!,5,2))</f>
        <v>#REF!</v>
      </c>
      <c r="J528" s="2" t="e">
        <f>IF(LEN('1&amp;2号构型'!#REF!)=14,"TRUE","FALSE")</f>
        <v>#REF!</v>
      </c>
      <c r="K528" s="2" t="e">
        <f>RIGHT('1&amp;2号构型'!#REF!,4)</f>
        <v>#REF!</v>
      </c>
    </row>
    <row r="529" spans="6:11">
      <c r="F529" t="str">
        <f>'1&amp;2号构型'!B345</f>
        <v>便携式电子飞行包1</v>
      </c>
      <c r="G529" s="2" t="b">
        <f>VLOOKUP('1&amp;2号构型'!F345,B:C,2,0)=VALUE(MID('1&amp;2号构型'!D345,6,2))</f>
        <v>1</v>
      </c>
      <c r="H529" s="3" t="str">
        <f>IF(LEN('1&amp;2号构型'!D345)=9,"TRUE","FALSE")</f>
        <v>TRUE</v>
      </c>
      <c r="I529" s="2" t="b">
        <f>VALUE(MID('1&amp;2号构型'!C345,1,2))=VALUE(MID('1&amp;2号构型'!A345,5,2))</f>
        <v>1</v>
      </c>
      <c r="J529" s="2" t="str">
        <f>IF(LEN('1&amp;2号构型'!C345)=14,"TRUE","FALSE")</f>
        <v>TRUE</v>
      </c>
      <c r="K529" s="2" t="str">
        <f>RIGHT('1&amp;2号构型'!C345,4)</f>
        <v>G900</v>
      </c>
    </row>
    <row r="530" spans="6:11">
      <c r="F530" t="str">
        <f>'1&amp;2号构型'!B346</f>
        <v>便携式电子飞行包2</v>
      </c>
      <c r="G530" s="2" t="b">
        <f>VLOOKUP('1&amp;2号构型'!F346,B:C,2,0)=VALUE(MID('1&amp;2号构型'!D346,6,2))</f>
        <v>1</v>
      </c>
      <c r="H530" s="3" t="str">
        <f>IF(LEN('1&amp;2号构型'!D346)=9,"TRUE","FALSE")</f>
        <v>TRUE</v>
      </c>
      <c r="I530" s="2" t="b">
        <f>VALUE(MID('1&amp;2号构型'!C346,1,2))=VALUE(MID('1&amp;2号构型'!A346,5,2))</f>
        <v>1</v>
      </c>
      <c r="J530" s="2" t="str">
        <f>IF(LEN('1&amp;2号构型'!C346)=14,"TRUE","FALSE")</f>
        <v>TRUE</v>
      </c>
      <c r="K530" s="2" t="str">
        <f>RIGHT('1&amp;2号构型'!C346,4)</f>
        <v>G900</v>
      </c>
    </row>
    <row r="531" spans="6:11">
      <c r="F531" t="str">
        <f>'1&amp;2号构型'!B347</f>
        <v>机身上表面摄像头</v>
      </c>
      <c r="G531" s="2" t="b">
        <f>VLOOKUP('1&amp;2号构型'!F347,B:C,2,0)=VALUE(MID('1&amp;2号构型'!D347,6,2))</f>
        <v>1</v>
      </c>
      <c r="H531" s="3" t="str">
        <f>IF(LEN('1&amp;2号构型'!D347)=9,"TRUE","FALSE")</f>
        <v>TRUE</v>
      </c>
      <c r="I531" s="2" t="b">
        <f>VALUE(MID('1&amp;2号构型'!C347,1,2))=VALUE(MID('1&amp;2号构型'!A347,5,2))</f>
        <v>1</v>
      </c>
      <c r="J531" s="2" t="str">
        <f>IF(LEN('1&amp;2号构型'!C347)=14,"TRUE","FALSE")</f>
        <v>TRUE</v>
      </c>
      <c r="K531" s="2" t="str">
        <f>RIGHT('1&amp;2号构型'!C347,4)</f>
        <v>U900</v>
      </c>
    </row>
    <row r="532" spans="6:11">
      <c r="F532" t="str">
        <f>'1&amp;2号构型'!B348</f>
        <v>后左起落架摄像头</v>
      </c>
      <c r="G532" s="2" t="b">
        <f>VLOOKUP('1&amp;2号构型'!F348,B:C,2,0)=VALUE(MID('1&amp;2号构型'!D348,6,2))</f>
        <v>1</v>
      </c>
      <c r="H532" s="3" t="str">
        <f>IF(LEN('1&amp;2号构型'!D348)=9,"TRUE","FALSE")</f>
        <v>TRUE</v>
      </c>
      <c r="I532" s="2" t="b">
        <f>VALUE(MID('1&amp;2号构型'!C348,1,2))=VALUE(MID('1&amp;2号构型'!A348,5,2))</f>
        <v>1</v>
      </c>
      <c r="J532" s="2" t="str">
        <f>IF(LEN('1&amp;2号构型'!C348)=14,"TRUE","FALSE")</f>
        <v>TRUE</v>
      </c>
      <c r="K532" s="2" t="str">
        <f>RIGHT('1&amp;2号构型'!C348,4)</f>
        <v>U900</v>
      </c>
    </row>
    <row r="533" spans="6:11">
      <c r="F533" t="str">
        <f>'1&amp;2号构型'!B349</f>
        <v>正下方视野摄像头</v>
      </c>
      <c r="G533" s="2" t="b">
        <f>VLOOKUP('1&amp;2号构型'!F349,B:C,2,0)=VALUE(MID('1&amp;2号构型'!D349,6,2))</f>
        <v>1</v>
      </c>
      <c r="H533" s="3" t="str">
        <f>IF(LEN('1&amp;2号构型'!D349)=9,"TRUE","FALSE")</f>
        <v>TRUE</v>
      </c>
      <c r="I533" s="2" t="b">
        <f>VALUE(MID('1&amp;2号构型'!C349,1,2))=VALUE(MID('1&amp;2号构型'!A349,5,2))</f>
        <v>1</v>
      </c>
      <c r="J533" s="2" t="str">
        <f>IF(LEN('1&amp;2号构型'!C349)=14,"TRUE","FALSE")</f>
        <v>TRUE</v>
      </c>
      <c r="K533" s="2" t="str">
        <f>RIGHT('1&amp;2号构型'!C349,4)</f>
        <v>U900</v>
      </c>
    </row>
    <row r="534" spans="6:11">
      <c r="F534" t="str">
        <f>'1&amp;2号构型'!B350</f>
        <v>右电涵道摄像头</v>
      </c>
      <c r="G534" s="2" t="b">
        <f>VLOOKUP('1&amp;2号构型'!F350,B:C,2,0)=VALUE(MID('1&amp;2号构型'!D350,6,2))</f>
        <v>1</v>
      </c>
      <c r="H534" s="3" t="str">
        <f>IF(LEN('1&amp;2号构型'!D350)=9,"TRUE","FALSE")</f>
        <v>TRUE</v>
      </c>
      <c r="I534" s="2" t="b">
        <f>VALUE(MID('1&amp;2号构型'!C350,1,2))=VALUE(MID('1&amp;2号构型'!A350,5,2))</f>
        <v>1</v>
      </c>
      <c r="J534" s="2" t="str">
        <f>IF(LEN('1&amp;2号构型'!C350)=14,"TRUE","FALSE")</f>
        <v>TRUE</v>
      </c>
      <c r="K534" s="2" t="str">
        <f>RIGHT('1&amp;2号构型'!C350,4)</f>
        <v>U900</v>
      </c>
    </row>
    <row r="535" spans="6:11">
      <c r="F535" t="str">
        <f>'1&amp;2号构型'!B351</f>
        <v>左电涵道摄像头</v>
      </c>
      <c r="G535" s="2" t="b">
        <f>VLOOKUP('1&amp;2号构型'!F351,B:C,2,0)=VALUE(MID('1&amp;2号构型'!D351,6,2))</f>
        <v>1</v>
      </c>
      <c r="H535" s="3" t="str">
        <f>IF(LEN('1&amp;2号构型'!D351)=9,"TRUE","FALSE")</f>
        <v>TRUE</v>
      </c>
      <c r="I535" s="2" t="b">
        <f>VALUE(MID('1&amp;2号构型'!C351,1,2))=VALUE(MID('1&amp;2号构型'!A351,5,2))</f>
        <v>1</v>
      </c>
      <c r="J535" s="2" t="str">
        <f>IF(LEN('1&amp;2号构型'!C351)=14,"TRUE","FALSE")</f>
        <v>TRUE</v>
      </c>
      <c r="K535" s="2" t="str">
        <f>RIGHT('1&amp;2号构型'!C351,4)</f>
        <v>U900</v>
      </c>
    </row>
    <row r="536" spans="6:11">
      <c r="F536" t="str">
        <f>'1&amp;2号构型'!B352</f>
        <v>电池舱摄像头1</v>
      </c>
      <c r="G536" s="2" t="b">
        <f>VLOOKUP('1&amp;2号构型'!F352,B:C,2,0)=VALUE(MID('1&amp;2号构型'!D352,6,2))</f>
        <v>1</v>
      </c>
      <c r="H536" s="3" t="str">
        <f>IF(LEN('1&amp;2号构型'!D352)=9,"TRUE","FALSE")</f>
        <v>TRUE</v>
      </c>
      <c r="I536" s="2" t="b">
        <f>VALUE(MID('1&amp;2号构型'!C352,1,2))=VALUE(MID('1&amp;2号构型'!A352,5,2))</f>
        <v>1</v>
      </c>
      <c r="J536" s="2" t="str">
        <f>IF(LEN('1&amp;2号构型'!C352)=14,"TRUE","FALSE")</f>
        <v>TRUE</v>
      </c>
      <c r="K536" s="2" t="str">
        <f>RIGHT('1&amp;2号构型'!C352,4)</f>
        <v>U900</v>
      </c>
    </row>
    <row r="537" spans="6:11">
      <c r="F537" t="str">
        <f>'1&amp;2号构型'!B353</f>
        <v>电池舱摄像头2</v>
      </c>
      <c r="G537" s="2" t="b">
        <f>VLOOKUP('1&amp;2号构型'!F353,B:C,2,0)=VALUE(MID('1&amp;2号构型'!D353,6,2))</f>
        <v>1</v>
      </c>
      <c r="H537" s="3" t="str">
        <f>IF(LEN('1&amp;2号构型'!D353)=9,"TRUE","FALSE")</f>
        <v>TRUE</v>
      </c>
      <c r="I537" s="2" t="b">
        <f>VALUE(MID('1&amp;2号构型'!C353,1,2))=VALUE(MID('1&amp;2号构型'!A353,5,2))</f>
        <v>1</v>
      </c>
      <c r="J537" s="2" t="str">
        <f>IF(LEN('1&amp;2号构型'!C353)=14,"TRUE","FALSE")</f>
        <v>TRUE</v>
      </c>
      <c r="K537" s="2" t="str">
        <f>RIGHT('1&amp;2号构型'!C353,4)</f>
        <v>U900</v>
      </c>
    </row>
    <row r="538" spans="6:11">
      <c r="F538" t="str">
        <f>'1&amp;2号构型'!B354</f>
        <v>电池舱摄像头3</v>
      </c>
      <c r="G538" s="2" t="b">
        <f>VLOOKUP('1&amp;2号构型'!F354,B:C,2,0)=VALUE(MID('1&amp;2号构型'!D354,6,2))</f>
        <v>1</v>
      </c>
      <c r="H538" s="3" t="str">
        <f>IF(LEN('1&amp;2号构型'!D354)=9,"TRUE","FALSE")</f>
        <v>TRUE</v>
      </c>
      <c r="I538" s="2" t="b">
        <f>VALUE(MID('1&amp;2号构型'!C354,1,2))=VALUE(MID('1&amp;2号构型'!A354,5,2))</f>
        <v>1</v>
      </c>
      <c r="J538" s="2" t="str">
        <f>IF(LEN('1&amp;2号构型'!C354)=14,"TRUE","FALSE")</f>
        <v>TRUE</v>
      </c>
      <c r="K538" s="2" t="str">
        <f>RIGHT('1&amp;2号构型'!C354,4)</f>
        <v>U900</v>
      </c>
    </row>
    <row r="539" spans="6:11">
      <c r="F539" t="str">
        <f>'1&amp;2号构型'!B355</f>
        <v>电池舱摄像头4</v>
      </c>
      <c r="G539" s="2" t="b">
        <f>VLOOKUP('1&amp;2号构型'!F355,B:C,2,0)=VALUE(MID('1&amp;2号构型'!D355,6,2))</f>
        <v>1</v>
      </c>
      <c r="H539" s="3" t="str">
        <f>IF(LEN('1&amp;2号构型'!D355)=9,"TRUE","FALSE")</f>
        <v>TRUE</v>
      </c>
      <c r="I539" s="2" t="b">
        <f>VALUE(MID('1&amp;2号构型'!C355,1,2))=VALUE(MID('1&amp;2号构型'!A355,5,2))</f>
        <v>1</v>
      </c>
      <c r="J539" s="2" t="str">
        <f>IF(LEN('1&amp;2号构型'!C355)=14,"TRUE","FALSE")</f>
        <v>TRUE</v>
      </c>
      <c r="K539" s="2" t="str">
        <f>RIGHT('1&amp;2号构型'!C355,4)</f>
        <v>U900</v>
      </c>
    </row>
    <row r="540" spans="6:11">
      <c r="F540" t="str">
        <f>'1&amp;2号构型'!B356</f>
        <v>电池舱摄像头5</v>
      </c>
      <c r="G540" s="2" t="b">
        <f>VLOOKUP('1&amp;2号构型'!F356,B:C,2,0)=VALUE(MID('1&amp;2号构型'!D356,6,2))</f>
        <v>1</v>
      </c>
      <c r="H540" s="3" t="str">
        <f>IF(LEN('1&amp;2号构型'!D356)=9,"TRUE","FALSE")</f>
        <v>TRUE</v>
      </c>
      <c r="I540" s="2" t="b">
        <f>VALUE(MID('1&amp;2号构型'!C356,1,2))=VALUE(MID('1&amp;2号构型'!A356,5,2))</f>
        <v>1</v>
      </c>
      <c r="J540" s="2" t="str">
        <f>IF(LEN('1&amp;2号构型'!C356)=14,"TRUE","FALSE")</f>
        <v>TRUE</v>
      </c>
      <c r="K540" s="2" t="str">
        <f>RIGHT('1&amp;2号构型'!C356,4)</f>
        <v>U900</v>
      </c>
    </row>
    <row r="541" spans="6:11">
      <c r="F541" t="str">
        <f>'1&amp;2号构型'!B357</f>
        <v>正前方视野摄像头</v>
      </c>
      <c r="G541" s="2" t="b">
        <f>VLOOKUP('1&amp;2号构型'!F357,B:C,2,0)=VALUE(MID('1&amp;2号构型'!D357,6,2))</f>
        <v>1</v>
      </c>
      <c r="H541" s="3" t="str">
        <f>IF(LEN('1&amp;2号构型'!D357)=9,"TRUE","FALSE")</f>
        <v>TRUE</v>
      </c>
      <c r="I541" s="2" t="b">
        <f>VALUE(MID('1&amp;2号构型'!C357,1,2))=VALUE(MID('1&amp;2号构型'!A357,5,2))</f>
        <v>1</v>
      </c>
      <c r="J541" s="2" t="str">
        <f>IF(LEN('1&amp;2号构型'!C357)=14,"TRUE","FALSE")</f>
        <v>TRUE</v>
      </c>
      <c r="K541" s="2" t="str">
        <f>RIGHT('1&amp;2号构型'!C357,4)</f>
        <v>U900</v>
      </c>
    </row>
    <row r="542" spans="6:11">
      <c r="F542" t="str">
        <f>'1&amp;2号构型'!B358</f>
        <v>垂尾平尾摄像头</v>
      </c>
      <c r="G542" s="2" t="b">
        <f>VLOOKUP('1&amp;2号构型'!F358,B:C,2,0)=VALUE(MID('1&amp;2号构型'!D358,6,2))</f>
        <v>1</v>
      </c>
      <c r="H542" s="3" t="str">
        <f>IF(LEN('1&amp;2号构型'!D358)=9,"TRUE","FALSE")</f>
        <v>TRUE</v>
      </c>
      <c r="I542" s="2" t="b">
        <f>VALUE(MID('1&amp;2号构型'!C358,1,2))=VALUE(MID('1&amp;2号构型'!A358,5,2))</f>
        <v>1</v>
      </c>
      <c r="J542" s="2" t="str">
        <f>IF(LEN('1&amp;2号构型'!C358)=14,"TRUE","FALSE")</f>
        <v>TRUE</v>
      </c>
      <c r="K542" s="2" t="str">
        <f>RIGHT('1&amp;2号构型'!C358,4)</f>
        <v>U900</v>
      </c>
    </row>
    <row r="543" spans="6:11">
      <c r="F543" t="str">
        <f>'1&amp;2号构型'!B359</f>
        <v>前起落架摄像头</v>
      </c>
      <c r="G543" s="2" t="b">
        <f>VLOOKUP('1&amp;2号构型'!F359,B:C,2,0)=VALUE(MID('1&amp;2号构型'!D359,6,2))</f>
        <v>1</v>
      </c>
      <c r="H543" s="3" t="str">
        <f>IF(LEN('1&amp;2号构型'!D359)=9,"TRUE","FALSE")</f>
        <v>TRUE</v>
      </c>
      <c r="I543" s="2" t="b">
        <f>VALUE(MID('1&amp;2号构型'!C359,1,2))=VALUE(MID('1&amp;2号构型'!A359,5,2))</f>
        <v>1</v>
      </c>
      <c r="J543" s="2" t="str">
        <f>IF(LEN('1&amp;2号构型'!C359)=14,"TRUE","FALSE")</f>
        <v>TRUE</v>
      </c>
      <c r="K543" s="2" t="str">
        <f>RIGHT('1&amp;2号构型'!C359,4)</f>
        <v>U900</v>
      </c>
    </row>
    <row r="544" spans="6:11">
      <c r="F544" t="str">
        <f>'1&amp;2号构型'!B360</f>
        <v>后右起落架摄像头</v>
      </c>
      <c r="G544" s="2" t="b">
        <f>VLOOKUP('1&amp;2号构型'!F360,B:C,2,0)=VALUE(MID('1&amp;2号构型'!D360,6,2))</f>
        <v>1</v>
      </c>
      <c r="H544" s="3" t="str">
        <f>IF(LEN('1&amp;2号构型'!D360)=9,"TRUE","FALSE")</f>
        <v>TRUE</v>
      </c>
      <c r="I544" s="2" t="b">
        <f>VALUE(MID('1&amp;2号构型'!C360,1,2))=VALUE(MID('1&amp;2号构型'!A360,5,2))</f>
        <v>1</v>
      </c>
      <c r="J544" s="2" t="str">
        <f>IF(LEN('1&amp;2号构型'!C360)=14,"TRUE","FALSE")</f>
        <v>TRUE</v>
      </c>
      <c r="K544" s="2" t="str">
        <f>RIGHT('1&amp;2号构型'!C360,4)</f>
        <v>U900</v>
      </c>
    </row>
    <row r="545" spans="6:11">
      <c r="F545" t="e">
        <f>'1&amp;2号构型'!#REF!</f>
        <v>#REF!</v>
      </c>
      <c r="G545" s="2" t="e">
        <f>VLOOKUP('1&amp;2号构型'!#REF!,B:C,2,0)=VALUE(MID('1&amp;2号构型'!#REF!,6,2))</f>
        <v>#REF!</v>
      </c>
      <c r="H545" s="3" t="e">
        <f>IF(LEN('1&amp;2号构型'!#REF!)=9,"TRUE","FALSE")</f>
        <v>#REF!</v>
      </c>
      <c r="I545" s="2" t="e">
        <f>VALUE(MID('1&amp;2号构型'!#REF!,1,2))=VALUE(MID('1&amp;2号构型'!#REF!,5,2))</f>
        <v>#REF!</v>
      </c>
      <c r="J545" s="2" t="e">
        <f>IF(LEN('1&amp;2号构型'!#REF!)=14,"TRUE","FALSE")</f>
        <v>#REF!</v>
      </c>
      <c r="K545" s="2" t="e">
        <f>RIGHT('1&amp;2号构型'!#REF!,4)</f>
        <v>#REF!</v>
      </c>
    </row>
    <row r="546" spans="6:11">
      <c r="F546" t="e">
        <f>'1&amp;2号构型'!#REF!</f>
        <v>#REF!</v>
      </c>
      <c r="G546" s="2" t="e">
        <f>VLOOKUP('1&amp;2号构型'!#REF!,B:C,2,0)=VALUE(MID('1&amp;2号构型'!#REF!,6,2))</f>
        <v>#REF!</v>
      </c>
      <c r="H546" s="3" t="e">
        <f>IF(LEN('1&amp;2号构型'!#REF!)=9,"TRUE","FALSE")</f>
        <v>#REF!</v>
      </c>
      <c r="I546" s="2" t="e">
        <f>VALUE(MID('1&amp;2号构型'!#REF!,1,2))=VALUE(MID('1&amp;2号构型'!#REF!,5,2))</f>
        <v>#REF!</v>
      </c>
      <c r="J546" s="2" t="e">
        <f>IF(LEN('1&amp;2号构型'!#REF!)=14,"TRUE","FALSE")</f>
        <v>#REF!</v>
      </c>
      <c r="K546" s="2" t="e">
        <f>RIGHT('1&amp;2号构型'!#REF!,4)</f>
        <v>#REF!</v>
      </c>
    </row>
    <row r="547" spans="6:11">
      <c r="F547" t="e">
        <f>'1&amp;2号构型'!#REF!</f>
        <v>#REF!</v>
      </c>
      <c r="G547" s="2" t="e">
        <f>VLOOKUP('1&amp;2号构型'!#REF!,B:C,2,0)=VALUE(MID('1&amp;2号构型'!#REF!,6,2))</f>
        <v>#REF!</v>
      </c>
      <c r="H547" s="3" t="e">
        <f>IF(LEN('1&amp;2号构型'!#REF!)=9,"TRUE","FALSE")</f>
        <v>#REF!</v>
      </c>
      <c r="I547" s="2" t="e">
        <f>VALUE(MID('1&amp;2号构型'!#REF!,1,2))=VALUE(MID('1&amp;2号构型'!#REF!,5,2))</f>
        <v>#REF!</v>
      </c>
      <c r="J547" s="2" t="e">
        <f>IF(LEN('1&amp;2号构型'!#REF!)=14,"TRUE","FALSE")</f>
        <v>#REF!</v>
      </c>
      <c r="K547" s="2" t="e">
        <f>RIGHT('1&amp;2号构型'!#REF!,4)</f>
        <v>#REF!</v>
      </c>
    </row>
    <row r="548" spans="6:11">
      <c r="F548" t="e">
        <f>'1&amp;2号构型'!#REF!</f>
        <v>#REF!</v>
      </c>
      <c r="G548" s="2" t="e">
        <f>VLOOKUP('1&amp;2号构型'!#REF!,B:C,2,0)=VALUE(MID('1&amp;2号构型'!#REF!,6,2))</f>
        <v>#REF!</v>
      </c>
      <c r="H548" s="3" t="e">
        <f>IF(LEN('1&amp;2号构型'!#REF!)=9,"TRUE","FALSE")</f>
        <v>#REF!</v>
      </c>
      <c r="I548" s="2" t="e">
        <f>VALUE(MID('1&amp;2号构型'!#REF!,1,2))=VALUE(MID('1&amp;2号构型'!#REF!,5,2))</f>
        <v>#REF!</v>
      </c>
      <c r="J548" s="2" t="e">
        <f>IF(LEN('1&amp;2号构型'!#REF!)=14,"TRUE","FALSE")</f>
        <v>#REF!</v>
      </c>
      <c r="K548" s="2" t="e">
        <f>RIGHT('1&amp;2号构型'!#REF!,4)</f>
        <v>#REF!</v>
      </c>
    </row>
    <row r="549" spans="6:11">
      <c r="F549" t="e">
        <f>'1&amp;2号构型'!#REF!</f>
        <v>#REF!</v>
      </c>
      <c r="G549" s="2" t="e">
        <f>VLOOKUP('1&amp;2号构型'!#REF!,B:C,2,0)=VALUE(MID('1&amp;2号构型'!#REF!,6,2))</f>
        <v>#REF!</v>
      </c>
      <c r="H549" s="3" t="e">
        <f>IF(LEN('1&amp;2号构型'!#REF!)=9,"TRUE","FALSE")</f>
        <v>#REF!</v>
      </c>
      <c r="I549" s="2" t="e">
        <f>VALUE(MID('1&amp;2号构型'!#REF!,1,2))=VALUE(MID('1&amp;2号构型'!#REF!,5,2))</f>
        <v>#REF!</v>
      </c>
      <c r="J549" s="2" t="e">
        <f>IF(LEN('1&amp;2号构型'!#REF!)=14,"TRUE","FALSE")</f>
        <v>#REF!</v>
      </c>
      <c r="K549" s="2" t="e">
        <f>RIGHT('1&amp;2号构型'!#REF!,4)</f>
        <v>#REF!</v>
      </c>
    </row>
    <row r="550" spans="6:11">
      <c r="F550" t="e">
        <f>'1&amp;2号构型'!#REF!</f>
        <v>#REF!</v>
      </c>
      <c r="G550" s="2" t="e">
        <f>VLOOKUP('1&amp;2号构型'!#REF!,B:C,2,0)=VALUE(MID('1&amp;2号构型'!#REF!,6,2))</f>
        <v>#REF!</v>
      </c>
      <c r="H550" s="3" t="e">
        <f>IF(LEN('1&amp;2号构型'!#REF!)=9,"TRUE","FALSE")</f>
        <v>#REF!</v>
      </c>
      <c r="I550" s="2" t="e">
        <f>VALUE(MID('1&amp;2号构型'!#REF!,1,2))=VALUE(MID('1&amp;2号构型'!#REF!,5,2))</f>
        <v>#REF!</v>
      </c>
      <c r="J550" s="2" t="e">
        <f>IF(LEN('1&amp;2号构型'!#REF!)=14,"TRUE","FALSE")</f>
        <v>#REF!</v>
      </c>
      <c r="K550" s="2" t="e">
        <f>RIGHT('1&amp;2号构型'!#REF!,4)</f>
        <v>#REF!</v>
      </c>
    </row>
    <row r="551" spans="6:11">
      <c r="F551" t="e">
        <f>'1&amp;2号构型'!#REF!</f>
        <v>#REF!</v>
      </c>
      <c r="G551" s="2" t="e">
        <f>VLOOKUP('1&amp;2号构型'!#REF!,B:C,2,0)=VALUE(MID('1&amp;2号构型'!#REF!,6,2))</f>
        <v>#REF!</v>
      </c>
      <c r="H551" s="3" t="e">
        <f>IF(LEN('1&amp;2号构型'!#REF!)=9,"TRUE","FALSE")</f>
        <v>#REF!</v>
      </c>
      <c r="I551" s="2" t="e">
        <f>VALUE(MID('1&amp;2号构型'!#REF!,1,2))=VALUE(MID('1&amp;2号构型'!#REF!,5,2))</f>
        <v>#REF!</v>
      </c>
      <c r="J551" s="2" t="e">
        <f>IF(LEN('1&amp;2号构型'!#REF!)=14,"TRUE","FALSE")</f>
        <v>#REF!</v>
      </c>
      <c r="K551" s="2" t="e">
        <f>RIGHT('1&amp;2号构型'!#REF!,4)</f>
        <v>#REF!</v>
      </c>
    </row>
    <row r="552" spans="6:11">
      <c r="F552" t="e">
        <f>'1&amp;2号构型'!#REF!</f>
        <v>#REF!</v>
      </c>
      <c r="G552" s="2" t="e">
        <f>VLOOKUP('1&amp;2号构型'!#REF!,B:C,2,0)=VALUE(MID('1&amp;2号构型'!#REF!,6,2))</f>
        <v>#REF!</v>
      </c>
      <c r="H552" s="3" t="e">
        <f>IF(LEN('1&amp;2号构型'!#REF!)=9,"TRUE","FALSE")</f>
        <v>#REF!</v>
      </c>
      <c r="I552" s="2" t="e">
        <f>VALUE(MID('1&amp;2号构型'!#REF!,1,2))=VALUE(MID('1&amp;2号构型'!#REF!,5,2))</f>
        <v>#REF!</v>
      </c>
      <c r="J552" s="2" t="e">
        <f>IF(LEN('1&amp;2号构型'!#REF!)=14,"TRUE","FALSE")</f>
        <v>#REF!</v>
      </c>
      <c r="K552" s="2" t="e">
        <f>RIGHT('1&amp;2号构型'!#REF!,4)</f>
        <v>#REF!</v>
      </c>
    </row>
    <row r="553" spans="6:11">
      <c r="F553" t="str">
        <f>'1&amp;2号构型'!B361</f>
        <v>电驱系统1</v>
      </c>
      <c r="G553" s="2" t="b">
        <f>VLOOKUP('1&amp;2号构型'!F361,B:C,2,0)=VALUE(MID('1&amp;2号构型'!D361,6,2))</f>
        <v>1</v>
      </c>
      <c r="H553" s="3" t="str">
        <f>IF(LEN('1&amp;2号构型'!D361)=9,"TRUE","FALSE")</f>
        <v>TRUE</v>
      </c>
      <c r="I553" s="2" t="b">
        <f>VALUE(MID('1&amp;2号构型'!C361,1,2))=VALUE(MID('1&amp;2号构型'!A361,5,2))</f>
        <v>1</v>
      </c>
      <c r="J553" s="2" t="str">
        <f>IF(LEN('1&amp;2号构型'!C361)=14,"TRUE","FALSE")</f>
        <v>TRUE</v>
      </c>
      <c r="K553" s="2" t="str">
        <f>RIGHT('1&amp;2号构型'!C361,4)</f>
        <v>G900</v>
      </c>
    </row>
    <row r="554" spans="6:11">
      <c r="F554" t="str">
        <f>'1&amp;2号构型'!B362</f>
        <v>电驱系统2</v>
      </c>
      <c r="G554" s="2" t="b">
        <f>VLOOKUP('1&amp;2号构型'!F362,B:C,2,0)=VALUE(MID('1&amp;2号构型'!D362,6,2))</f>
        <v>1</v>
      </c>
      <c r="H554" s="3" t="str">
        <f>IF(LEN('1&amp;2号构型'!D362)=9,"TRUE","FALSE")</f>
        <v>TRUE</v>
      </c>
      <c r="I554" s="2" t="b">
        <f>VALUE(MID('1&amp;2号构型'!C362,1,2))=VALUE(MID('1&amp;2号构型'!A362,5,2))</f>
        <v>1</v>
      </c>
      <c r="J554" s="2" t="str">
        <f>IF(LEN('1&amp;2号构型'!C362)=14,"TRUE","FALSE")</f>
        <v>TRUE</v>
      </c>
      <c r="K554" s="2" t="str">
        <f>RIGHT('1&amp;2号构型'!C362,4)</f>
        <v>G900</v>
      </c>
    </row>
    <row r="555" spans="6:11">
      <c r="F555" t="str">
        <f>'1&amp;2号构型'!B363</f>
        <v>电驱系统3</v>
      </c>
      <c r="G555" s="2" t="b">
        <f>VLOOKUP('1&amp;2号构型'!F363,B:C,2,0)=VALUE(MID('1&amp;2号构型'!D363,6,2))</f>
        <v>1</v>
      </c>
      <c r="H555" s="3" t="str">
        <f>IF(LEN('1&amp;2号构型'!D363)=9,"TRUE","FALSE")</f>
        <v>TRUE</v>
      </c>
      <c r="I555" s="2" t="b">
        <f>VALUE(MID('1&amp;2号构型'!C363,1,2))=VALUE(MID('1&amp;2号构型'!A363,5,2))</f>
        <v>1</v>
      </c>
      <c r="J555" s="2" t="str">
        <f>IF(LEN('1&amp;2号构型'!C363)=14,"TRUE","FALSE")</f>
        <v>TRUE</v>
      </c>
      <c r="K555" s="2" t="str">
        <f>RIGHT('1&amp;2号构型'!C363,4)</f>
        <v>G900</v>
      </c>
    </row>
    <row r="556" spans="6:11">
      <c r="F556" t="str">
        <f>'1&amp;2号构型'!B364</f>
        <v>电驱系统4</v>
      </c>
      <c r="G556" s="2" t="b">
        <f>VLOOKUP('1&amp;2号构型'!F364,B:C,2,0)=VALUE(MID('1&amp;2号构型'!D364,6,2))</f>
        <v>1</v>
      </c>
      <c r="H556" s="3" t="str">
        <f>IF(LEN('1&amp;2号构型'!D364)=9,"TRUE","FALSE")</f>
        <v>TRUE</v>
      </c>
      <c r="I556" s="2" t="b">
        <f>VALUE(MID('1&amp;2号构型'!C364,1,2))=VALUE(MID('1&amp;2号构型'!A364,5,2))</f>
        <v>1</v>
      </c>
      <c r="J556" s="2" t="str">
        <f>IF(LEN('1&amp;2号构型'!C364)=14,"TRUE","FALSE")</f>
        <v>TRUE</v>
      </c>
      <c r="K556" s="2" t="str">
        <f>RIGHT('1&amp;2号构型'!C364,4)</f>
        <v>G900</v>
      </c>
    </row>
    <row r="557" spans="6:11">
      <c r="F557" t="str">
        <f>'1&amp;2号构型'!B365</f>
        <v>电驱系统5</v>
      </c>
      <c r="G557" s="2" t="b">
        <f>VLOOKUP('1&amp;2号构型'!F365,B:C,2,0)=VALUE(MID('1&amp;2号构型'!D365,6,2))</f>
        <v>1</v>
      </c>
      <c r="H557" s="3" t="str">
        <f>IF(LEN('1&amp;2号构型'!D365)=9,"TRUE","FALSE")</f>
        <v>TRUE</v>
      </c>
      <c r="I557" s="2" t="b">
        <f>VALUE(MID('1&amp;2号构型'!C365,1,2))=VALUE(MID('1&amp;2号构型'!A365,5,2))</f>
        <v>1</v>
      </c>
      <c r="J557" s="2" t="str">
        <f>IF(LEN('1&amp;2号构型'!C365)=14,"TRUE","FALSE")</f>
        <v>TRUE</v>
      </c>
      <c r="K557" s="2" t="str">
        <f>RIGHT('1&amp;2号构型'!C365,4)</f>
        <v>G900</v>
      </c>
    </row>
    <row r="558" spans="6:11">
      <c r="F558" t="str">
        <f>'1&amp;2号构型'!B366</f>
        <v>电驱系统6</v>
      </c>
      <c r="G558" s="2" t="b">
        <f>VLOOKUP('1&amp;2号构型'!F366,B:C,2,0)=VALUE(MID('1&amp;2号构型'!D366,6,2))</f>
        <v>1</v>
      </c>
      <c r="H558" s="3" t="str">
        <f>IF(LEN('1&amp;2号构型'!D366)=9,"TRUE","FALSE")</f>
        <v>TRUE</v>
      </c>
      <c r="I558" s="2" t="b">
        <f>VALUE(MID('1&amp;2号构型'!C366,1,2))=VALUE(MID('1&amp;2号构型'!A366,5,2))</f>
        <v>1</v>
      </c>
      <c r="J558" s="2" t="str">
        <f>IF(LEN('1&amp;2号构型'!C366)=14,"TRUE","FALSE")</f>
        <v>TRUE</v>
      </c>
      <c r="K558" s="2" t="str">
        <f>RIGHT('1&amp;2号构型'!C366,4)</f>
        <v>G900</v>
      </c>
    </row>
    <row r="559" spans="6:11">
      <c r="F559" t="str">
        <f>'1&amp;2号构型'!B367</f>
        <v>电驱系统7</v>
      </c>
      <c r="G559" s="2" t="b">
        <f>VLOOKUP('1&amp;2号构型'!F367,B:C,2,0)=VALUE(MID('1&amp;2号构型'!D367,6,2))</f>
        <v>1</v>
      </c>
      <c r="H559" s="3" t="str">
        <f>IF(LEN('1&amp;2号构型'!D367)=9,"TRUE","FALSE")</f>
        <v>TRUE</v>
      </c>
      <c r="I559" s="2" t="b">
        <f>VALUE(MID('1&amp;2号构型'!C367,1,2))=VALUE(MID('1&amp;2号构型'!A367,5,2))</f>
        <v>1</v>
      </c>
      <c r="J559" s="2" t="str">
        <f>IF(LEN('1&amp;2号构型'!C367)=14,"TRUE","FALSE")</f>
        <v>TRUE</v>
      </c>
      <c r="K559" s="2" t="str">
        <f>RIGHT('1&amp;2号构型'!C367,4)</f>
        <v>G900</v>
      </c>
    </row>
    <row r="560" spans="6:11">
      <c r="F560" t="str">
        <f>'1&amp;2号构型'!B368</f>
        <v>电驱系统8</v>
      </c>
      <c r="G560" s="2" t="b">
        <f>VLOOKUP('1&amp;2号构型'!F368,B:C,2,0)=VALUE(MID('1&amp;2号构型'!D368,6,2))</f>
        <v>1</v>
      </c>
      <c r="H560" s="3" t="str">
        <f>IF(LEN('1&amp;2号构型'!D368)=9,"TRUE","FALSE")</f>
        <v>TRUE</v>
      </c>
      <c r="I560" s="2" t="b">
        <f>VALUE(MID('1&amp;2号构型'!C368,1,2))=VALUE(MID('1&amp;2号构型'!A368,5,2))</f>
        <v>1</v>
      </c>
      <c r="J560" s="2" t="str">
        <f>IF(LEN('1&amp;2号构型'!C368)=14,"TRUE","FALSE")</f>
        <v>TRUE</v>
      </c>
      <c r="K560" s="2" t="str">
        <f>RIGHT('1&amp;2号构型'!C368,4)</f>
        <v>G900</v>
      </c>
    </row>
    <row r="561" spans="6:11">
      <c r="F561" t="str">
        <f>'1&amp;2号构型'!B369</f>
        <v>电驱系统9</v>
      </c>
      <c r="G561" s="2" t="b">
        <f>VLOOKUP('1&amp;2号构型'!F369,B:C,2,0)=VALUE(MID('1&amp;2号构型'!D369,6,2))</f>
        <v>1</v>
      </c>
      <c r="H561" s="3" t="str">
        <f>IF(LEN('1&amp;2号构型'!D369)=9,"TRUE","FALSE")</f>
        <v>TRUE</v>
      </c>
      <c r="I561" s="2" t="b">
        <f>VALUE(MID('1&amp;2号构型'!C369,1,2))=VALUE(MID('1&amp;2号构型'!A369,5,2))</f>
        <v>1</v>
      </c>
      <c r="J561" s="2" t="str">
        <f>IF(LEN('1&amp;2号构型'!C369)=14,"TRUE","FALSE")</f>
        <v>TRUE</v>
      </c>
      <c r="K561" s="2" t="str">
        <f>RIGHT('1&amp;2号构型'!C369,4)</f>
        <v>G900</v>
      </c>
    </row>
    <row r="562" spans="6:11">
      <c r="F562" t="str">
        <f>'1&amp;2号构型'!B370</f>
        <v>电驱系统10</v>
      </c>
      <c r="G562" s="2" t="b">
        <f>VLOOKUP('1&amp;2号构型'!F370,B:C,2,0)=VALUE(MID('1&amp;2号构型'!D370,6,2))</f>
        <v>1</v>
      </c>
      <c r="H562" s="3" t="str">
        <f>IF(LEN('1&amp;2号构型'!D370)=9,"TRUE","FALSE")</f>
        <v>TRUE</v>
      </c>
      <c r="I562" s="2" t="b">
        <f>VALUE(MID('1&amp;2号构型'!C370,1,2))=VALUE(MID('1&amp;2号构型'!A370,5,2))</f>
        <v>1</v>
      </c>
      <c r="J562" s="2" t="str">
        <f>IF(LEN('1&amp;2号构型'!C370)=14,"TRUE","FALSE")</f>
        <v>TRUE</v>
      </c>
      <c r="K562" s="2" t="str">
        <f>RIGHT('1&amp;2号构型'!C370,4)</f>
        <v>G900</v>
      </c>
    </row>
    <row r="563" spans="6:11">
      <c r="F563" t="str">
        <f>'1&amp;2号构型'!B371</f>
        <v>构型A动力电池（含BMS与继电器开关）1</v>
      </c>
      <c r="G563" s="2" t="b">
        <f>VLOOKUP('1&amp;2号构型'!F371,B:C,2,0)=VALUE(MID('1&amp;2号构型'!D371,6,2))</f>
        <v>1</v>
      </c>
      <c r="H563" s="3" t="str">
        <f>IF(LEN('1&amp;2号构型'!D371)=9,"TRUE","FALSE")</f>
        <v>TRUE</v>
      </c>
      <c r="I563" s="2" t="e">
        <f>VALUE(MID('1&amp;2号构型'!C371,1,2))=VALUE(MID('1&amp;2号构型'!A371,5,2))</f>
        <v>#REF!</v>
      </c>
      <c r="J563" s="2" t="e">
        <f>IF(LEN('1&amp;2号构型'!C371)=14,"TRUE","FALSE")</f>
        <v>#REF!</v>
      </c>
      <c r="K563" s="2" t="e">
        <f>RIGHT('1&amp;2号构型'!C371,4)</f>
        <v>#REF!</v>
      </c>
    </row>
    <row r="564" spans="6:11">
      <c r="F564" t="str">
        <f>'1&amp;2号构型'!B372</f>
        <v>构型A动力电池（含BMS与继电器开关）2</v>
      </c>
      <c r="G564" s="2" t="b">
        <f>VLOOKUP('1&amp;2号构型'!F372,B:C,2,0)=VALUE(MID('1&amp;2号构型'!D372,6,2))</f>
        <v>1</v>
      </c>
      <c r="H564" s="3" t="str">
        <f>IF(LEN('1&amp;2号构型'!D372)=9,"TRUE","FALSE")</f>
        <v>TRUE</v>
      </c>
      <c r="I564" s="2" t="e">
        <f>VALUE(MID('1&amp;2号构型'!C372,1,2))=VALUE(MID('1&amp;2号构型'!A372,5,2))</f>
        <v>#REF!</v>
      </c>
      <c r="J564" s="2" t="e">
        <f>IF(LEN('1&amp;2号构型'!C372)=14,"TRUE","FALSE")</f>
        <v>#REF!</v>
      </c>
      <c r="K564" s="2" t="e">
        <f>RIGHT('1&amp;2号构型'!C372,4)</f>
        <v>#REF!</v>
      </c>
    </row>
    <row r="565" spans="6:11">
      <c r="F565" t="str">
        <f>'1&amp;2号构型'!B373</f>
        <v>构型A动力电池（含BMS与继电器开关）3</v>
      </c>
      <c r="G565" s="2" t="b">
        <f>VLOOKUP('1&amp;2号构型'!F373,B:C,2,0)=VALUE(MID('1&amp;2号构型'!D373,6,2))</f>
        <v>1</v>
      </c>
      <c r="H565" s="3" t="str">
        <f>IF(LEN('1&amp;2号构型'!D373)=9,"TRUE","FALSE")</f>
        <v>TRUE</v>
      </c>
      <c r="I565" s="2" t="e">
        <f>VALUE(MID('1&amp;2号构型'!C373,1,2))=VALUE(MID('1&amp;2号构型'!A373,5,2))</f>
        <v>#REF!</v>
      </c>
      <c r="J565" s="2" t="e">
        <f>IF(LEN('1&amp;2号构型'!C373)=14,"TRUE","FALSE")</f>
        <v>#REF!</v>
      </c>
      <c r="K565" s="2" t="e">
        <f>RIGHT('1&amp;2号构型'!C373,4)</f>
        <v>#REF!</v>
      </c>
    </row>
    <row r="566" spans="6:11">
      <c r="F566" t="str">
        <f>'1&amp;2号构型'!B374</f>
        <v>构型A动力电池（含BMS与继电器开关）4</v>
      </c>
      <c r="G566" s="2" t="b">
        <f>VLOOKUP('1&amp;2号构型'!F374,B:C,2,0)=VALUE(MID('1&amp;2号构型'!D374,6,2))</f>
        <v>1</v>
      </c>
      <c r="H566" s="3" t="str">
        <f>IF(LEN('1&amp;2号构型'!D374)=9,"TRUE","FALSE")</f>
        <v>TRUE</v>
      </c>
      <c r="I566" s="2" t="e">
        <f>VALUE(MID('1&amp;2号构型'!C374,1,2))=VALUE(MID('1&amp;2号构型'!A374,5,2))</f>
        <v>#REF!</v>
      </c>
      <c r="J566" s="2" t="e">
        <f>IF(LEN('1&amp;2号构型'!C374)=14,"TRUE","FALSE")</f>
        <v>#REF!</v>
      </c>
      <c r="K566" s="2" t="e">
        <f>RIGHT('1&amp;2号构型'!C374,4)</f>
        <v>#REF!</v>
      </c>
    </row>
    <row r="567" spans="6:11">
      <c r="F567" t="str">
        <f>'1&amp;2号构型'!B375</f>
        <v>构型A动力电池（含BMS与继电器开关）5</v>
      </c>
      <c r="G567" s="2" t="b">
        <f>VLOOKUP('1&amp;2号构型'!F375,B:C,2,0)=VALUE(MID('1&amp;2号构型'!D375,6,2))</f>
        <v>1</v>
      </c>
      <c r="H567" s="3" t="str">
        <f>IF(LEN('1&amp;2号构型'!D375)=9,"TRUE","FALSE")</f>
        <v>TRUE</v>
      </c>
      <c r="I567" s="2" t="e">
        <f>VALUE(MID('1&amp;2号构型'!C375,1,2))=VALUE(MID('1&amp;2号构型'!A375,5,2))</f>
        <v>#REF!</v>
      </c>
      <c r="J567" s="2" t="e">
        <f>IF(LEN('1&amp;2号构型'!C375)=14,"TRUE","FALSE")</f>
        <v>#REF!</v>
      </c>
      <c r="K567" s="2" t="e">
        <f>RIGHT('1&amp;2号构型'!C375,4)</f>
        <v>#REF!</v>
      </c>
    </row>
    <row r="568" spans="6:11">
      <c r="F568" t="str">
        <f>'1&amp;2号构型'!B376</f>
        <v>构型A动力电池冷却系统</v>
      </c>
      <c r="G568" s="2" t="e">
        <f>VLOOKUP('1&amp;2号构型'!F376,B:C,2,0)=VALUE(MID('1&amp;2号构型'!D376,6,2))</f>
        <v>#N/A</v>
      </c>
      <c r="H568" s="3" t="str">
        <f>IF(LEN('1&amp;2号构型'!D376)=9,"TRUE","FALSE")</f>
        <v>TRUE</v>
      </c>
      <c r="I568" s="2" t="e">
        <f>VALUE(MID('1&amp;2号构型'!C376,1,2))=VALUE(MID('1&amp;2号构型'!A376,5,2))</f>
        <v>#VALUE!</v>
      </c>
      <c r="J568" s="2" t="str">
        <f>IF(LEN('1&amp;2号构型'!C376)=14,"TRUE","FALSE")</f>
        <v>FALSE</v>
      </c>
      <c r="K568" s="2" t="str">
        <f>RIGHT('1&amp;2号构型'!C376,4)</f>
        <v/>
      </c>
    </row>
    <row r="569" spans="6:11">
      <c r="F569" t="str">
        <f>'1&amp;2号构型'!B377</f>
        <v>800V电池包缓冲层1</v>
      </c>
      <c r="G569" s="2" t="b">
        <f>VLOOKUP('1&amp;2号构型'!F377,B:C,2,0)=VALUE(MID('1&amp;2号构型'!D377,6,2))</f>
        <v>1</v>
      </c>
      <c r="H569" s="3" t="str">
        <f>IF(LEN('1&amp;2号构型'!D377)=9,"TRUE","FALSE")</f>
        <v>TRUE</v>
      </c>
      <c r="I569" s="2" t="b">
        <f>VALUE(MID('1&amp;2号构型'!C377,1,2))=VALUE(MID('1&amp;2号构型'!A377,5,2))</f>
        <v>1</v>
      </c>
      <c r="J569" s="2" t="str">
        <f>IF(LEN('1&amp;2号构型'!C377)=14,"TRUE","FALSE")</f>
        <v>TRUE</v>
      </c>
      <c r="K569" s="2" t="str">
        <f>RIGHT('1&amp;2号构型'!C377,4)</f>
        <v>G200</v>
      </c>
    </row>
    <row r="570" spans="6:11">
      <c r="F570" t="str">
        <f>'1&amp;2号构型'!B378</f>
        <v>800V电池包缓冲层2</v>
      </c>
      <c r="G570" s="2" t="b">
        <f>VLOOKUP('1&amp;2号构型'!F378,B:C,2,0)=VALUE(MID('1&amp;2号构型'!D378,6,2))</f>
        <v>1</v>
      </c>
      <c r="H570" s="3" t="str">
        <f>IF(LEN('1&amp;2号构型'!D378)=9,"TRUE","FALSE")</f>
        <v>TRUE</v>
      </c>
      <c r="I570" s="2" t="b">
        <f>VALUE(MID('1&amp;2号构型'!C378,1,2))=VALUE(MID('1&amp;2号构型'!A378,5,2))</f>
        <v>1</v>
      </c>
      <c r="J570" s="2" t="str">
        <f>IF(LEN('1&amp;2号构型'!C378)=14,"TRUE","FALSE")</f>
        <v>TRUE</v>
      </c>
      <c r="K570" s="2" t="str">
        <f>RIGHT('1&amp;2号构型'!C378,4)</f>
        <v>G200</v>
      </c>
    </row>
    <row r="571" spans="6:11">
      <c r="F571" t="str">
        <f>'1&amp;2号构型'!B379</f>
        <v>800V电池包缓冲层3</v>
      </c>
      <c r="G571" s="2" t="b">
        <f>VLOOKUP('1&amp;2号构型'!F379,B:C,2,0)=VALUE(MID('1&amp;2号构型'!D379,6,2))</f>
        <v>1</v>
      </c>
      <c r="H571" s="3" t="str">
        <f>IF(LEN('1&amp;2号构型'!D379)=9,"TRUE","FALSE")</f>
        <v>TRUE</v>
      </c>
      <c r="I571" s="2" t="b">
        <f>VALUE(MID('1&amp;2号构型'!C379,1,2))=VALUE(MID('1&amp;2号构型'!A379,5,2))</f>
        <v>1</v>
      </c>
      <c r="J571" s="2" t="str">
        <f>IF(LEN('1&amp;2号构型'!C379)=14,"TRUE","FALSE")</f>
        <v>TRUE</v>
      </c>
      <c r="K571" s="2" t="str">
        <f>RIGHT('1&amp;2号构型'!C379,4)</f>
        <v>G200</v>
      </c>
    </row>
    <row r="572" spans="6:11">
      <c r="F572" t="str">
        <f>'1&amp;2号构型'!B380</f>
        <v>270V电池包缓冲层</v>
      </c>
      <c r="G572" s="2" t="b">
        <f>VLOOKUP('1&amp;2号构型'!F380,B:C,2,0)=VALUE(MID('1&amp;2号构型'!D380,6,2))</f>
        <v>1</v>
      </c>
      <c r="H572" s="3" t="str">
        <f>IF(LEN('1&amp;2号构型'!D380)=9,"TRUE","FALSE")</f>
        <v>TRUE</v>
      </c>
      <c r="I572" s="2" t="b">
        <f>VALUE(MID('1&amp;2号构型'!C380,1,2))=VALUE(MID('1&amp;2号构型'!A380,5,2))</f>
        <v>0</v>
      </c>
      <c r="J572" s="2" t="str">
        <f>IF(LEN('1&amp;2号构型'!C380)=14,"TRUE","FALSE")</f>
        <v>TRUE</v>
      </c>
      <c r="K572" s="2" t="str">
        <f>RIGHT('1&amp;2号构型'!C380,4)</f>
        <v>G200</v>
      </c>
    </row>
    <row r="573" spans="6:11">
      <c r="F573" t="str">
        <f>'1&amp;2号构型'!B381</f>
        <v>800V电池包缓冲层4</v>
      </c>
      <c r="G573" s="2" t="b">
        <f>VLOOKUP('1&amp;2号构型'!F381,B:C,2,0)=VALUE(MID('1&amp;2号构型'!D381,6,2))</f>
        <v>1</v>
      </c>
      <c r="H573" s="3" t="str">
        <f>IF(LEN('1&amp;2号构型'!D381)=9,"TRUE","FALSE")</f>
        <v>TRUE</v>
      </c>
      <c r="I573" s="2" t="b">
        <f>VALUE(MID('1&amp;2号构型'!C381,1,2))=VALUE(MID('1&amp;2号构型'!A381,5,2))</f>
        <v>1</v>
      </c>
      <c r="J573" s="2" t="str">
        <f>IF(LEN('1&amp;2号构型'!C381)=14,"TRUE","FALSE")</f>
        <v>TRUE</v>
      </c>
      <c r="K573" s="2" t="str">
        <f>RIGHT('1&amp;2号构型'!C381,4)</f>
        <v>G200</v>
      </c>
    </row>
    <row r="574" spans="6:11">
      <c r="F574" t="str">
        <f>'1&amp;2号构型'!B382</f>
        <v>800V电池包缓冲层5</v>
      </c>
      <c r="G574" s="2" t="b">
        <f>VLOOKUP('1&amp;2号构型'!F382,B:C,2,0)=VALUE(MID('1&amp;2号构型'!D382,6,2))</f>
        <v>1</v>
      </c>
      <c r="H574" s="3" t="str">
        <f>IF(LEN('1&amp;2号构型'!D382)=9,"TRUE","FALSE")</f>
        <v>TRUE</v>
      </c>
      <c r="I574" s="2" t="b">
        <f>VALUE(MID('1&amp;2号构型'!C382,1,2))=VALUE(MID('1&amp;2号构型'!A382,5,2))</f>
        <v>1</v>
      </c>
      <c r="J574" s="2" t="str">
        <f>IF(LEN('1&amp;2号构型'!C382)=14,"TRUE","FALSE")</f>
        <v>TRUE</v>
      </c>
      <c r="K574" s="2" t="str">
        <f>RIGHT('1&amp;2号构型'!C382,4)</f>
        <v>G200</v>
      </c>
    </row>
    <row r="575" spans="6:11">
      <c r="F575" t="str">
        <f>'1&amp;2号构型'!B383</f>
        <v>涵道风扇1（金属）</v>
      </c>
      <c r="G575" s="2" t="b">
        <f>VLOOKUP('1&amp;2号构型'!F383,B:C,2,0)=VALUE(MID('1&amp;2号构型'!D383,6,2))</f>
        <v>1</v>
      </c>
      <c r="H575" s="3" t="str">
        <f>IF(LEN('1&amp;2号构型'!D383)=9,"TRUE","FALSE")</f>
        <v>TRUE</v>
      </c>
      <c r="I575" s="2" t="b">
        <f>VALUE(MID('1&amp;2号构型'!C383,1,2))=VALUE(MID('1&amp;2号构型'!A383,5,2))</f>
        <v>1</v>
      </c>
      <c r="J575" s="2" t="str">
        <f>IF(LEN('1&amp;2号构型'!C383)=14,"TRUE","FALSE")</f>
        <v>TRUE</v>
      </c>
      <c r="K575" s="2" t="str">
        <f>RIGHT('1&amp;2号构型'!C383,4)</f>
        <v>G400</v>
      </c>
    </row>
    <row r="576" spans="6:11">
      <c r="F576" t="str">
        <f>'1&amp;2号构型'!B384</f>
        <v>涵道风扇2（金属）</v>
      </c>
      <c r="G576" s="2" t="b">
        <f>VLOOKUP('1&amp;2号构型'!F384,B:C,2,0)=VALUE(MID('1&amp;2号构型'!D384,6,2))</f>
        <v>1</v>
      </c>
      <c r="H576" s="3" t="str">
        <f>IF(LEN('1&amp;2号构型'!D384)=9,"TRUE","FALSE")</f>
        <v>TRUE</v>
      </c>
      <c r="I576" s="2" t="b">
        <f>VALUE(MID('1&amp;2号构型'!C384,1,2))=VALUE(MID('1&amp;2号构型'!A384,5,2))</f>
        <v>1</v>
      </c>
      <c r="J576" s="2" t="str">
        <f>IF(LEN('1&amp;2号构型'!C384)=14,"TRUE","FALSE")</f>
        <v>TRUE</v>
      </c>
      <c r="K576" s="2" t="str">
        <f>RIGHT('1&amp;2号构型'!C384,4)</f>
        <v>G400</v>
      </c>
    </row>
    <row r="577" spans="6:11">
      <c r="F577" t="str">
        <f>'1&amp;2号构型'!B385</f>
        <v>涵道风扇3（金属）</v>
      </c>
      <c r="G577" s="2" t="b">
        <f>VLOOKUP('1&amp;2号构型'!F385,B:C,2,0)=VALUE(MID('1&amp;2号构型'!D385,6,2))</f>
        <v>1</v>
      </c>
      <c r="H577" s="3" t="str">
        <f>IF(LEN('1&amp;2号构型'!D385)=9,"TRUE","FALSE")</f>
        <v>TRUE</v>
      </c>
      <c r="I577" s="2" t="b">
        <f>VALUE(MID('1&amp;2号构型'!C385,1,2))=VALUE(MID('1&amp;2号构型'!A385,5,2))</f>
        <v>1</v>
      </c>
      <c r="J577" s="2" t="str">
        <f>IF(LEN('1&amp;2号构型'!C385)=14,"TRUE","FALSE")</f>
        <v>TRUE</v>
      </c>
      <c r="K577" s="2" t="str">
        <f>RIGHT('1&amp;2号构型'!C385,4)</f>
        <v>G400</v>
      </c>
    </row>
    <row r="578" spans="6:11">
      <c r="F578" t="str">
        <f>'1&amp;2号构型'!B386</f>
        <v>涵道风扇4（金属）</v>
      </c>
      <c r="G578" s="2" t="b">
        <f>VLOOKUP('1&amp;2号构型'!F386,B:C,2,0)=VALUE(MID('1&amp;2号构型'!D386,6,2))</f>
        <v>1</v>
      </c>
      <c r="H578" s="3" t="str">
        <f>IF(LEN('1&amp;2号构型'!D386)=9,"TRUE","FALSE")</f>
        <v>TRUE</v>
      </c>
      <c r="I578" s="2" t="b">
        <f>VALUE(MID('1&amp;2号构型'!C386,1,2))=VALUE(MID('1&amp;2号构型'!A386,5,2))</f>
        <v>1</v>
      </c>
      <c r="J578" s="2" t="str">
        <f>IF(LEN('1&amp;2号构型'!C386)=14,"TRUE","FALSE")</f>
        <v>TRUE</v>
      </c>
      <c r="K578" s="2" t="str">
        <f>RIGHT('1&amp;2号构型'!C386,4)</f>
        <v>G400</v>
      </c>
    </row>
    <row r="579" spans="6:11">
      <c r="F579" t="str">
        <f>'1&amp;2号构型'!B387</f>
        <v>涵道风扇6（金属）</v>
      </c>
      <c r="G579" s="2" t="b">
        <f>VLOOKUP('1&amp;2号构型'!F387,B:C,2,0)=VALUE(MID('1&amp;2号构型'!D387,6,2))</f>
        <v>1</v>
      </c>
      <c r="H579" s="3" t="str">
        <f>IF(LEN('1&amp;2号构型'!D387)=9,"TRUE","FALSE")</f>
        <v>TRUE</v>
      </c>
      <c r="I579" s="2" t="b">
        <f>VALUE(MID('1&amp;2号构型'!C387,1,2))=VALUE(MID('1&amp;2号构型'!A387,5,2))</f>
        <v>1</v>
      </c>
      <c r="J579" s="2" t="str">
        <f>IF(LEN('1&amp;2号构型'!C387)=14,"TRUE","FALSE")</f>
        <v>TRUE</v>
      </c>
      <c r="K579" s="2" t="str">
        <f>RIGHT('1&amp;2号构型'!C387,4)</f>
        <v>G400</v>
      </c>
    </row>
    <row r="580" spans="6:11">
      <c r="F580" t="str">
        <f>'1&amp;2号构型'!B388</f>
        <v>涵道风扇7（金属）</v>
      </c>
      <c r="G580" s="2" t="b">
        <f>VLOOKUP('1&amp;2号构型'!F388,B:C,2,0)=VALUE(MID('1&amp;2号构型'!D388,6,2))</f>
        <v>1</v>
      </c>
      <c r="H580" s="3" t="str">
        <f>IF(LEN('1&amp;2号构型'!D388)=9,"TRUE","FALSE")</f>
        <v>TRUE</v>
      </c>
      <c r="I580" s="2" t="b">
        <f>VALUE(MID('1&amp;2号构型'!C388,1,2))=VALUE(MID('1&amp;2号构型'!A388,5,2))</f>
        <v>1</v>
      </c>
      <c r="J580" s="2" t="str">
        <f>IF(LEN('1&amp;2号构型'!C388)=14,"TRUE","FALSE")</f>
        <v>TRUE</v>
      </c>
      <c r="K580" s="2" t="str">
        <f>RIGHT('1&amp;2号构型'!C388,4)</f>
        <v>G400</v>
      </c>
    </row>
    <row r="581" spans="6:11">
      <c r="F581" t="str">
        <f>'1&amp;2号构型'!B389</f>
        <v>涵道风扇8（金属）</v>
      </c>
      <c r="G581" s="2" t="b">
        <f>VLOOKUP('1&amp;2号构型'!F389,B:C,2,0)=VALUE(MID('1&amp;2号构型'!D389,6,2))</f>
        <v>1</v>
      </c>
      <c r="H581" s="3" t="str">
        <f>IF(LEN('1&amp;2号构型'!D389)=9,"TRUE","FALSE")</f>
        <v>TRUE</v>
      </c>
      <c r="I581" s="2" t="b">
        <f>VALUE(MID('1&amp;2号构型'!C389,1,2))=VALUE(MID('1&amp;2号构型'!A389,5,2))</f>
        <v>1</v>
      </c>
      <c r="J581" s="2" t="str">
        <f>IF(LEN('1&amp;2号构型'!C389)=14,"TRUE","FALSE")</f>
        <v>TRUE</v>
      </c>
      <c r="K581" s="2" t="str">
        <f>RIGHT('1&amp;2号构型'!C389,4)</f>
        <v>G400</v>
      </c>
    </row>
    <row r="582" spans="6:11">
      <c r="F582" t="str">
        <f>'1&amp;2号构型'!B390</f>
        <v>涵道风扇9（金属）</v>
      </c>
      <c r="G582" s="2" t="b">
        <f>VLOOKUP('1&amp;2号构型'!F390,B:C,2,0)=VALUE(MID('1&amp;2号构型'!D390,6,2))</f>
        <v>1</v>
      </c>
      <c r="H582" s="3" t="str">
        <f>IF(LEN('1&amp;2号构型'!D390)=9,"TRUE","FALSE")</f>
        <v>TRUE</v>
      </c>
      <c r="I582" s="2" t="b">
        <f>VALUE(MID('1&amp;2号构型'!C390,1,2))=VALUE(MID('1&amp;2号构型'!A390,5,2))</f>
        <v>1</v>
      </c>
      <c r="J582" s="2" t="str">
        <f>IF(LEN('1&amp;2号构型'!C390)=14,"TRUE","FALSE")</f>
        <v>TRUE</v>
      </c>
      <c r="K582" s="2" t="str">
        <f>RIGHT('1&amp;2号构型'!C390,4)</f>
        <v>G400</v>
      </c>
    </row>
    <row r="583" spans="6:11">
      <c r="F583" t="str">
        <f>'1&amp;2号构型'!B391</f>
        <v>涵道风扇5（金属）</v>
      </c>
      <c r="G583" s="2" t="b">
        <f>VLOOKUP('1&amp;2号构型'!F391,B:C,2,0)=VALUE(MID('1&amp;2号构型'!D391,6,2))</f>
        <v>1</v>
      </c>
      <c r="H583" s="3" t="str">
        <f>IF(LEN('1&amp;2号构型'!D391)=9,"TRUE","FALSE")</f>
        <v>TRUE</v>
      </c>
      <c r="I583" s="2" t="b">
        <f>VALUE(MID('1&amp;2号构型'!C391,1,2))=VALUE(MID('1&amp;2号构型'!A391,5,2))</f>
        <v>1</v>
      </c>
      <c r="J583" s="2" t="str">
        <f>IF(LEN('1&amp;2号构型'!C391)=14,"TRUE","FALSE")</f>
        <v>TRUE</v>
      </c>
      <c r="K583" s="2" t="str">
        <f>RIGHT('1&amp;2号构型'!C391,4)</f>
        <v>G400</v>
      </c>
    </row>
    <row r="584" spans="6:11">
      <c r="F584" t="str">
        <f>'1&amp;2号构型'!B392</f>
        <v>涵道风扇10（金属）</v>
      </c>
      <c r="G584" s="2" t="b">
        <f>VLOOKUP('1&amp;2号构型'!F392,B:C,2,0)=VALUE(MID('1&amp;2号构型'!D392,6,2))</f>
        <v>1</v>
      </c>
      <c r="H584" s="3" t="str">
        <f>IF(LEN('1&amp;2号构型'!D392)=9,"TRUE","FALSE")</f>
        <v>TRUE</v>
      </c>
      <c r="I584" s="2" t="b">
        <f>VALUE(MID('1&amp;2号构型'!C392,1,2))=VALUE(MID('1&amp;2号构型'!A392,5,2))</f>
        <v>1</v>
      </c>
      <c r="J584" s="2" t="str">
        <f>IF(LEN('1&amp;2号构型'!C392)=14,"TRUE","FALSE")</f>
        <v>TRUE</v>
      </c>
      <c r="K584" s="2" t="str">
        <f>RIGHT('1&amp;2号构型'!C392,4)</f>
        <v>G400</v>
      </c>
    </row>
    <row r="585" spans="6:11">
      <c r="F585" t="str">
        <f>'1&amp;2号构型'!B393</f>
        <v>短舱单元2</v>
      </c>
      <c r="G585" s="2" t="b">
        <f>VLOOKUP('1&amp;2号构型'!F393,B:C,2,0)=VALUE(MID('1&amp;2号构型'!D393,6,2))</f>
        <v>1</v>
      </c>
      <c r="H585" s="3" t="str">
        <f>IF(LEN('1&amp;2号构型'!D393)=9,"TRUE","FALSE")</f>
        <v>TRUE</v>
      </c>
      <c r="I585" s="2" t="b">
        <f>VALUE(MID('1&amp;2号构型'!C393,1,2))=VALUE(MID('1&amp;2号构型'!A393,5,2))</f>
        <v>1</v>
      </c>
      <c r="J585" s="2" t="str">
        <f>IF(LEN('1&amp;2号构型'!C393)=14,"TRUE","FALSE")</f>
        <v>TRUE</v>
      </c>
      <c r="K585" s="2" t="str">
        <f>RIGHT('1&amp;2号构型'!C393,4)</f>
        <v>G200</v>
      </c>
    </row>
    <row r="586" spans="6:11">
      <c r="F586" t="str">
        <f>'1&amp;2号构型'!B394</f>
        <v>短舱单元3</v>
      </c>
      <c r="G586" s="2" t="b">
        <f>VLOOKUP('1&amp;2号构型'!F394,B:C,2,0)=VALUE(MID('1&amp;2号构型'!D394,6,2))</f>
        <v>1</v>
      </c>
      <c r="H586" s="3" t="str">
        <f>IF(LEN('1&amp;2号构型'!D394)=9,"TRUE","FALSE")</f>
        <v>TRUE</v>
      </c>
      <c r="I586" s="2" t="b">
        <f>VALUE(MID('1&amp;2号构型'!C394,1,2))=VALUE(MID('1&amp;2号构型'!A394,5,2))</f>
        <v>1</v>
      </c>
      <c r="J586" s="2" t="str">
        <f>IF(LEN('1&amp;2号构型'!C394)=14,"TRUE","FALSE")</f>
        <v>TRUE</v>
      </c>
      <c r="K586" s="2" t="str">
        <f>RIGHT('1&amp;2号构型'!C394,4)</f>
        <v>G200</v>
      </c>
    </row>
    <row r="587" spans="6:11">
      <c r="F587" t="str">
        <f>'1&amp;2号构型'!B395</f>
        <v>短舱单元4</v>
      </c>
      <c r="G587" s="2" t="b">
        <f>VLOOKUP('1&amp;2号构型'!F395,B:C,2,0)=VALUE(MID('1&amp;2号构型'!D395,6,2))</f>
        <v>1</v>
      </c>
      <c r="H587" s="3" t="str">
        <f>IF(LEN('1&amp;2号构型'!D395)=9,"TRUE","FALSE")</f>
        <v>TRUE</v>
      </c>
      <c r="I587" s="2" t="b">
        <f>VALUE(MID('1&amp;2号构型'!C395,1,2))=VALUE(MID('1&amp;2号构型'!A395,5,2))</f>
        <v>1</v>
      </c>
      <c r="J587" s="2" t="str">
        <f>IF(LEN('1&amp;2号构型'!C395)=14,"TRUE","FALSE")</f>
        <v>TRUE</v>
      </c>
      <c r="K587" s="2" t="str">
        <f>RIGHT('1&amp;2号构型'!C395,4)</f>
        <v>G200</v>
      </c>
    </row>
    <row r="588" spans="6:11">
      <c r="F588" t="str">
        <f>'1&amp;2号构型'!B396</f>
        <v>短舱单元7</v>
      </c>
      <c r="G588" s="2" t="b">
        <f>VLOOKUP('1&amp;2号构型'!F396,B:C,2,0)=VALUE(MID('1&amp;2号构型'!D396,6,2))</f>
        <v>1</v>
      </c>
      <c r="H588" s="3" t="str">
        <f>IF(LEN('1&amp;2号构型'!D396)=9,"TRUE","FALSE")</f>
        <v>TRUE</v>
      </c>
      <c r="I588" s="2" t="b">
        <f>VALUE(MID('1&amp;2号构型'!C396,1,2))=VALUE(MID('1&amp;2号构型'!A396,5,2))</f>
        <v>1</v>
      </c>
      <c r="J588" s="2" t="str">
        <f>IF(LEN('1&amp;2号构型'!C396)=14,"TRUE","FALSE")</f>
        <v>TRUE</v>
      </c>
      <c r="K588" s="2" t="str">
        <f>RIGHT('1&amp;2号构型'!C396,4)</f>
        <v>G200</v>
      </c>
    </row>
    <row r="589" spans="6:11">
      <c r="F589" t="str">
        <f>'1&amp;2号构型'!B397</f>
        <v>短舱单元8</v>
      </c>
      <c r="G589" s="2" t="b">
        <f>VLOOKUP('1&amp;2号构型'!F397,B:C,2,0)=VALUE(MID('1&amp;2号构型'!D397,6,2))</f>
        <v>1</v>
      </c>
      <c r="H589" s="3" t="str">
        <f>IF(LEN('1&amp;2号构型'!D397)=9,"TRUE","FALSE")</f>
        <v>TRUE</v>
      </c>
      <c r="I589" s="2" t="b">
        <f>VALUE(MID('1&amp;2号构型'!C397,1,2))=VALUE(MID('1&amp;2号构型'!A397,5,2))</f>
        <v>1</v>
      </c>
      <c r="J589" s="2" t="str">
        <f>IF(LEN('1&amp;2号构型'!C397)=14,"TRUE","FALSE")</f>
        <v>TRUE</v>
      </c>
      <c r="K589" s="2" t="str">
        <f>RIGHT('1&amp;2号构型'!C397,4)</f>
        <v>G200</v>
      </c>
    </row>
    <row r="590" spans="6:11">
      <c r="F590" t="str">
        <f>'1&amp;2号构型'!B398</f>
        <v>短舱单元9</v>
      </c>
      <c r="G590" s="2" t="b">
        <f>VLOOKUP('1&amp;2号构型'!F398,B:C,2,0)=VALUE(MID('1&amp;2号构型'!D398,6,2))</f>
        <v>1</v>
      </c>
      <c r="H590" s="3" t="str">
        <f>IF(LEN('1&amp;2号构型'!D398)=9,"TRUE","FALSE")</f>
        <v>TRUE</v>
      </c>
      <c r="I590" s="2" t="b">
        <f>VALUE(MID('1&amp;2号构型'!C398,1,2))=VALUE(MID('1&amp;2号构型'!A398,5,2))</f>
        <v>1</v>
      </c>
      <c r="J590" s="2" t="str">
        <f>IF(LEN('1&amp;2号构型'!C398)=14,"TRUE","FALSE")</f>
        <v>TRUE</v>
      </c>
      <c r="K590" s="2" t="str">
        <f>RIGHT('1&amp;2号构型'!C398,4)</f>
        <v>G200</v>
      </c>
    </row>
    <row r="591" spans="6:11">
      <c r="F591" t="str">
        <f>'1&amp;2号构型'!B399</f>
        <v>短舱单元1</v>
      </c>
      <c r="G591" s="2" t="b">
        <f>VLOOKUP('1&amp;2号构型'!F399,B:C,2,0)=VALUE(MID('1&amp;2号构型'!D399,6,2))</f>
        <v>1</v>
      </c>
      <c r="H591" s="3" t="str">
        <f>IF(LEN('1&amp;2号构型'!D399)=9,"TRUE","FALSE")</f>
        <v>TRUE</v>
      </c>
      <c r="I591" s="2" t="b">
        <f>VALUE(MID('1&amp;2号构型'!C399,1,2))=VALUE(MID('1&amp;2号构型'!A399,5,2))</f>
        <v>1</v>
      </c>
      <c r="J591" s="2" t="str">
        <f>IF(LEN('1&amp;2号构型'!C399)=14,"TRUE","FALSE")</f>
        <v>TRUE</v>
      </c>
      <c r="K591" s="2" t="str">
        <f>RIGHT('1&amp;2号构型'!C399,4)</f>
        <v>G200</v>
      </c>
    </row>
    <row r="592" spans="6:11">
      <c r="F592" t="str">
        <f>'1&amp;2号构型'!B400</f>
        <v>短舱单元6</v>
      </c>
      <c r="G592" s="2" t="b">
        <f>VLOOKUP('1&amp;2号构型'!F400,B:C,2,0)=VALUE(MID('1&amp;2号构型'!D400,6,2))</f>
        <v>1</v>
      </c>
      <c r="H592" s="3" t="str">
        <f>IF(LEN('1&amp;2号构型'!D400)=9,"TRUE","FALSE")</f>
        <v>TRUE</v>
      </c>
      <c r="I592" s="2" t="b">
        <f>VALUE(MID('1&amp;2号构型'!C400,1,2))=VALUE(MID('1&amp;2号构型'!A400,5,2))</f>
        <v>1</v>
      </c>
      <c r="J592" s="2" t="str">
        <f>IF(LEN('1&amp;2号构型'!C400)=14,"TRUE","FALSE")</f>
        <v>TRUE</v>
      </c>
      <c r="K592" s="2" t="str">
        <f>RIGHT('1&amp;2号构型'!C400,4)</f>
        <v>G200</v>
      </c>
    </row>
    <row r="593" spans="6:11">
      <c r="F593" t="str">
        <f>'1&amp;2号构型'!B401</f>
        <v>短舱单元5</v>
      </c>
      <c r="G593" s="2" t="b">
        <f>VLOOKUP('1&amp;2号构型'!F401,B:C,2,0)=VALUE(MID('1&amp;2号构型'!D401,6,2))</f>
        <v>1</v>
      </c>
      <c r="H593" s="3" t="str">
        <f>IF(LEN('1&amp;2号构型'!D401)=9,"TRUE","FALSE")</f>
        <v>TRUE</v>
      </c>
      <c r="I593" s="2" t="b">
        <f>VALUE(MID('1&amp;2号构型'!C401,1,2))=VALUE(MID('1&amp;2号构型'!A401,5,2))</f>
        <v>1</v>
      </c>
      <c r="J593" s="2" t="str">
        <f>IF(LEN('1&amp;2号构型'!C401)=14,"TRUE","FALSE")</f>
        <v>TRUE</v>
      </c>
      <c r="K593" s="2" t="str">
        <f>RIGHT('1&amp;2号构型'!C401,4)</f>
        <v>G200</v>
      </c>
    </row>
    <row r="594" spans="6:11">
      <c r="F594" t="str">
        <f>'1&amp;2号构型'!B402</f>
        <v>短舱单元10</v>
      </c>
      <c r="G594" s="2" t="b">
        <f>VLOOKUP('1&amp;2号构型'!F402,B:C,2,0)=VALUE(MID('1&amp;2号构型'!D402,6,2))</f>
        <v>1</v>
      </c>
      <c r="H594" s="3" t="str">
        <f>IF(LEN('1&amp;2号构型'!D402)=9,"TRUE","FALSE")</f>
        <v>TRUE</v>
      </c>
      <c r="I594" s="2" t="b">
        <f>VALUE(MID('1&amp;2号构型'!C402,1,2))=VALUE(MID('1&amp;2号构型'!A402,5,2))</f>
        <v>1</v>
      </c>
      <c r="J594" s="2" t="str">
        <f>IF(LEN('1&amp;2号构型'!C402)=14,"TRUE","FALSE")</f>
        <v>TRUE</v>
      </c>
      <c r="K594" s="2" t="str">
        <f>RIGHT('1&amp;2号构型'!C402,4)</f>
        <v>G200</v>
      </c>
    </row>
    <row r="595" spans="6:11">
      <c r="F595" t="str">
        <f>'1&amp;2号构型'!B403</f>
        <v>尾锥1</v>
      </c>
      <c r="G595" s="2" t="b">
        <f>VLOOKUP('1&amp;2号构型'!F403,B:C,2,0)=VALUE(MID('1&amp;2号构型'!D403,6,2))</f>
        <v>1</v>
      </c>
      <c r="H595" s="3" t="str">
        <f>IF(LEN('1&amp;2号构型'!D403)=9,"TRUE","FALSE")</f>
        <v>TRUE</v>
      </c>
      <c r="I595" s="2" t="b">
        <f>VALUE(MID('1&amp;2号构型'!C403,1,2))=VALUE(MID('1&amp;2号构型'!A403,5,2))</f>
        <v>1</v>
      </c>
      <c r="J595" s="2" t="str">
        <f>IF(LEN('1&amp;2号构型'!C403)=14,"TRUE","FALSE")</f>
        <v>TRUE</v>
      </c>
      <c r="K595" s="2" t="str">
        <f>RIGHT('1&amp;2号构型'!C403,4)</f>
        <v>G700</v>
      </c>
    </row>
    <row r="596" spans="6:11">
      <c r="F596" t="str">
        <f>'1&amp;2号构型'!B404</f>
        <v>尾锥2</v>
      </c>
      <c r="G596" s="2" t="b">
        <f>VLOOKUP('1&amp;2号构型'!F404,B:C,2,0)=VALUE(MID('1&amp;2号构型'!D404,6,2))</f>
        <v>1</v>
      </c>
      <c r="H596" s="3" t="str">
        <f>IF(LEN('1&amp;2号构型'!D404)=9,"TRUE","FALSE")</f>
        <v>TRUE</v>
      </c>
      <c r="I596" s="2" t="b">
        <f>VALUE(MID('1&amp;2号构型'!C404,1,2))=VALUE(MID('1&amp;2号构型'!A404,5,2))</f>
        <v>1</v>
      </c>
      <c r="J596" s="2" t="str">
        <f>IF(LEN('1&amp;2号构型'!C404)=14,"TRUE","FALSE")</f>
        <v>TRUE</v>
      </c>
      <c r="K596" s="2" t="str">
        <f>RIGHT('1&amp;2号构型'!C404,4)</f>
        <v>G700</v>
      </c>
    </row>
    <row r="597" spans="6:11">
      <c r="F597" t="str">
        <f>'1&amp;2号构型'!B405</f>
        <v>尾锥3</v>
      </c>
      <c r="G597" s="2" t="b">
        <f>VLOOKUP('1&amp;2号构型'!F405,B:C,2,0)=VALUE(MID('1&amp;2号构型'!D405,6,2))</f>
        <v>1</v>
      </c>
      <c r="H597" s="3" t="str">
        <f>IF(LEN('1&amp;2号构型'!D405)=9,"TRUE","FALSE")</f>
        <v>TRUE</v>
      </c>
      <c r="I597" s="2" t="b">
        <f>VALUE(MID('1&amp;2号构型'!C405,1,2))=VALUE(MID('1&amp;2号构型'!A405,5,2))</f>
        <v>1</v>
      </c>
      <c r="J597" s="2" t="str">
        <f>IF(LEN('1&amp;2号构型'!C405)=14,"TRUE","FALSE")</f>
        <v>TRUE</v>
      </c>
      <c r="K597" s="2" t="str">
        <f>RIGHT('1&amp;2号构型'!C405,4)</f>
        <v>G700</v>
      </c>
    </row>
    <row r="598" spans="6:11">
      <c r="F598" t="str">
        <f>'1&amp;2号构型'!B406</f>
        <v>尾锥4</v>
      </c>
      <c r="G598" s="2" t="b">
        <f>VLOOKUP('1&amp;2号构型'!F406,B:C,2,0)=VALUE(MID('1&amp;2号构型'!D406,6,2))</f>
        <v>1</v>
      </c>
      <c r="H598" s="3" t="str">
        <f>IF(LEN('1&amp;2号构型'!D406)=9,"TRUE","FALSE")</f>
        <v>TRUE</v>
      </c>
      <c r="I598" s="2" t="b">
        <f>VALUE(MID('1&amp;2号构型'!C406,1,2))=VALUE(MID('1&amp;2号构型'!A406,5,2))</f>
        <v>1</v>
      </c>
      <c r="J598" s="2" t="str">
        <f>IF(LEN('1&amp;2号构型'!C406)=14,"TRUE","FALSE")</f>
        <v>TRUE</v>
      </c>
      <c r="K598" s="2" t="str">
        <f>RIGHT('1&amp;2号构型'!C406,4)</f>
        <v>G700</v>
      </c>
    </row>
    <row r="599" spans="6:11">
      <c r="F599" t="str">
        <f>'1&amp;2号构型'!B407</f>
        <v>尾锥5</v>
      </c>
      <c r="G599" s="2" t="b">
        <f>VLOOKUP('1&amp;2号构型'!F407,B:C,2,0)=VALUE(MID('1&amp;2号构型'!D407,6,2))</f>
        <v>1</v>
      </c>
      <c r="H599" s="3" t="str">
        <f>IF(LEN('1&amp;2号构型'!D407)=9,"TRUE","FALSE")</f>
        <v>TRUE</v>
      </c>
      <c r="I599" s="2" t="b">
        <f>VALUE(MID('1&amp;2号构型'!C407,1,2))=VALUE(MID('1&amp;2号构型'!A407,5,2))</f>
        <v>1</v>
      </c>
      <c r="J599" s="2" t="str">
        <f>IF(LEN('1&amp;2号构型'!C407)=14,"TRUE","FALSE")</f>
        <v>TRUE</v>
      </c>
      <c r="K599" s="2" t="str">
        <f>RIGHT('1&amp;2号构型'!C407,4)</f>
        <v>G700</v>
      </c>
    </row>
    <row r="600" spans="6:11">
      <c r="F600" t="str">
        <f>'1&amp;2号构型'!B408</f>
        <v>尾锥6</v>
      </c>
      <c r="G600" s="2" t="b">
        <f>VLOOKUP('1&amp;2号构型'!F408,B:C,2,0)=VALUE(MID('1&amp;2号构型'!D408,6,2))</f>
        <v>1</v>
      </c>
      <c r="H600" s="3" t="str">
        <f>IF(LEN('1&amp;2号构型'!D408)=9,"TRUE","FALSE")</f>
        <v>TRUE</v>
      </c>
      <c r="I600" s="2" t="b">
        <f>VALUE(MID('1&amp;2号构型'!C408,1,2))=VALUE(MID('1&amp;2号构型'!A408,5,2))</f>
        <v>1</v>
      </c>
      <c r="J600" s="2" t="str">
        <f>IF(LEN('1&amp;2号构型'!C408)=14,"TRUE","FALSE")</f>
        <v>TRUE</v>
      </c>
      <c r="K600" s="2" t="str">
        <f>RIGHT('1&amp;2号构型'!C408,4)</f>
        <v>G700</v>
      </c>
    </row>
    <row r="601" spans="6:11">
      <c r="F601" t="str">
        <f>'1&amp;2号构型'!B409</f>
        <v>尾锥7</v>
      </c>
      <c r="G601" s="2" t="b">
        <f>VLOOKUP('1&amp;2号构型'!F409,B:C,2,0)=VALUE(MID('1&amp;2号构型'!D409,6,2))</f>
        <v>1</v>
      </c>
      <c r="H601" s="3" t="str">
        <f>IF(LEN('1&amp;2号构型'!D409)=9,"TRUE","FALSE")</f>
        <v>TRUE</v>
      </c>
      <c r="I601" s="2" t="b">
        <f>VALUE(MID('1&amp;2号构型'!C409,1,2))=VALUE(MID('1&amp;2号构型'!A409,5,2))</f>
        <v>1</v>
      </c>
      <c r="J601" s="2" t="str">
        <f>IF(LEN('1&amp;2号构型'!C409)=14,"TRUE","FALSE")</f>
        <v>TRUE</v>
      </c>
      <c r="K601" s="2" t="str">
        <f>RIGHT('1&amp;2号构型'!C409,4)</f>
        <v>G700</v>
      </c>
    </row>
    <row r="602" spans="6:11">
      <c r="F602" t="str">
        <f>'1&amp;2号构型'!B410</f>
        <v>尾锥8</v>
      </c>
      <c r="G602" s="2" t="b">
        <f>VLOOKUP('1&amp;2号构型'!F410,B:C,2,0)=VALUE(MID('1&amp;2号构型'!D410,6,2))</f>
        <v>1</v>
      </c>
      <c r="H602" s="3" t="str">
        <f>IF(LEN('1&amp;2号构型'!D410)=9,"TRUE","FALSE")</f>
        <v>TRUE</v>
      </c>
      <c r="I602" s="2" t="b">
        <f>VALUE(MID('1&amp;2号构型'!C410,1,2))=VALUE(MID('1&amp;2号构型'!A410,5,2))</f>
        <v>1</v>
      </c>
      <c r="J602" s="2" t="str">
        <f>IF(LEN('1&amp;2号构型'!C410)=14,"TRUE","FALSE")</f>
        <v>TRUE</v>
      </c>
      <c r="K602" s="2" t="str">
        <f>RIGHT('1&amp;2号构型'!C410,4)</f>
        <v>G700</v>
      </c>
    </row>
    <row r="603" spans="6:11">
      <c r="F603" t="str">
        <f>'1&amp;2号构型'!B411</f>
        <v>尾锥9</v>
      </c>
      <c r="G603" s="2" t="b">
        <f>VLOOKUP('1&amp;2号构型'!F411,B:C,2,0)=VALUE(MID('1&amp;2号构型'!D411,6,2))</f>
        <v>1</v>
      </c>
      <c r="H603" s="3" t="str">
        <f>IF(LEN('1&amp;2号构型'!D411)=9,"TRUE","FALSE")</f>
        <v>TRUE</v>
      </c>
      <c r="I603" s="2" t="b">
        <f>VALUE(MID('1&amp;2号构型'!C411,1,2))=VALUE(MID('1&amp;2号构型'!A411,5,2))</f>
        <v>1</v>
      </c>
      <c r="J603" s="2" t="str">
        <f>IF(LEN('1&amp;2号构型'!C411)=14,"TRUE","FALSE")</f>
        <v>TRUE</v>
      </c>
      <c r="K603" s="2" t="str">
        <f>RIGHT('1&amp;2号构型'!C411,4)</f>
        <v>G700</v>
      </c>
    </row>
    <row r="604" spans="6:11">
      <c r="F604" t="str">
        <f>'1&amp;2号构型'!B412</f>
        <v>尾锥10</v>
      </c>
      <c r="G604" s="2" t="b">
        <f>VLOOKUP('1&amp;2号构型'!F412,B:C,2,0)=VALUE(MID('1&amp;2号构型'!D412,6,2))</f>
        <v>1</v>
      </c>
      <c r="H604" s="3" t="str">
        <f>IF(LEN('1&amp;2号构型'!D412)=9,"TRUE","FALSE")</f>
        <v>TRUE</v>
      </c>
      <c r="I604" s="2" t="b">
        <f>VALUE(MID('1&amp;2号构型'!C412,1,2))=VALUE(MID('1&amp;2号构型'!A412,5,2))</f>
        <v>1</v>
      </c>
      <c r="J604" s="2" t="str">
        <f>IF(LEN('1&amp;2号构型'!C412)=14,"TRUE","FALSE")</f>
        <v>TRUE</v>
      </c>
      <c r="K604" s="2" t="str">
        <f>RIGHT('1&amp;2号构型'!C412,4)</f>
        <v>G700</v>
      </c>
    </row>
    <row r="605" spans="6:11">
      <c r="F605" t="str">
        <f>'1&amp;2号构型'!B413</f>
        <v>线缆盒1</v>
      </c>
      <c r="G605" s="2" t="b">
        <f>VLOOKUP('1&amp;2号构型'!F413,B:C,2,0)=VALUE(MID('1&amp;2号构型'!D413,6,2))</f>
        <v>1</v>
      </c>
      <c r="H605" s="3" t="str">
        <f>IF(LEN('1&amp;2号构型'!D413)=9,"TRUE","FALSE")</f>
        <v>TRUE</v>
      </c>
      <c r="I605" s="2" t="b">
        <f>VALUE(MID('1&amp;2号构型'!C413,1,2))=VALUE(MID('1&amp;2号构型'!A413,5,2))</f>
        <v>1</v>
      </c>
      <c r="J605" s="2" t="str">
        <f>IF(LEN('1&amp;2号构型'!C413)=14,"TRUE","FALSE")</f>
        <v>TRUE</v>
      </c>
      <c r="K605" s="2" t="str">
        <f>RIGHT('1&amp;2号构型'!C413,4)</f>
        <v>G400</v>
      </c>
    </row>
    <row r="606" spans="6:11">
      <c r="F606" t="str">
        <f>'1&amp;2号构型'!B414</f>
        <v>线缆盒2</v>
      </c>
      <c r="G606" s="2" t="b">
        <f>VLOOKUP('1&amp;2号构型'!F414,B:C,2,0)=VALUE(MID('1&amp;2号构型'!D414,6,2))</f>
        <v>1</v>
      </c>
      <c r="H606" s="3" t="str">
        <f>IF(LEN('1&amp;2号构型'!D414)=9,"TRUE","FALSE")</f>
        <v>TRUE</v>
      </c>
      <c r="I606" s="2" t="b">
        <f>VALUE(MID('1&amp;2号构型'!C414,1,2))=VALUE(MID('1&amp;2号构型'!A414,5,2))</f>
        <v>1</v>
      </c>
      <c r="J606" s="2" t="str">
        <f>IF(LEN('1&amp;2号构型'!C414)=14,"TRUE","FALSE")</f>
        <v>TRUE</v>
      </c>
      <c r="K606" s="2" t="str">
        <f>RIGHT('1&amp;2号构型'!C414,4)</f>
        <v>G400</v>
      </c>
    </row>
    <row r="607" spans="6:11">
      <c r="F607" t="str">
        <f>'1&amp;2号构型'!B415</f>
        <v>线缆盒3</v>
      </c>
      <c r="G607" s="2" t="b">
        <f>VLOOKUP('1&amp;2号构型'!F415,B:C,2,0)=VALUE(MID('1&amp;2号构型'!D415,6,2))</f>
        <v>1</v>
      </c>
      <c r="H607" s="3" t="str">
        <f>IF(LEN('1&amp;2号构型'!D415)=9,"TRUE","FALSE")</f>
        <v>TRUE</v>
      </c>
      <c r="I607" s="2" t="b">
        <f>VALUE(MID('1&amp;2号构型'!C415,1,2))=VALUE(MID('1&amp;2号构型'!A415,5,2))</f>
        <v>1</v>
      </c>
      <c r="J607" s="2" t="str">
        <f>IF(LEN('1&amp;2号构型'!C415)=14,"TRUE","FALSE")</f>
        <v>TRUE</v>
      </c>
      <c r="K607" s="2" t="str">
        <f>RIGHT('1&amp;2号构型'!C415,4)</f>
        <v>G400</v>
      </c>
    </row>
    <row r="608" spans="6:11">
      <c r="F608" t="str">
        <f>'1&amp;2号构型'!B416</f>
        <v>线缆盒4</v>
      </c>
      <c r="G608" s="2" t="b">
        <f>VLOOKUP('1&amp;2号构型'!F416,B:C,2,0)=VALUE(MID('1&amp;2号构型'!D416,6,2))</f>
        <v>1</v>
      </c>
      <c r="H608" s="3" t="str">
        <f>IF(LEN('1&amp;2号构型'!D416)=9,"TRUE","FALSE")</f>
        <v>TRUE</v>
      </c>
      <c r="I608" s="2" t="b">
        <f>VALUE(MID('1&amp;2号构型'!C416,1,2))=VALUE(MID('1&amp;2号构型'!A416,5,2))</f>
        <v>1</v>
      </c>
      <c r="J608" s="2" t="str">
        <f>IF(LEN('1&amp;2号构型'!C416)=14,"TRUE","FALSE")</f>
        <v>TRUE</v>
      </c>
      <c r="K608" s="2" t="str">
        <f>RIGHT('1&amp;2号构型'!C416,4)</f>
        <v>G400</v>
      </c>
    </row>
    <row r="609" spans="6:11">
      <c r="F609" t="str">
        <f>'1&amp;2号构型'!B417</f>
        <v>线缆盒5</v>
      </c>
      <c r="G609" s="2" t="b">
        <f>VLOOKUP('1&amp;2号构型'!F417,B:C,2,0)=VALUE(MID('1&amp;2号构型'!D417,6,2))</f>
        <v>1</v>
      </c>
      <c r="H609" s="3" t="str">
        <f>IF(LEN('1&amp;2号构型'!D417)=9,"TRUE","FALSE")</f>
        <v>TRUE</v>
      </c>
      <c r="I609" s="2" t="b">
        <f>VALUE(MID('1&amp;2号构型'!C417,1,2))=VALUE(MID('1&amp;2号构型'!A417,5,2))</f>
        <v>1</v>
      </c>
      <c r="J609" s="2" t="str">
        <f>IF(LEN('1&amp;2号构型'!C417)=14,"TRUE","FALSE")</f>
        <v>TRUE</v>
      </c>
      <c r="K609" s="2" t="str">
        <f>RIGHT('1&amp;2号构型'!C417,4)</f>
        <v>G400</v>
      </c>
    </row>
    <row r="610" spans="6:11">
      <c r="F610" t="str">
        <f>'1&amp;2号构型'!B418</f>
        <v>线缆盒6</v>
      </c>
      <c r="G610" s="2" t="b">
        <f>VLOOKUP('1&amp;2号构型'!F418,B:C,2,0)=VALUE(MID('1&amp;2号构型'!D418,6,2))</f>
        <v>1</v>
      </c>
      <c r="H610" s="3" t="str">
        <f>IF(LEN('1&amp;2号构型'!D418)=9,"TRUE","FALSE")</f>
        <v>TRUE</v>
      </c>
      <c r="I610" s="2" t="b">
        <f>VALUE(MID('1&amp;2号构型'!C418,1,2))=VALUE(MID('1&amp;2号构型'!A418,5,2))</f>
        <v>1</v>
      </c>
      <c r="J610" s="2" t="str">
        <f>IF(LEN('1&amp;2号构型'!C418)=14,"TRUE","FALSE")</f>
        <v>TRUE</v>
      </c>
      <c r="K610" s="2" t="str">
        <f>RIGHT('1&amp;2号构型'!C418,4)</f>
        <v>G400</v>
      </c>
    </row>
    <row r="611" spans="6:11">
      <c r="F611" t="str">
        <f>'1&amp;2号构型'!B419</f>
        <v>线缆盒7</v>
      </c>
      <c r="G611" s="2" t="b">
        <f>VLOOKUP('1&amp;2号构型'!F419,B:C,2,0)=VALUE(MID('1&amp;2号构型'!D419,6,2))</f>
        <v>1</v>
      </c>
      <c r="H611" s="3" t="str">
        <f>IF(LEN('1&amp;2号构型'!D419)=9,"TRUE","FALSE")</f>
        <v>TRUE</v>
      </c>
      <c r="I611" s="2" t="b">
        <f>VALUE(MID('1&amp;2号构型'!C419,1,2))=VALUE(MID('1&amp;2号构型'!A419,5,2))</f>
        <v>1</v>
      </c>
      <c r="J611" s="2" t="str">
        <f>IF(LEN('1&amp;2号构型'!C419)=14,"TRUE","FALSE")</f>
        <v>TRUE</v>
      </c>
      <c r="K611" s="2" t="str">
        <f>RIGHT('1&amp;2号构型'!C419,4)</f>
        <v>G400</v>
      </c>
    </row>
    <row r="612" spans="6:11">
      <c r="F612" t="str">
        <f>'1&amp;2号构型'!B420</f>
        <v>线缆盒8</v>
      </c>
      <c r="G612" s="2" t="b">
        <f>VLOOKUP('1&amp;2号构型'!F420,B:C,2,0)=VALUE(MID('1&amp;2号构型'!D420,6,2))</f>
        <v>1</v>
      </c>
      <c r="H612" s="3" t="str">
        <f>IF(LEN('1&amp;2号构型'!D420)=9,"TRUE","FALSE")</f>
        <v>TRUE</v>
      </c>
      <c r="I612" s="2" t="b">
        <f>VALUE(MID('1&amp;2号构型'!C420,1,2))=VALUE(MID('1&amp;2号构型'!A420,5,2))</f>
        <v>1</v>
      </c>
      <c r="J612" s="2" t="str">
        <f>IF(LEN('1&amp;2号构型'!C420)=14,"TRUE","FALSE")</f>
        <v>TRUE</v>
      </c>
      <c r="K612" s="2" t="str">
        <f>RIGHT('1&amp;2号构型'!C420,4)</f>
        <v>G400</v>
      </c>
    </row>
    <row r="613" spans="6:11">
      <c r="F613" t="str">
        <f>'1&amp;2号构型'!B421</f>
        <v>线缆盒9</v>
      </c>
      <c r="G613" s="2" t="b">
        <f>VLOOKUP('1&amp;2号构型'!F421,B:C,2,0)=VALUE(MID('1&amp;2号构型'!D421,6,2))</f>
        <v>1</v>
      </c>
      <c r="H613" s="3" t="str">
        <f>IF(LEN('1&amp;2号构型'!D421)=9,"TRUE","FALSE")</f>
        <v>TRUE</v>
      </c>
      <c r="I613" s="2" t="b">
        <f>VALUE(MID('1&amp;2号构型'!C421,1,2))=VALUE(MID('1&amp;2号构型'!A421,5,2))</f>
        <v>1</v>
      </c>
      <c r="J613" s="2" t="str">
        <f>IF(LEN('1&amp;2号构型'!C421)=14,"TRUE","FALSE")</f>
        <v>TRUE</v>
      </c>
      <c r="K613" s="2" t="str">
        <f>RIGHT('1&amp;2号构型'!C421,4)</f>
        <v>G400</v>
      </c>
    </row>
    <row r="614" spans="6:11">
      <c r="F614" t="str">
        <f>'1&amp;2号构型'!B422</f>
        <v>线缆盒10</v>
      </c>
      <c r="G614" s="2" t="b">
        <f>VLOOKUP('1&amp;2号构型'!F422,B:C,2,0)=VALUE(MID('1&amp;2号构型'!D422,6,2))</f>
        <v>1</v>
      </c>
      <c r="H614" s="3" t="str">
        <f>IF(LEN('1&amp;2号构型'!D422)=9,"TRUE","FALSE")</f>
        <v>TRUE</v>
      </c>
      <c r="I614" s="2" t="b">
        <f>VALUE(MID('1&amp;2号构型'!C422,1,2))=VALUE(MID('1&amp;2号构型'!A422,5,2))</f>
        <v>1</v>
      </c>
      <c r="J614" s="2" t="str">
        <f>IF(LEN('1&amp;2号构型'!C422)=14,"TRUE","FALSE")</f>
        <v>TRUE</v>
      </c>
      <c r="K614" s="2" t="str">
        <f>RIGHT('1&amp;2号构型'!C422,4)</f>
        <v>G400</v>
      </c>
    </row>
    <row r="615" spans="6:11">
      <c r="F615" t="str">
        <f>'1&amp;2号构型'!B423</f>
        <v>机载GNSS天线</v>
      </c>
      <c r="G615" s="2" t="b">
        <f>VLOOKUP('1&amp;2号构型'!F423,B:C,2,0)=VALUE(MID('1&amp;2号构型'!D423,6,2))</f>
        <v>1</v>
      </c>
      <c r="H615" s="3" t="str">
        <f>IF(LEN('1&amp;2号构型'!D423)=9,"TRUE","FALSE")</f>
        <v>TRUE</v>
      </c>
      <c r="I615" s="2" t="b">
        <f>VALUE(MID('1&amp;2号构型'!C423,1,2))=VALUE(MID('1&amp;2号构型'!A423,5,2))</f>
        <v>1</v>
      </c>
      <c r="J615" s="2" t="str">
        <f>IF(LEN('1&amp;2号构型'!C423)=14,"TRUE","FALSE")</f>
        <v>TRUE</v>
      </c>
      <c r="K615" s="2" t="str">
        <f>RIGHT('1&amp;2号构型'!C423,4)</f>
        <v>T900</v>
      </c>
    </row>
    <row r="616" spans="6:11">
      <c r="F616" t="str">
        <f>'1&amp;2号构型'!B424</f>
        <v>机载数据交换机</v>
      </c>
      <c r="G616" s="2" t="b">
        <f>VLOOKUP('1&amp;2号构型'!F424,B:C,2,0)=VALUE(MID('1&amp;2号构型'!D424,6,2))</f>
        <v>1</v>
      </c>
      <c r="H616" s="3" t="str">
        <f>IF(LEN('1&amp;2号构型'!D424)=9,"TRUE","FALSE")</f>
        <v>TRUE</v>
      </c>
      <c r="I616" s="2" t="b">
        <f>VALUE(MID('1&amp;2号构型'!C424,1,2))=VALUE(MID('1&amp;2号构型'!A424,5,2))</f>
        <v>1</v>
      </c>
      <c r="J616" s="2" t="str">
        <f>IF(LEN('1&amp;2号构型'!C424)=14,"TRUE","FALSE")</f>
        <v>TRUE</v>
      </c>
      <c r="K616" s="2" t="str">
        <f>RIGHT('1&amp;2号构型'!C424,4)</f>
        <v>T900</v>
      </c>
    </row>
    <row r="617" spans="6:11">
      <c r="F617" t="str">
        <f>'1&amp;2号构型'!B425</f>
        <v>采集机箱1</v>
      </c>
      <c r="G617" s="2" t="b">
        <f>VLOOKUP('1&amp;2号构型'!F425,B:C,2,0)=VALUE(MID('1&amp;2号构型'!D425,6,2))</f>
        <v>1</v>
      </c>
      <c r="H617" s="3" t="str">
        <f>IF(LEN('1&amp;2号构型'!D425)=9,"TRUE","FALSE")</f>
        <v>TRUE</v>
      </c>
      <c r="I617" s="2" t="b">
        <f>VALUE(MID('1&amp;2号构型'!C425,1,2))=VALUE(MID('1&amp;2号构型'!A425,5,2))</f>
        <v>1</v>
      </c>
      <c r="J617" s="2" t="str">
        <f>IF(LEN('1&amp;2号构型'!C425)=14,"TRUE","FALSE")</f>
        <v>TRUE</v>
      </c>
      <c r="K617" s="2" t="str">
        <f>RIGHT('1&amp;2号构型'!C425,4)</f>
        <v>T900</v>
      </c>
    </row>
    <row r="618" spans="6:11">
      <c r="F618" t="str">
        <f>'1&amp;2号构型'!B426</f>
        <v>采集机箱2</v>
      </c>
      <c r="G618" s="2" t="b">
        <f>VLOOKUP('1&amp;2号构型'!F426,B:C,2,0)=VALUE(MID('1&amp;2号构型'!D426,6,2))</f>
        <v>1</v>
      </c>
      <c r="H618" s="3" t="str">
        <f>IF(LEN('1&amp;2号构型'!D426)=9,"TRUE","FALSE")</f>
        <v>TRUE</v>
      </c>
      <c r="I618" s="2" t="b">
        <f>VALUE(MID('1&amp;2号构型'!C426,1,2))=VALUE(MID('1&amp;2号构型'!A426,5,2))</f>
        <v>1</v>
      </c>
      <c r="J618" s="2" t="str">
        <f>IF(LEN('1&amp;2号构型'!C426)=14,"TRUE","FALSE")</f>
        <v>TRUE</v>
      </c>
      <c r="K618" s="2" t="str">
        <f>RIGHT('1&amp;2号构型'!C426,4)</f>
        <v>T900</v>
      </c>
    </row>
    <row r="619" spans="6:11">
      <c r="F619" t="str">
        <f>'1&amp;2号构型'!B427</f>
        <v>通用记录器</v>
      </c>
      <c r="G619" s="2" t="b">
        <f>VLOOKUP('1&amp;2号构型'!F427,B:C,2,0)=VALUE(MID('1&amp;2号构型'!D427,6,2))</f>
        <v>1</v>
      </c>
      <c r="H619" s="3" t="str">
        <f>IF(LEN('1&amp;2号构型'!D427)=9,"TRUE","FALSE")</f>
        <v>TRUE</v>
      </c>
      <c r="I619" s="2" t="b">
        <f>VALUE(MID('1&amp;2号构型'!C427,1,2))=VALUE(MID('1&amp;2号构型'!A427,5,2))</f>
        <v>1</v>
      </c>
      <c r="J619" s="2" t="str">
        <f>IF(LEN('1&amp;2号构型'!C427)=14,"TRUE","FALSE")</f>
        <v>TRUE</v>
      </c>
      <c r="K619" s="2" t="str">
        <f>RIGHT('1&amp;2号构型'!C427,4)</f>
        <v>T900</v>
      </c>
    </row>
    <row r="620" spans="6:11">
      <c r="F620" t="str">
        <f>'1&amp;2号构型'!B428</f>
        <v>直流稳压器</v>
      </c>
      <c r="G620" s="2" t="b">
        <f>VLOOKUP('1&amp;2号构型'!F428,B:C,2,0)=VALUE(MID('1&amp;2号构型'!D428,6,2))</f>
        <v>1</v>
      </c>
      <c r="H620" s="3" t="str">
        <f>IF(LEN('1&amp;2号构型'!D428)=9,"TRUE","FALSE")</f>
        <v>TRUE</v>
      </c>
      <c r="I620" s="2" t="b">
        <f>VALUE(MID('1&amp;2号构型'!C428,1,2))=VALUE(MID('1&amp;2号构型'!A428,5,2))</f>
        <v>1</v>
      </c>
      <c r="J620" s="2" t="str">
        <f>IF(LEN('1&amp;2号构型'!C428)=14,"TRUE","FALSE")</f>
        <v>TRUE</v>
      </c>
      <c r="K620" s="2" t="str">
        <f>RIGHT('1&amp;2号构型'!C428,4)</f>
        <v>T900</v>
      </c>
    </row>
    <row r="621" spans="6:11">
      <c r="F621" t="str">
        <f>'1&amp;2号构型'!B429</f>
        <v>蓄电池组</v>
      </c>
      <c r="G621" s="2" t="b">
        <f>VLOOKUP('1&amp;2号构型'!F429,B:C,2,0)=VALUE(MID('1&amp;2号构型'!D429,6,2))</f>
        <v>1</v>
      </c>
      <c r="H621" s="3" t="str">
        <f>IF(LEN('1&amp;2号构型'!D429)=9,"TRUE","FALSE")</f>
        <v>TRUE</v>
      </c>
      <c r="I621" s="2" t="b">
        <f>VALUE(MID('1&amp;2号构型'!C429,1,2))=VALUE(MID('1&amp;2号构型'!A429,5,2))</f>
        <v>1</v>
      </c>
      <c r="J621" s="2" t="str">
        <f>IF(LEN('1&amp;2号构型'!C429)=14,"TRUE","FALSE")</f>
        <v>TRUE</v>
      </c>
      <c r="K621" s="2" t="str">
        <f>RIGHT('1&amp;2号构型'!C429,4)</f>
        <v>T900</v>
      </c>
    </row>
    <row r="622" spans="6:11">
      <c r="F622" t="str">
        <f>'1&amp;2号构型'!B430</f>
        <v>视觉传感器/相机1</v>
      </c>
      <c r="G622" s="2" t="b">
        <f>VLOOKUP('1&amp;2号构型'!F430,B:C,2,0)=VALUE(MID('1&amp;2号构型'!D430,6,2))</f>
        <v>1</v>
      </c>
      <c r="H622" s="3" t="str">
        <f>IF(LEN('1&amp;2号构型'!D430)=9,"TRUE","FALSE")</f>
        <v>TRUE</v>
      </c>
      <c r="I622" s="2" t="b">
        <f>VALUE(MID('1&amp;2号构型'!C430,1,2))=VALUE(MID('1&amp;2号构型'!A430,5,2))</f>
        <v>1</v>
      </c>
      <c r="J622" s="2" t="str">
        <f>IF(LEN('1&amp;2号构型'!C430)=14,"TRUE","FALSE")</f>
        <v>TRUE</v>
      </c>
      <c r="K622" s="2" t="str">
        <f>RIGHT('1&amp;2号构型'!C430,4)</f>
        <v>G900</v>
      </c>
    </row>
    <row r="623" spans="6:11">
      <c r="F623" t="str">
        <f>'1&amp;2号构型'!B431</f>
        <v>视觉传感器/相机2</v>
      </c>
      <c r="G623" s="2" t="b">
        <f>VLOOKUP('1&amp;2号构型'!F431,B:C,2,0)=VALUE(MID('1&amp;2号构型'!D431,6,2))</f>
        <v>1</v>
      </c>
      <c r="H623" s="3" t="str">
        <f>IF(LEN('1&amp;2号构型'!D431)=9,"TRUE","FALSE")</f>
        <v>TRUE</v>
      </c>
      <c r="I623" s="2" t="b">
        <f>VALUE(MID('1&amp;2号构型'!C431,1,2))=VALUE(MID('1&amp;2号构型'!A431,5,2))</f>
        <v>1</v>
      </c>
      <c r="J623" s="2" t="str">
        <f>IF(LEN('1&amp;2号构型'!C431)=14,"TRUE","FALSE")</f>
        <v>TRUE</v>
      </c>
      <c r="K623" s="2" t="str">
        <f>RIGHT('1&amp;2号构型'!C431,4)</f>
        <v>G900</v>
      </c>
    </row>
    <row r="624" spans="6:11">
      <c r="F624" t="str">
        <f>'1&amp;2号构型'!B432</f>
        <v>视觉传感器/相机3</v>
      </c>
      <c r="G624" s="2" t="b">
        <f>VLOOKUP('1&amp;2号构型'!F432,B:C,2,0)=VALUE(MID('1&amp;2号构型'!D432,6,2))</f>
        <v>1</v>
      </c>
      <c r="H624" s="3" t="str">
        <f>IF(LEN('1&amp;2号构型'!D432)=9,"TRUE","FALSE")</f>
        <v>TRUE</v>
      </c>
      <c r="I624" s="2" t="b">
        <f>VALUE(MID('1&amp;2号构型'!C432,1,2))=VALUE(MID('1&amp;2号构型'!A432,5,2))</f>
        <v>1</v>
      </c>
      <c r="J624" s="2" t="str">
        <f>IF(LEN('1&amp;2号构型'!C432)=14,"TRUE","FALSE")</f>
        <v>TRUE</v>
      </c>
      <c r="K624" s="2" t="str">
        <f>RIGHT('1&amp;2号构型'!C432,4)</f>
        <v>G900</v>
      </c>
    </row>
    <row r="625" spans="6:11">
      <c r="F625" t="str">
        <f>'1&amp;2号构型'!B433</f>
        <v>视觉传感器/相机4</v>
      </c>
      <c r="G625" s="2" t="b">
        <f>VLOOKUP('1&amp;2号构型'!F433,B:C,2,0)=VALUE(MID('1&amp;2号构型'!D433,6,2))</f>
        <v>1</v>
      </c>
      <c r="H625" s="3" t="str">
        <f>IF(LEN('1&amp;2号构型'!D433)=9,"TRUE","FALSE")</f>
        <v>TRUE</v>
      </c>
      <c r="I625" s="2" t="b">
        <f>VALUE(MID('1&amp;2号构型'!C433,1,2))=VALUE(MID('1&amp;2号构型'!A433,5,2))</f>
        <v>1</v>
      </c>
      <c r="J625" s="2" t="str">
        <f>IF(LEN('1&amp;2号构型'!C433)=14,"TRUE","FALSE")</f>
        <v>TRUE</v>
      </c>
      <c r="K625" s="2" t="str">
        <f>RIGHT('1&amp;2号构型'!C433,4)</f>
        <v>G900</v>
      </c>
    </row>
    <row r="626" spans="6:11">
      <c r="F626" t="str">
        <f>'1&amp;2号构型'!B434</f>
        <v>视觉辅助计算机</v>
      </c>
      <c r="G626" s="2" t="b">
        <f>VLOOKUP('1&amp;2号构型'!F434,B:C,2,0)=VALUE(MID('1&amp;2号构型'!D434,6,2))</f>
        <v>1</v>
      </c>
      <c r="H626" s="3" t="str">
        <f>IF(LEN('1&amp;2号构型'!D434)=9,"TRUE","FALSE")</f>
        <v>TRUE</v>
      </c>
      <c r="I626" s="2" t="b">
        <f>VALUE(MID('1&amp;2号构型'!C434,1,2))=VALUE(MID('1&amp;2号构型'!A434,5,2))</f>
        <v>1</v>
      </c>
      <c r="J626" s="2" t="str">
        <f>IF(LEN('1&amp;2号构型'!C434)=14,"TRUE","FALSE")</f>
        <v>TRUE</v>
      </c>
      <c r="K626" s="2" t="str">
        <f>RIGHT('1&amp;2号构型'!C434,4)</f>
        <v>G900</v>
      </c>
    </row>
    <row r="627" spans="6:11">
      <c r="F627" t="str">
        <f>'1&amp;2号构型'!B435</f>
        <v>U波段数据链收发组合</v>
      </c>
      <c r="G627" s="2" t="b">
        <f>VLOOKUP('1&amp;2号构型'!F435,B:C,2,0)=VALUE(MID('1&amp;2号构型'!D435,6,2))</f>
        <v>1</v>
      </c>
      <c r="H627" s="3" t="str">
        <f>IF(LEN('1&amp;2号构型'!D435)=9,"TRUE","FALSE")</f>
        <v>TRUE</v>
      </c>
      <c r="I627" s="2" t="b">
        <f>VALUE(MID('1&amp;2号构型'!C435,1,2))=VALUE(MID('1&amp;2号构型'!A435,5,2))</f>
        <v>1</v>
      </c>
      <c r="J627" s="2" t="str">
        <f>IF(LEN('1&amp;2号构型'!C435)=14,"TRUE","FALSE")</f>
        <v>TRUE</v>
      </c>
      <c r="K627" s="2" t="str">
        <f>RIGHT('1&amp;2号构型'!C435,4)</f>
        <v>U900</v>
      </c>
    </row>
    <row r="628" spans="6:11">
      <c r="F628" t="str">
        <f>'1&amp;2号构型'!B436</f>
        <v>数据链机腹全向天线</v>
      </c>
      <c r="G628" s="2" t="b">
        <f>VLOOKUP('1&amp;2号构型'!F436,B:C,2,0)=VALUE(MID('1&amp;2号构型'!D436,6,2))</f>
        <v>1</v>
      </c>
      <c r="H628" s="3" t="str">
        <f>IF(LEN('1&amp;2号构型'!D436)=9,"TRUE","FALSE")</f>
        <v>TRUE</v>
      </c>
      <c r="I628" s="2" t="b">
        <f>VALUE(MID('1&amp;2号构型'!C436,1,2))=VALUE(MID('1&amp;2号构型'!A436,5,2))</f>
        <v>1</v>
      </c>
      <c r="J628" s="2" t="str">
        <f>IF(LEN('1&amp;2号构型'!C436)=14,"TRUE","FALSE")</f>
        <v>TRUE</v>
      </c>
      <c r="K628" s="2" t="str">
        <f>RIGHT('1&amp;2号构型'!C436,4)</f>
        <v>U900</v>
      </c>
    </row>
    <row r="629" spans="6:11">
      <c r="F629" t="str">
        <f>'1&amp;2号构型'!B437</f>
        <v>数据链机背全向天线</v>
      </c>
      <c r="G629" s="2" t="b">
        <f>VLOOKUP('1&amp;2号构型'!F437,B:C,2,0)=VALUE(MID('1&amp;2号构型'!D437,6,2))</f>
        <v>1</v>
      </c>
      <c r="H629" s="3" t="str">
        <f>IF(LEN('1&amp;2号构型'!D437)=9,"TRUE","FALSE")</f>
        <v>TRUE</v>
      </c>
      <c r="I629" s="2" t="b">
        <f>VALUE(MID('1&amp;2号构型'!C437,1,2))=VALUE(MID('1&amp;2号构型'!A437,5,2))</f>
        <v>1</v>
      </c>
      <c r="J629" s="2" t="str">
        <f>IF(LEN('1&amp;2号构型'!C437)=14,"TRUE","FALSE")</f>
        <v>TRUE</v>
      </c>
      <c r="K629" s="2" t="str">
        <f>RIGHT('1&amp;2号构型'!C437,4)</f>
        <v>U900</v>
      </c>
    </row>
    <row r="630" spans="6:11">
      <c r="F630" t="str">
        <f>'1&amp;2号构型'!B438</f>
        <v>C波段数据链收发组合</v>
      </c>
      <c r="G630" s="2" t="b">
        <f>VLOOKUP('1&amp;2号构型'!F438,B:C,2,0)=VALUE(MID('1&amp;2号构型'!D438,6,2))</f>
        <v>1</v>
      </c>
      <c r="H630" s="3" t="str">
        <f>IF(LEN('1&amp;2号构型'!D438)=9,"TRUE","FALSE")</f>
        <v>TRUE</v>
      </c>
      <c r="I630" s="2" t="b">
        <f>VALUE(MID('1&amp;2号构型'!C438,1,2))=VALUE(MID('1&amp;2号构型'!A438,5,2))</f>
        <v>1</v>
      </c>
      <c r="J630" s="2" t="str">
        <f>IF(LEN('1&amp;2号构型'!C438)=14,"TRUE","FALSE")</f>
        <v>TRUE</v>
      </c>
      <c r="K630" s="2" t="str">
        <f>RIGHT('1&amp;2号构型'!C438,4)</f>
        <v>U900</v>
      </c>
    </row>
    <row r="631" spans="6:11">
      <c r="F631" t="str">
        <f>'1&amp;2号构型'!B439</f>
        <v>C波段数据链定向天线</v>
      </c>
      <c r="G631" s="2" t="b">
        <f>VLOOKUP('1&amp;2号构型'!F439,B:C,2,0)=VALUE(MID('1&amp;2号构型'!D439,6,2))</f>
        <v>1</v>
      </c>
      <c r="H631" s="3" t="str">
        <f>IF(LEN('1&amp;2号构型'!D439)=9,"TRUE","FALSE")</f>
        <v>TRUE</v>
      </c>
      <c r="I631" s="2" t="b">
        <f>VALUE(MID('1&amp;2号构型'!C439,1,2))=VALUE(MID('1&amp;2号构型'!A439,5,2))</f>
        <v>1</v>
      </c>
      <c r="J631" s="2" t="str">
        <f>IF(LEN('1&amp;2号构型'!C439)=14,"TRUE","FALSE")</f>
        <v>TRUE</v>
      </c>
      <c r="K631" s="2" t="str">
        <f>RIGHT('1&amp;2号构型'!C439,4)</f>
        <v>U900</v>
      </c>
    </row>
    <row r="632" spans="6:11">
      <c r="F632" t="str">
        <f>'1&amp;2号构型'!B440</f>
        <v>空地数据管理计算机</v>
      </c>
      <c r="G632" s="2" t="b">
        <f>VLOOKUP('1&amp;2号构型'!F440,B:C,2,0)=VALUE(MID('1&amp;2号构型'!D440,6,2))</f>
        <v>1</v>
      </c>
      <c r="H632" s="3" t="str">
        <f>IF(LEN('1&amp;2号构型'!D440)=9,"TRUE","FALSE")</f>
        <v>TRUE</v>
      </c>
      <c r="I632" s="2" t="b">
        <f>VALUE(MID('1&amp;2号构型'!C440,1,2))=VALUE(MID('1&amp;2号构型'!A440,5,2))</f>
        <v>1</v>
      </c>
      <c r="J632" s="2" t="str">
        <f>IF(LEN('1&amp;2号构型'!C440)=14,"TRUE","FALSE")</f>
        <v>TRUE</v>
      </c>
      <c r="K632" s="2" t="str">
        <f>RIGHT('1&amp;2号构型'!C440,4)</f>
        <v>U900</v>
      </c>
    </row>
    <row r="633" spans="6:11">
      <c r="F633">
        <f>'1&amp;2号构型'!B441</f>
        <v>0</v>
      </c>
      <c r="G633" s="2" t="e">
        <f>VLOOKUP('1&amp;2号构型'!F441,B:C,2,0)=VALUE(MID('1&amp;2号构型'!D441,6,2))</f>
        <v>#N/A</v>
      </c>
      <c r="H633" s="3" t="str">
        <f>IF(LEN('1&amp;2号构型'!D441)=9,"TRUE","FALSE")</f>
        <v>FALSE</v>
      </c>
      <c r="I633" s="2" t="e">
        <f>VALUE(MID('1&amp;2号构型'!C441,1,2))=VALUE(MID('1&amp;2号构型'!A441,5,2))</f>
        <v>#VALUE!</v>
      </c>
      <c r="J633" s="2" t="str">
        <f>IF(LEN('1&amp;2号构型'!C441)=14,"TRUE","FALSE")</f>
        <v>FALSE</v>
      </c>
      <c r="K633" s="2" t="str">
        <f>RIGHT('1&amp;2号构型'!C441,4)</f>
        <v/>
      </c>
    </row>
    <row r="634" spans="6:11">
      <c r="F634">
        <f>'1&amp;2号构型'!B442</f>
        <v>0</v>
      </c>
      <c r="G634" s="2" t="e">
        <f>VLOOKUP('1&amp;2号构型'!F442,B:C,2,0)=VALUE(MID('1&amp;2号构型'!D442,6,2))</f>
        <v>#N/A</v>
      </c>
      <c r="H634" s="3" t="str">
        <f>IF(LEN('1&amp;2号构型'!D442)=9,"TRUE","FALSE")</f>
        <v>FALSE</v>
      </c>
      <c r="I634" s="2" t="e">
        <f>VALUE(MID('1&amp;2号构型'!C442,1,2))=VALUE(MID('1&amp;2号构型'!A442,5,2))</f>
        <v>#VALUE!</v>
      </c>
      <c r="J634" s="2" t="str">
        <f>IF(LEN('1&amp;2号构型'!C442)=14,"TRUE","FALSE")</f>
        <v>FALSE</v>
      </c>
      <c r="K634" s="2" t="str">
        <f>RIGHT('1&amp;2号构型'!C442,4)</f>
        <v/>
      </c>
    </row>
    <row r="635" spans="6:11">
      <c r="F635">
        <f>'1&amp;2号构型'!B443</f>
        <v>0</v>
      </c>
      <c r="G635" s="2" t="e">
        <f>VLOOKUP('1&amp;2号构型'!F443,B:C,2,0)=VALUE(MID('1&amp;2号构型'!D443,6,2))</f>
        <v>#N/A</v>
      </c>
      <c r="H635" s="3" t="str">
        <f>IF(LEN('1&amp;2号构型'!D443)=9,"TRUE","FALSE")</f>
        <v>FALSE</v>
      </c>
      <c r="I635" s="2" t="e">
        <f>VALUE(MID('1&amp;2号构型'!C443,1,2))=VALUE(MID('1&amp;2号构型'!A443,5,2))</f>
        <v>#VALUE!</v>
      </c>
      <c r="J635" s="2" t="str">
        <f>IF(LEN('1&amp;2号构型'!C443)=14,"TRUE","FALSE")</f>
        <v>FALSE</v>
      </c>
      <c r="K635" s="2" t="str">
        <f>RIGHT('1&amp;2号构型'!C443,4)</f>
        <v/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K$1048576" name="Range1"/>
  </protectedRanges>
  <autoFilter xmlns:etc="http://www.wps.cn/officeDocument/2017/etCustomData" ref="F1:K635" etc:filterBottomFollowUsedRange="1">
    <extLst/>
  </autoFilter>
  <conditionalFormatting sqref="G$1:G$1048576">
    <cfRule type="cellIs" dxfId="0" priority="5" operator="equal">
      <formula>FALSE</formula>
    </cfRule>
    <cfRule type="cellIs" dxfId="0" priority="6" operator="equal">
      <formula>FALSE</formula>
    </cfRule>
    <cfRule type="cellIs" dxfId="2" priority="7" operator="equal">
      <formula>TRUE</formula>
    </cfRule>
  </conditionalFormatting>
  <conditionalFormatting sqref="H$1:H$1048576">
    <cfRule type="containsText" dxfId="2" priority="3" operator="between" text="TRUE">
      <formula>NOT(ISERROR(SEARCH("TRUE",H1)))</formula>
    </cfRule>
    <cfRule type="containsText" dxfId="0" priority="4" operator="between" text="FALSE">
      <formula>NOT(ISERROR(SEARCH("FALSE",H1)))</formula>
    </cfRule>
  </conditionalFormatting>
  <conditionalFormatting sqref="I$1:J$1048576">
    <cfRule type="containsText" dxfId="2" priority="1" operator="between" text="TRUE">
      <formula>NOT(ISERROR(SEARCH("TRUE",I1)))</formula>
    </cfRule>
    <cfRule type="containsText" dxfId="0" priority="2" operator="between" text="FALSE">
      <formula>NOT(ISERROR(SEARCH("FALSE",I1)))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1148042209" otherUserPermission="edit">
    <arrUserId title="Range5" rangeCreator="1148042209" othersAccessPermission="visible">
      <userID accessPermission="edit">1148042209</userID>
    </arrUserId>
    <arrUserId title="Range7" rangeCreator="" othersAccessPermission="visible">
      <userID accessPermission="edit">1148042209</userID>
      <userID accessPermission="edit">728485341</userID>
    </arrUserId>
    <arrUserId title="Range4" rangeCreator="" othersAccessPermission="visible">
      <userID accessPermission="edit">1148042209</userID>
      <userID accessPermission="edit">305254810</userID>
      <userID accessPermission="edit">527890975</userID>
    </arrUserId>
    <arrUserId title="Range10" rangeCreator="" othersAccessPermission="visible">
      <userID accessPermission="edit">1148042209</userID>
      <userID accessPermission="edit">392458281</userID>
      <userID accessPermission="edit">432264305</userID>
    </arrUserId>
  </rangeList>
  <rangeList sheetStid="15" master="1148042209" otherUserPermission="edit">
    <arrUserId title="Range5" rangeCreator="" othersAccessPermission="visible">
      <userID accessPermission="edit">1148042209</userID>
    </arrUserId>
    <arrUserId title="Range7" rangeCreator="" othersAccessPermission="visible">
      <userID accessPermission="edit">1148042209</userID>
      <userID accessPermission="edit">728485341</userID>
    </arrUserId>
    <arrUserId title="Range4" rangeCreator="" othersAccessPermission="visible">
      <userID accessPermission="edit">1148042209</userID>
      <userID accessPermission="edit">305254810</userID>
      <userID accessPermission="edit">527890975</userID>
    </arrUserId>
    <arrUserId title="Range10" rangeCreator="" othersAccessPermission="visible">
      <userID accessPermission="edit">1148042209</userID>
      <userID accessPermission="edit">392458281</userID>
      <userID accessPermission="edit">432264305</userID>
    </arrUserId>
  </rangeList>
  <rangeList sheetStid="13" master="1148042209" otherUserPermission="edit">
    <arrUserId title="Range1" rangeCreator="" othersAccessPermission="visible">
      <userID accessPermission="edit">1148042209</userID>
      <userID accessPermission="edit">728485341</userID>
    </arrUserId>
  </rangeList>
  <rangeList sheetStid="4" master="" otherUserPermission="edit"/>
  <rangeList sheetStid="5" master="" otherUserPermission="edit"/>
  <rangeList sheetStid="7" master="1148042209" otherUserPermission="edit">
    <arrUserId title="Range1" rangeCreator="1148042209" othersAccessPermission="visible">
      <userID accessPermission="edit">1148042209</userID>
    </arrUserId>
  </rangeList>
  <rangeList sheetStid="9" master="1148042209" otherUserPermission="edit">
    <arrUserId title="Range1" rangeCreator="" othersAccessPermission="visible">
      <userID accessPermission="edit">1148042209</userID>
      <userID accessPermission="edit">728485341</userID>
    </arrUserId>
  </rangeList>
  <rangeList sheetStid="11" master="1148042209" otherUserPermission="edit">
    <arrUserId title="Range1" rangeCreator="" othersAccessPermission="visible">
      <userID accessPermission="edit">1148042209</userID>
      <userID accessPermission="edit">728485341</userID>
    </arrUserId>
  </rangeList>
</allowEditUser>
</file>

<file path=customXml/item2.xml><?xml version="1.0" encoding="utf-8"?>
<autofilters xmlns="https://web.wps.cn/et/2018/main">
  <sheetItem sheetStid="1">
    <filterData filterID="326226286"/>
    <filterData filterID="527890975">
      <hiddenRange rowFrom="1" rowTo="269"/>
      <hiddenRange rowFrom="329" rowTo="442"/>
    </filterData>
    <filterData filterID="305254810">
      <hiddenRange rowFrom="1" rowTo="78"/>
      <hiddenRange rowFrom="119" rowTo="442"/>
    </filterData>
    <filterData filterID="395670994">
      <hiddenRange rowFrom="1" rowTo="118"/>
      <hiddenRange rowFrom="133" rowTo="442"/>
    </filterData>
    <filterData filterID="1148042209"/>
    <filterData filterID="432264305">
      <hiddenRange rowFrom="1" rowTo="253"/>
      <hiddenRange rowFrom="256" rowTo="257"/>
      <hiddenRange rowFrom="262" rowTo="442"/>
    </filterData>
    <filterData filterID="392458281"/>
    <filterData filterID="936652356">
      <hiddenRange rowFrom="1" rowTo="359"/>
      <hiddenRange rowFrom="422" rowTo="442"/>
    </filterData>
    <filterData filterID="408136971">
      <hiddenRange rowFrom="1" rowTo="45"/>
      <hiddenRange rowFrom="69" rowTo="442"/>
    </filterData>
    <filterData filterID="483587080">
      <hiddenRange rowFrom="1" rowTo="328"/>
      <hiddenRange rowFrom="331" rowTo="442"/>
    </filterData>
    <autofilterInfo filterID="432264305">
      <autoFilter xmlns="http://schemas.openxmlformats.org/spreadsheetml/2006/main" ref="A1:T443">
        <filterColumn colId="3">
          <filters>
            <filter val="3304L6901"/>
            <filter val="3304L6902"/>
            <filter val="3304L6903"/>
            <filter val="3304L6904"/>
            <filter val="3304L6905"/>
            <filter val="3304L6906"/>
          </filters>
        </filterColumn>
      </autoFilter>
    </autofilterInfo>
    <autofilterInfo filterID="527890975">
      <autoFilter xmlns="http://schemas.openxmlformats.org/spreadsheetml/2006/main" ref="A1:T443">
        <filterColumn colId="0">
          <customFilters>
            <customFilter operator="equal" val="EATA34 导航系统"/>
          </customFilters>
        </filterColumn>
      </autoFilter>
    </autofilterInfo>
    <autofilterInfo filterID="305254810">
      <autoFilter xmlns="http://schemas.openxmlformats.org/spreadsheetml/2006/main" ref="A1:T443">
        <filterColumn colId="0">
          <customFilters>
            <customFilter operator="equal" val="EATA27 飞行控制系统"/>
          </customFilters>
        </filterColumn>
      </autoFilter>
    </autofilterInfo>
    <autofilterInfo filterID="395670994">
      <autoFilter xmlns="http://schemas.openxmlformats.org/spreadsheetml/2006/main" ref="A1:T443">
        <filterColumn colId="0">
          <customFilters>
            <customFilter operator="equal" val="EATA30 防除冰和除雨"/>
          </customFilters>
        </filterColumn>
      </autoFilter>
    </autofilterInfo>
    <autofilterInfo filterID="408136971">
      <autoFilter xmlns="http://schemas.openxmlformats.org/spreadsheetml/2006/main" ref="A1:T443">
        <filterColumn colId="0">
          <customFilters>
            <customFilter operator="equal" val="EATA25 设备/装饰"/>
          </customFilters>
        </filterColumn>
      </autoFilter>
    </autofilterInfo>
    <autofilterInfo filterID="483587080">
      <autoFilter xmlns="http://schemas.openxmlformats.org/spreadsheetml/2006/main" ref="A1:T443">
        <filterColumn colId="0">
          <customFilters>
            <customFilter operator="equal" val="EATA35 氧气"/>
          </customFilters>
        </filterColumn>
      </autoFilter>
    </autofilterInfo>
    <autofilterInfo filterID="936652356">
      <autoFilter xmlns="http://schemas.openxmlformats.org/spreadsheetml/2006/main" ref="A1:T443">
        <filterColumn colId="0">
          <customFilters>
            <customFilter operator="equal" val="EATA86 电推进系统"/>
          </customFilters>
        </filterColumn>
      </autoFilter>
    </autofilterInfo>
  </sheetItem>
  <sheetItem sheetStid="15">
    <filterData filterID="392458281">
      <hiddenRange rowFrom="1" rowTo="452"/>
      <hiddenRange rowFrom="459" rowTo="462"/>
      <hiddenRange rowFrom="465" rowTo="558"/>
    </filterData>
    <filterData filterID="1534551171">
      <hiddenRange rowFrom="1" rowTo="99"/>
      <hiddenRange rowFrom="101" rowTo="101"/>
      <hiddenRange rowFrom="103" rowTo="155"/>
      <hiddenRange rowFrom="157" rowTo="159"/>
      <hiddenRange rowFrom="162" rowTo="163"/>
      <hiddenRange rowFrom="165" rowTo="252"/>
      <hiddenRange rowFrom="254" rowTo="293"/>
      <hiddenRange rowFrom="295" rowTo="412"/>
      <hiddenRange rowFrom="414" rowTo="423"/>
      <hiddenRange rowFrom="425" rowTo="435"/>
      <hiddenRange rowFrom="437" rowTo="446"/>
      <hiddenRange rowFrom="449" rowTo="450"/>
      <hiddenRange rowFrom="452" rowTo="452"/>
      <hiddenRange rowFrom="454" rowTo="558"/>
    </filterData>
    <filterData filterID="395670994">
      <hiddenRange rowFrom="1" rowTo="55"/>
      <hiddenRange rowFrom="60" rowTo="439"/>
      <hiddenRange rowFrom="448" rowTo="558"/>
    </filterData>
    <filterData filterID="305254810">
      <hiddenRange rowFrom="1" rowTo="55"/>
      <hiddenRange rowFrom="60" rowTo="380"/>
      <hiddenRange rowFrom="437" rowTo="558"/>
    </filterData>
    <filterData filterID="411008864"/>
    <filterData filterID="527890975"/>
    <filterData filterID="fake_237251923">
      <hiddenRange rowFrom="1" rowTo="55"/>
      <hiddenRange rowFrom="60" rowTo="61"/>
      <hiddenRange rowFrom="63" rowTo="97"/>
      <hiddenRange rowFrom="99" rowTo="158"/>
      <hiddenRange rowFrom="160" rowTo="188"/>
      <hiddenRange rowFrom="190" rowTo="196"/>
      <hiddenRange rowFrom="198" rowTo="244"/>
      <hiddenRange rowFrom="248" rowTo="251"/>
      <hiddenRange rowFrom="253" rowTo="292"/>
      <hiddenRange rowFrom="294" rowTo="404"/>
      <hiddenRange rowFrom="407" rowTo="420"/>
      <hiddenRange rowFrom="423" rowTo="428"/>
      <hiddenRange rowFrom="430" rowTo="439"/>
      <hiddenRange rowFrom="441" rowTo="443"/>
      <hiddenRange rowFrom="445" rowTo="484"/>
      <hiddenRange rowFrom="486" rowTo="491"/>
      <hiddenRange rowFrom="493" rowTo="558"/>
    </filterData>
    <filterData filterID="486343434"/>
    <filterData filterID="936652356">
      <hiddenRange rowFrom="1" rowTo="1"/>
      <hiddenRange rowFrom="60" rowTo="558"/>
    </filterData>
    <filterData filterID="1148042209"/>
    <filterData filterID="728485341"/>
    <filterData filterID="483587080">
      <hiddenRange rowFrom="1" rowTo="55"/>
      <hiddenRange rowFrom="60" rowTo="436"/>
      <hiddenRange rowFrom="439" rowTo="558"/>
    </filterData>
    <filterData filterID="1747598338"/>
    <filterData filterID="310938994"/>
    <filterData filterID="432264305">
      <hiddenRange rowFrom="1" rowTo="306"/>
      <hiddenRange rowFrom="311" rowTo="316"/>
      <hiddenRange rowFrom="321" rowTo="558"/>
    </filterData>
    <autofilterInfo filterID="432264305">
      <autoFilter xmlns="http://schemas.openxmlformats.org/spreadsheetml/2006/main" ref="A1:T559">
        <filterColumn colId="0">
          <customFilters>
            <customFilter operator="equal" val="EATA33 照明系统"/>
          </customFilters>
        </filterColumn>
        <filterColumn colId="3">
          <filters>
            <filter val="3301L6901"/>
            <filter val="3301X6901"/>
            <filter val="3301L6903"/>
            <filter val="3301X6903"/>
            <filter val="3301X6905"/>
            <filter val="3304L6905"/>
            <filter val="3304L6906"/>
            <filter val="3301X6907"/>
          </filters>
        </filterColumn>
      </autoFilter>
    </autofilterInfo>
    <autofilterInfo filterID="392458281">
      <autoFilter xmlns="http://schemas.openxmlformats.org/spreadsheetml/2006/main" ref="A1:T559">
        <filterColumn colId="6">
          <customFilters>
            <customFilter operator="equal" val="4"/>
          </customFilters>
        </filterColumn>
      </autoFilter>
    </autofilterInfo>
    <autofilterInfo filterID="fake_237251923">
      <autoFilter xmlns="http://schemas.openxmlformats.org/spreadsheetml/2006/main" ref="A1:T559">
        <filterColumn colId="5">
          <customFilters>
            <customFilter operator="equal" val="驾驶舱-左设备架"/>
          </customFilters>
        </filterColumn>
      </autoFilter>
    </autofilterInfo>
    <autofilterInfo filterID="1534551171">
      <autoFilter xmlns="http://schemas.openxmlformats.org/spreadsheetml/2006/main" ref="A1:T559">
        <filterColumn colId="5">
          <customFilters>
            <customFilter operator="equal" val="客舱-后设备舱右设备架"/>
          </customFilters>
        </filterColumn>
      </autoFilter>
    </autofilterInfo>
    <autofilterInfo filterID="395670994">
      <autoFilter xmlns="http://schemas.openxmlformats.org/spreadsheetml/2006/main" ref="A1:T559">
        <filterColumn colId="0">
          <customFilters>
            <customFilter operator="equal" val="EATA42 机载处理与网络系统"/>
          </customFilters>
        </filterColumn>
      </autoFilter>
    </autofilterInfo>
    <autofilterInfo filterID="305254810">
      <autoFilter xmlns="http://schemas.openxmlformats.org/spreadsheetml/2006/main" ref="A1:T559">
        <filterColumn colId="0">
          <customFilters>
            <customFilter operator="equal" val="EATA34 导航系统"/>
          </customFilters>
        </filterColumn>
      </autoFilter>
    </autofilterInfo>
    <autofilterInfo filterID="483587080">
      <autoFilter xmlns="http://schemas.openxmlformats.org/spreadsheetml/2006/main" ref="A1:T559">
        <filterColumn colId="0">
          <customFilters>
            <customFilter operator="equal" val="EATA35 氧气"/>
          </customFilters>
        </filterColumn>
      </autoFilter>
    </autofilterInfo>
    <autofilterInfo filterID="936652356">
      <autoFilter xmlns="http://schemas.openxmlformats.org/spreadsheetml/2006/main" ref="A1:T559">
        <filterColumn colId="0">
          <customFilters>
            <customFilter operator="equal" val="EATA21 空调系统"/>
          </customFilters>
        </filterColumn>
      </autoFilter>
    </autofilterInfo>
  </sheetItem>
</autofilte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</woSheetsProps>
  <woBookProps>
    <bookSettings fileId="499599166498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1"/>
  <pixelatorList sheetStid="15"/>
  <pixelatorList sheetStid="13"/>
  <pixelatorList sheetStid="4"/>
  <pixelatorList sheetStid="5"/>
  <pixelatorList sheetStid="7"/>
  <pixelatorList sheetStid="9"/>
  <pixelatorList sheetStid="11"/>
  <pixelatorList sheetStid="16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1&amp;2号构型</vt:lpstr>
      <vt:lpstr>X号构型</vt:lpstr>
      <vt:lpstr>托架信息</vt:lpstr>
      <vt:lpstr>设备架接口信息</vt:lpstr>
      <vt:lpstr>电搭接情况统计</vt:lpstr>
      <vt:lpstr>注意事项&amp;统计</vt:lpstr>
      <vt:lpstr>已删除设备</vt:lpstr>
      <vt:lpstr>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lizij</dc:creator>
  <cp:lastModifiedBy>71466</cp:lastModifiedBy>
  <dcterms:created xsi:type="dcterms:W3CDTF">2026-04-21T09:17:00Z</dcterms:created>
  <dcterms:modified xsi:type="dcterms:W3CDTF">2026-04-18T15:47:00Z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43613DE1D269432886DD03DC8948B19D_13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