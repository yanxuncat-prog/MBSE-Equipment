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400" windowHeight="10080" activeTab="5"/>
  </bookViews>
  <sheets>
    <sheet name="系统" sheetId="1" r:id="rId1"/>
    <sheet name="1、2号机设备清单" sheetId="2" r:id="rId2"/>
    <sheet name="负载电气特性" sheetId="3" r:id="rId3"/>
    <sheet name="负载统计飞行阶段定义" sheetId="15" r:id="rId4"/>
    <sheet name="负载工作模式" sheetId="16" r:id="rId5"/>
    <sheet name="负载统计" sheetId="6" r:id="rId6"/>
    <sheet name="总体减重建议" sheetId="17" r:id="rId7"/>
  </sheets>
  <definedNames>
    <definedName name="_xlnm._FilterDatabase" localSheetId="1" hidden="1">'1、2号机设备清单'!$A$1:$I$457</definedName>
    <definedName name="_xlnm._FilterDatabase" localSheetId="2" hidden="1">负载电气特性!$A$2:$S$199</definedName>
    <definedName name="_xlnm._FilterDatabase" localSheetId="4" hidden="1">负载工作模式!$A$1:$AL$421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<sst xmlns="http://schemas.openxmlformats.org/spreadsheetml/2006/main" count="9039" uniqueCount="1760">
  <si>
    <t xml:space="preserve">序号 </t>
  </si>
  <si>
    <t>ATA</t>
  </si>
  <si>
    <t>系统名称</t>
  </si>
  <si>
    <t>ATA21</t>
  </si>
  <si>
    <r>
      <rPr>
        <sz val="11"/>
        <color rgb="FF000000"/>
        <rFont val="Times New Roman"/>
        <charset val="134"/>
      </rPr>
      <t>EATA21</t>
    </r>
    <r>
      <rPr>
        <sz val="11"/>
        <color rgb="FF000000"/>
        <rFont val="Times New Roman"/>
        <charset val="134"/>
      </rPr>
      <t xml:space="preserve"> </t>
    </r>
    <r>
      <rPr>
        <sz val="11"/>
        <color rgb="FF000000"/>
        <rFont val="宋体"/>
        <charset val="134"/>
      </rPr>
      <t>空调系统</t>
    </r>
  </si>
  <si>
    <t>ATA23</t>
  </si>
  <si>
    <r>
      <rPr>
        <sz val="11"/>
        <color rgb="FF000000"/>
        <rFont val="Times New Roman"/>
        <charset val="134"/>
      </rPr>
      <t xml:space="preserve">EATA23 </t>
    </r>
    <r>
      <rPr>
        <sz val="11"/>
        <color rgb="FF000000"/>
        <rFont val="宋体"/>
        <charset val="134"/>
      </rPr>
      <t>通信系统</t>
    </r>
  </si>
  <si>
    <t>ATA24</t>
  </si>
  <si>
    <r>
      <rPr>
        <sz val="11"/>
        <color rgb="FF000000"/>
        <rFont val="Times New Roman"/>
        <charset val="134"/>
      </rPr>
      <t>EATA24</t>
    </r>
    <r>
      <rPr>
        <sz val="11"/>
        <color rgb="FF000000"/>
        <rFont val="Times New Roman"/>
        <charset val="134"/>
      </rPr>
      <t xml:space="preserve"> </t>
    </r>
    <r>
      <rPr>
        <sz val="11"/>
        <color rgb="FF000000"/>
        <rFont val="宋体"/>
        <charset val="134"/>
      </rPr>
      <t>电源系统</t>
    </r>
  </si>
  <si>
    <t>ATA25</t>
  </si>
  <si>
    <r>
      <rPr>
        <sz val="11"/>
        <color rgb="FF000000"/>
        <rFont val="Times New Roman"/>
        <charset val="134"/>
      </rPr>
      <t>EATA25</t>
    </r>
    <r>
      <rPr>
        <sz val="11"/>
        <color rgb="FF000000"/>
        <rFont val="Times New Roman"/>
        <charset val="134"/>
      </rPr>
      <t xml:space="preserve"> </t>
    </r>
    <r>
      <rPr>
        <sz val="11"/>
        <color rgb="FF000000"/>
        <rFont val="宋体"/>
        <charset val="134"/>
      </rPr>
      <t>设备</t>
    </r>
    <r>
      <rPr>
        <sz val="11"/>
        <color rgb="FF000000"/>
        <rFont val="Times New Roman"/>
        <charset val="134"/>
      </rPr>
      <t>/</t>
    </r>
    <r>
      <rPr>
        <sz val="11"/>
        <color rgb="FF000000"/>
        <rFont val="宋体"/>
        <charset val="134"/>
      </rPr>
      <t>装饰</t>
    </r>
  </si>
  <si>
    <t>ATA26</t>
  </si>
  <si>
    <r>
      <rPr>
        <sz val="11"/>
        <color rgb="FF000000"/>
        <rFont val="Times New Roman"/>
        <charset val="134"/>
      </rPr>
      <t>EATA26</t>
    </r>
    <r>
      <rPr>
        <sz val="11"/>
        <color rgb="FF000000"/>
        <rFont val="Times New Roman"/>
        <charset val="134"/>
      </rPr>
      <t xml:space="preserve"> </t>
    </r>
    <r>
      <rPr>
        <sz val="11"/>
        <color rgb="FF000000"/>
        <rFont val="宋体"/>
        <charset val="134"/>
      </rPr>
      <t>防火</t>
    </r>
  </si>
  <si>
    <t>ATA27</t>
  </si>
  <si>
    <r>
      <rPr>
        <sz val="11"/>
        <color rgb="FF000000"/>
        <rFont val="Times New Roman"/>
        <charset val="134"/>
      </rPr>
      <t xml:space="preserve">EATA27 </t>
    </r>
    <r>
      <rPr>
        <sz val="11"/>
        <color rgb="FF000000"/>
        <rFont val="宋体"/>
        <charset val="134"/>
      </rPr>
      <t>飞行控制系统</t>
    </r>
  </si>
  <si>
    <t>ATA30</t>
  </si>
  <si>
    <r>
      <rPr>
        <sz val="11"/>
        <color rgb="FF000000"/>
        <rFont val="Times New Roman"/>
        <charset val="134"/>
      </rPr>
      <t xml:space="preserve">EATA30 </t>
    </r>
    <r>
      <rPr>
        <sz val="11"/>
        <color rgb="FF000000"/>
        <rFont val="宋体"/>
        <charset val="134"/>
      </rPr>
      <t>防除冰和除雨</t>
    </r>
  </si>
  <si>
    <t>ATA31</t>
  </si>
  <si>
    <r>
      <rPr>
        <sz val="11"/>
        <color rgb="FF000000"/>
        <rFont val="Times New Roman"/>
        <charset val="134"/>
      </rPr>
      <t>EATA31</t>
    </r>
    <r>
      <rPr>
        <sz val="11"/>
        <color rgb="FF000000"/>
        <rFont val="Times New Roman"/>
        <charset val="134"/>
      </rPr>
      <t xml:space="preserve"> </t>
    </r>
    <r>
      <rPr>
        <sz val="11"/>
        <color rgb="FF000000"/>
        <rFont val="宋体"/>
        <charset val="134"/>
      </rPr>
      <t>指示记录系统</t>
    </r>
  </si>
  <si>
    <t>ATA32</t>
  </si>
  <si>
    <r>
      <rPr>
        <sz val="11"/>
        <color rgb="FF000000"/>
        <rFont val="Times New Roman"/>
        <charset val="134"/>
      </rPr>
      <t>EATA32</t>
    </r>
    <r>
      <rPr>
        <sz val="11"/>
        <color rgb="FF000000"/>
        <rFont val="Times New Roman"/>
        <charset val="134"/>
      </rPr>
      <t xml:space="preserve"> </t>
    </r>
    <r>
      <rPr>
        <sz val="11"/>
        <color rgb="FF000000"/>
        <rFont val="宋体"/>
        <charset val="134"/>
      </rPr>
      <t>起落架系统</t>
    </r>
  </si>
  <si>
    <t>ATA33</t>
  </si>
  <si>
    <r>
      <rPr>
        <sz val="11"/>
        <color rgb="FF000000"/>
        <rFont val="Times New Roman"/>
        <charset val="134"/>
      </rPr>
      <t>EATA33</t>
    </r>
    <r>
      <rPr>
        <sz val="11"/>
        <color rgb="FF000000"/>
        <rFont val="Times New Roman"/>
        <charset val="134"/>
      </rPr>
      <t xml:space="preserve"> </t>
    </r>
    <r>
      <rPr>
        <sz val="11"/>
        <color rgb="FF000000"/>
        <rFont val="宋体"/>
        <charset val="134"/>
      </rPr>
      <t>照明系统</t>
    </r>
  </si>
  <si>
    <t>ATA34</t>
  </si>
  <si>
    <r>
      <rPr>
        <sz val="11"/>
        <color rgb="FF000000"/>
        <rFont val="Times New Roman"/>
        <charset val="134"/>
      </rPr>
      <t>EATA34</t>
    </r>
    <r>
      <rPr>
        <sz val="11"/>
        <color rgb="FF000000"/>
        <rFont val="Times New Roman"/>
        <charset val="134"/>
      </rPr>
      <t xml:space="preserve"> </t>
    </r>
    <r>
      <rPr>
        <sz val="11"/>
        <color rgb="FF000000"/>
        <rFont val="宋体"/>
        <charset val="134"/>
      </rPr>
      <t>导航系统</t>
    </r>
  </si>
  <si>
    <t>ATA35</t>
  </si>
  <si>
    <r>
      <rPr>
        <sz val="11"/>
        <color rgb="FF000000"/>
        <rFont val="Times New Roman"/>
        <charset val="134"/>
      </rPr>
      <t xml:space="preserve">EATA35 </t>
    </r>
    <r>
      <rPr>
        <sz val="11"/>
        <color rgb="FF000000"/>
        <rFont val="宋体"/>
        <charset val="134"/>
      </rPr>
      <t>氧气</t>
    </r>
  </si>
  <si>
    <t>ATA38</t>
  </si>
  <si>
    <r>
      <rPr>
        <sz val="11"/>
        <color rgb="FF000000"/>
        <rFont val="Times New Roman"/>
        <charset val="134"/>
      </rPr>
      <t>EATA38</t>
    </r>
    <r>
      <rPr>
        <sz val="11"/>
        <color rgb="FF000000"/>
        <rFont val="Times New Roman"/>
        <charset val="134"/>
      </rPr>
      <t xml:space="preserve"> </t>
    </r>
    <r>
      <rPr>
        <sz val="11"/>
        <color rgb="FF000000"/>
        <rFont val="宋体"/>
        <charset val="134"/>
      </rPr>
      <t>水</t>
    </r>
    <r>
      <rPr>
        <sz val="11"/>
        <color rgb="FF000000"/>
        <rFont val="Times New Roman"/>
        <charset val="134"/>
      </rPr>
      <t>/</t>
    </r>
    <r>
      <rPr>
        <sz val="11"/>
        <color rgb="FF000000"/>
        <rFont val="宋体"/>
        <charset val="134"/>
      </rPr>
      <t>废水</t>
    </r>
  </si>
  <si>
    <t>ATA42</t>
  </si>
  <si>
    <r>
      <rPr>
        <sz val="11"/>
        <color rgb="FF000000"/>
        <rFont val="Times New Roman"/>
        <charset val="134"/>
      </rPr>
      <t>EATA42</t>
    </r>
    <r>
      <rPr>
        <sz val="11"/>
        <color rgb="FF000000"/>
        <rFont val="Times New Roman"/>
        <charset val="134"/>
      </rPr>
      <t xml:space="preserve"> </t>
    </r>
    <r>
      <rPr>
        <sz val="11"/>
        <color rgb="FF000000"/>
        <rFont val="宋体"/>
        <charset val="134"/>
      </rPr>
      <t>机载处理与网络系统</t>
    </r>
  </si>
  <si>
    <t>ATA44</t>
  </si>
  <si>
    <r>
      <rPr>
        <sz val="11"/>
        <color rgb="FF000000"/>
        <rFont val="Times New Roman"/>
        <charset val="134"/>
      </rPr>
      <t>EATA44</t>
    </r>
    <r>
      <rPr>
        <sz val="11"/>
        <color rgb="FF000000"/>
        <rFont val="Times New Roman"/>
        <charset val="134"/>
      </rPr>
      <t xml:space="preserve"> </t>
    </r>
    <r>
      <rPr>
        <sz val="11"/>
        <color rgb="FF000000"/>
        <rFont val="宋体"/>
        <charset val="134"/>
      </rPr>
      <t>客舱系统</t>
    </r>
  </si>
  <si>
    <t>ATA45</t>
  </si>
  <si>
    <r>
      <rPr>
        <sz val="11"/>
        <color rgb="FF000000"/>
        <rFont val="Times New Roman"/>
        <charset val="134"/>
      </rPr>
      <t>EATA45</t>
    </r>
    <r>
      <rPr>
        <sz val="11"/>
        <color rgb="FF000000"/>
        <rFont val="Times New Roman"/>
        <charset val="134"/>
      </rPr>
      <t xml:space="preserve"> </t>
    </r>
    <r>
      <rPr>
        <sz val="11"/>
        <color rgb="FF000000"/>
        <rFont val="宋体"/>
        <charset val="134"/>
      </rPr>
      <t>维护与健康管理系统</t>
    </r>
  </si>
  <si>
    <t>ATA46</t>
  </si>
  <si>
    <r>
      <rPr>
        <sz val="11"/>
        <color rgb="FF000000"/>
        <rFont val="Times New Roman"/>
        <charset val="134"/>
      </rPr>
      <t>EATA46</t>
    </r>
    <r>
      <rPr>
        <sz val="11"/>
        <color rgb="FF000000"/>
        <rFont val="Times New Roman"/>
        <charset val="134"/>
      </rPr>
      <t xml:space="preserve"> </t>
    </r>
    <r>
      <rPr>
        <sz val="11"/>
        <color rgb="FF000000"/>
        <rFont val="宋体"/>
        <charset val="134"/>
      </rPr>
      <t>信息系统</t>
    </r>
  </si>
  <si>
    <t>ATA52</t>
  </si>
  <si>
    <r>
      <rPr>
        <sz val="11"/>
        <color rgb="FF000000"/>
        <rFont val="Times New Roman"/>
        <charset val="134"/>
      </rPr>
      <t>EATA52</t>
    </r>
    <r>
      <rPr>
        <sz val="11"/>
        <color rgb="FF000000"/>
        <rFont val="Times New Roman"/>
        <charset val="134"/>
      </rPr>
      <t xml:space="preserve"> </t>
    </r>
    <r>
      <rPr>
        <sz val="11"/>
        <color rgb="FF000000"/>
        <rFont val="宋体"/>
        <charset val="134"/>
      </rPr>
      <t>舱门</t>
    </r>
  </si>
  <si>
    <t>ATA86</t>
  </si>
  <si>
    <r>
      <rPr>
        <sz val="11"/>
        <color rgb="FF000000"/>
        <rFont val="Times New Roman"/>
        <charset val="134"/>
      </rPr>
      <t>EATA86</t>
    </r>
    <r>
      <rPr>
        <sz val="11"/>
        <color rgb="FF000000"/>
        <rFont val="Times New Roman"/>
        <charset val="134"/>
      </rPr>
      <t xml:space="preserve"> </t>
    </r>
    <r>
      <rPr>
        <sz val="11"/>
        <color rgb="FF000000"/>
        <rFont val="宋体"/>
        <charset val="134"/>
      </rPr>
      <t>电推进系统</t>
    </r>
  </si>
  <si>
    <t>ATA87</t>
  </si>
  <si>
    <r>
      <rPr>
        <sz val="11"/>
        <color rgb="FF000000"/>
        <rFont val="Times New Roman"/>
        <charset val="134"/>
      </rPr>
      <t xml:space="preserve">EATA87 </t>
    </r>
    <r>
      <rPr>
        <sz val="11"/>
        <color rgb="FF000000"/>
        <rFont val="宋体"/>
        <charset val="134"/>
      </rPr>
      <t>试飞改装</t>
    </r>
  </si>
  <si>
    <t>ATA90</t>
  </si>
  <si>
    <r>
      <rPr>
        <sz val="11"/>
        <color rgb="FF000000"/>
        <rFont val="Times New Roman"/>
        <charset val="134"/>
      </rPr>
      <t>EATA90</t>
    </r>
    <r>
      <rPr>
        <sz val="11"/>
        <color rgb="FF000000"/>
        <rFont val="Times New Roman"/>
        <charset val="134"/>
      </rPr>
      <t xml:space="preserve"> </t>
    </r>
    <r>
      <rPr>
        <sz val="11"/>
        <color rgb="FF000000"/>
        <rFont val="宋体"/>
        <charset val="134"/>
      </rPr>
      <t>自主飞行系统</t>
    </r>
  </si>
  <si>
    <t>ATA92</t>
  </si>
  <si>
    <r>
      <rPr>
        <sz val="11"/>
        <color rgb="FF000000"/>
        <rFont val="Times New Roman"/>
        <charset val="134"/>
      </rPr>
      <t>EATA92</t>
    </r>
    <r>
      <rPr>
        <sz val="11"/>
        <color rgb="FF000000"/>
        <rFont val="Times New Roman"/>
        <charset val="134"/>
      </rPr>
      <t xml:space="preserve"> </t>
    </r>
    <r>
      <rPr>
        <sz val="11"/>
        <color rgb="FF000000"/>
        <rFont val="宋体"/>
        <charset val="134"/>
      </rPr>
      <t>地面网联系统</t>
    </r>
  </si>
  <si>
    <t>序号</t>
  </si>
  <si>
    <t>系统章节</t>
  </si>
  <si>
    <t>设备名称</t>
  </si>
  <si>
    <t>设备编号</t>
  </si>
  <si>
    <t>LIN号</t>
  </si>
  <si>
    <t>安装位置</t>
  </si>
  <si>
    <t>是否为用电设备</t>
  </si>
  <si>
    <t>是否为一级用电设备</t>
  </si>
  <si>
    <t>备注</t>
  </si>
  <si>
    <r>
      <rPr>
        <sz val="11"/>
        <rFont val="Times New Roman"/>
        <charset val="134"/>
      </rPr>
      <t xml:space="preserve">EATA23 </t>
    </r>
    <r>
      <rPr>
        <sz val="11"/>
        <rFont val="宋体"/>
        <charset val="134"/>
      </rPr>
      <t>通信系统</t>
    </r>
  </si>
  <si>
    <r>
      <rPr>
        <sz val="11"/>
        <rFont val="Times New Roman"/>
        <charset val="134"/>
      </rPr>
      <t>ELT</t>
    </r>
    <r>
      <rPr>
        <sz val="11"/>
        <rFont val="宋体"/>
        <charset val="134"/>
      </rPr>
      <t>发射器</t>
    </r>
  </si>
  <si>
    <t>2321E01001G900</t>
  </si>
  <si>
    <t>2301U3101</t>
  </si>
  <si>
    <r>
      <rPr>
        <sz val="11"/>
        <rFont val="宋体"/>
        <charset val="134"/>
      </rPr>
      <t>客舱</t>
    </r>
    <r>
      <rPr>
        <sz val="11"/>
        <rFont val="Times New Roman"/>
        <charset val="134"/>
      </rPr>
      <t>-</t>
    </r>
    <r>
      <rPr>
        <sz val="11"/>
        <rFont val="宋体"/>
        <charset val="134"/>
      </rPr>
      <t>顶部</t>
    </r>
  </si>
  <si>
    <t>是</t>
  </si>
  <si>
    <r>
      <rPr>
        <sz val="11"/>
        <rFont val="Times New Roman"/>
        <charset val="134"/>
      </rPr>
      <t>ELT</t>
    </r>
    <r>
      <rPr>
        <sz val="11"/>
        <rFont val="宋体"/>
        <charset val="134"/>
      </rPr>
      <t>天线</t>
    </r>
  </si>
  <si>
    <t>2321E01003G900</t>
  </si>
  <si>
    <t>2301A3901</t>
  </si>
  <si>
    <r>
      <rPr>
        <sz val="11"/>
        <rFont val="宋体"/>
        <charset val="134"/>
      </rPr>
      <t>客舱</t>
    </r>
    <r>
      <rPr>
        <sz val="11"/>
        <rFont val="Times New Roman"/>
        <charset val="134"/>
      </rPr>
      <t>-</t>
    </r>
    <r>
      <rPr>
        <sz val="11"/>
        <rFont val="宋体"/>
        <charset val="134"/>
      </rPr>
      <t>外部</t>
    </r>
  </si>
  <si>
    <t>否</t>
  </si>
  <si>
    <r>
      <rPr>
        <sz val="11"/>
        <rFont val="宋体"/>
        <charset val="134"/>
      </rPr>
      <t>音频管理单元</t>
    </r>
    <r>
      <rPr>
        <sz val="11"/>
        <rFont val="Times New Roman"/>
        <charset val="134"/>
      </rPr>
      <t>1</t>
    </r>
  </si>
  <si>
    <t>2350E01001G900</t>
  </si>
  <si>
    <t>2302U2501</t>
  </si>
  <si>
    <r>
      <rPr>
        <sz val="11"/>
        <rFont val="宋体"/>
        <charset val="134"/>
      </rPr>
      <t>驾驶舱</t>
    </r>
    <r>
      <rPr>
        <sz val="11"/>
        <rFont val="Times New Roman"/>
        <charset val="134"/>
      </rPr>
      <t>-</t>
    </r>
    <r>
      <rPr>
        <sz val="11"/>
        <rFont val="宋体"/>
        <charset val="134"/>
      </rPr>
      <t>左设备架</t>
    </r>
  </si>
  <si>
    <r>
      <rPr>
        <sz val="11"/>
        <rFont val="宋体"/>
        <charset val="134"/>
      </rPr>
      <t>音频管理单元</t>
    </r>
    <r>
      <rPr>
        <sz val="11"/>
        <rFont val="Times New Roman"/>
        <charset val="134"/>
      </rPr>
      <t>2</t>
    </r>
  </si>
  <si>
    <t>2302U2603</t>
  </si>
  <si>
    <r>
      <rPr>
        <sz val="11"/>
        <rFont val="宋体"/>
        <charset val="134"/>
      </rPr>
      <t>驾驶舱</t>
    </r>
    <r>
      <rPr>
        <sz val="11"/>
        <rFont val="Times New Roman"/>
        <charset val="134"/>
      </rPr>
      <t>-</t>
    </r>
    <r>
      <rPr>
        <sz val="11"/>
        <rFont val="宋体"/>
        <charset val="134"/>
      </rPr>
      <t>右设备架</t>
    </r>
  </si>
  <si>
    <r>
      <rPr>
        <sz val="11"/>
        <rFont val="宋体"/>
        <charset val="134"/>
      </rPr>
      <t>音频插孔面板</t>
    </r>
    <r>
      <rPr>
        <sz val="11"/>
        <rFont val="Times New Roman"/>
        <charset val="134"/>
      </rPr>
      <t>1</t>
    </r>
  </si>
  <si>
    <t>2350E02001G900</t>
  </si>
  <si>
    <t>2302D2401</t>
  </si>
  <si>
    <r>
      <rPr>
        <sz val="11"/>
        <rFont val="宋体"/>
        <charset val="134"/>
      </rPr>
      <t>驾驶舱</t>
    </r>
    <r>
      <rPr>
        <sz val="11"/>
        <rFont val="Times New Roman"/>
        <charset val="134"/>
      </rPr>
      <t>-</t>
    </r>
    <r>
      <rPr>
        <sz val="11"/>
        <rFont val="宋体"/>
        <charset val="134"/>
      </rPr>
      <t>控制面板</t>
    </r>
  </si>
  <si>
    <r>
      <rPr>
        <sz val="11"/>
        <rFont val="宋体"/>
        <charset val="134"/>
      </rPr>
      <t>音频插孔面板</t>
    </r>
    <r>
      <rPr>
        <sz val="11"/>
        <rFont val="Times New Roman"/>
        <charset val="134"/>
      </rPr>
      <t>2</t>
    </r>
  </si>
  <si>
    <t>2302D2403</t>
  </si>
  <si>
    <r>
      <rPr>
        <sz val="11"/>
        <rFont val="宋体"/>
        <charset val="134"/>
      </rPr>
      <t>悬臂式耳机</t>
    </r>
    <r>
      <rPr>
        <sz val="11"/>
        <rFont val="Times New Roman"/>
        <charset val="134"/>
      </rPr>
      <t>1</t>
    </r>
  </si>
  <si>
    <t>2350E02003G900</t>
  </si>
  <si>
    <t>2302R2101</t>
  </si>
  <si>
    <r>
      <rPr>
        <sz val="11"/>
        <rFont val="宋体"/>
        <charset val="134"/>
      </rPr>
      <t>驾驶舱</t>
    </r>
    <r>
      <rPr>
        <sz val="11"/>
        <rFont val="Times New Roman"/>
        <charset val="134"/>
      </rPr>
      <t>-</t>
    </r>
    <r>
      <rPr>
        <sz val="11"/>
        <rFont val="宋体"/>
        <charset val="134"/>
      </rPr>
      <t>顶部</t>
    </r>
  </si>
  <si>
    <r>
      <rPr>
        <sz val="11"/>
        <rFont val="宋体"/>
        <charset val="134"/>
      </rPr>
      <t>悬臂式耳机</t>
    </r>
    <r>
      <rPr>
        <sz val="11"/>
        <rFont val="Times New Roman"/>
        <charset val="134"/>
      </rPr>
      <t>2</t>
    </r>
  </si>
  <si>
    <t>2302R2103</t>
  </si>
  <si>
    <r>
      <rPr>
        <sz val="11"/>
        <rFont val="宋体"/>
        <charset val="134"/>
      </rPr>
      <t>手持话筒</t>
    </r>
    <r>
      <rPr>
        <sz val="11"/>
        <rFont val="Times New Roman"/>
        <charset val="134"/>
      </rPr>
      <t>1</t>
    </r>
  </si>
  <si>
    <t>2350E02005G900</t>
  </si>
  <si>
    <t>2302D2101</t>
  </si>
  <si>
    <r>
      <rPr>
        <sz val="11"/>
        <rFont val="宋体"/>
        <charset val="134"/>
      </rPr>
      <t>手持话筒</t>
    </r>
    <r>
      <rPr>
        <sz val="11"/>
        <rFont val="Times New Roman"/>
        <charset val="134"/>
      </rPr>
      <t>2</t>
    </r>
  </si>
  <si>
    <t>2302D2103</t>
  </si>
  <si>
    <r>
      <rPr>
        <sz val="11"/>
        <rFont val="宋体"/>
        <charset val="134"/>
      </rPr>
      <t>扬声器</t>
    </r>
    <r>
      <rPr>
        <sz val="11"/>
        <rFont val="Times New Roman"/>
        <charset val="134"/>
      </rPr>
      <t>1</t>
    </r>
  </si>
  <si>
    <t>2350E02007G900</t>
  </si>
  <si>
    <t>2302E2101</t>
  </si>
  <si>
    <r>
      <rPr>
        <sz val="11"/>
        <rFont val="宋体"/>
        <charset val="134"/>
      </rPr>
      <t>扬声器</t>
    </r>
    <r>
      <rPr>
        <sz val="11"/>
        <rFont val="Times New Roman"/>
        <charset val="134"/>
      </rPr>
      <t>2</t>
    </r>
  </si>
  <si>
    <t>2302E2103</t>
  </si>
  <si>
    <r>
      <rPr>
        <sz val="11"/>
        <rFont val="宋体"/>
        <charset val="134"/>
      </rPr>
      <t>后缘型静电放电器</t>
    </r>
    <r>
      <rPr>
        <sz val="11"/>
        <rFont val="Times New Roman"/>
        <charset val="134"/>
      </rPr>
      <t>1</t>
    </r>
  </si>
  <si>
    <t>2362E01001G900</t>
  </si>
  <si>
    <t>2315G6201</t>
  </si>
  <si>
    <r>
      <rPr>
        <sz val="11"/>
        <rFont val="宋体"/>
        <charset val="134"/>
      </rPr>
      <t>机翼</t>
    </r>
    <r>
      <rPr>
        <sz val="11"/>
        <rFont val="Times New Roman"/>
        <charset val="134"/>
      </rPr>
      <t>-</t>
    </r>
    <r>
      <rPr>
        <sz val="11"/>
        <rFont val="宋体"/>
        <charset val="134"/>
      </rPr>
      <t>机翼外段</t>
    </r>
  </si>
  <si>
    <r>
      <rPr>
        <sz val="11"/>
        <rFont val="宋体"/>
        <charset val="134"/>
      </rPr>
      <t>后缘型静电放电器</t>
    </r>
    <r>
      <rPr>
        <sz val="11"/>
        <rFont val="Times New Roman"/>
        <charset val="134"/>
      </rPr>
      <t>2</t>
    </r>
  </si>
  <si>
    <t>2315G6203</t>
  </si>
  <si>
    <r>
      <rPr>
        <sz val="11"/>
        <rFont val="宋体"/>
        <charset val="134"/>
      </rPr>
      <t>后缘型静电放电器</t>
    </r>
    <r>
      <rPr>
        <sz val="11"/>
        <rFont val="Times New Roman"/>
        <charset val="134"/>
      </rPr>
      <t>3</t>
    </r>
  </si>
  <si>
    <t>2315G6205</t>
  </si>
  <si>
    <r>
      <rPr>
        <sz val="11"/>
        <rFont val="宋体"/>
        <charset val="134"/>
      </rPr>
      <t>后缘型静电放电器</t>
    </r>
    <r>
      <rPr>
        <sz val="11"/>
        <rFont val="Times New Roman"/>
        <charset val="134"/>
      </rPr>
      <t>4</t>
    </r>
  </si>
  <si>
    <t>2315G6207</t>
  </si>
  <si>
    <r>
      <rPr>
        <sz val="11"/>
        <rFont val="宋体"/>
        <charset val="134"/>
      </rPr>
      <t>后缘型静电放电器</t>
    </r>
    <r>
      <rPr>
        <sz val="11"/>
        <rFont val="Times New Roman"/>
        <charset val="134"/>
      </rPr>
      <t>5</t>
    </r>
  </si>
  <si>
    <t>2315G6209</t>
  </si>
  <si>
    <r>
      <rPr>
        <sz val="11"/>
        <rFont val="宋体"/>
        <charset val="134"/>
      </rPr>
      <t>后缘型静电放电器</t>
    </r>
    <r>
      <rPr>
        <sz val="11"/>
        <rFont val="Times New Roman"/>
        <charset val="134"/>
      </rPr>
      <t>6</t>
    </r>
  </si>
  <si>
    <t>2315G6211</t>
  </si>
  <si>
    <r>
      <rPr>
        <sz val="11"/>
        <rFont val="宋体"/>
        <charset val="134"/>
      </rPr>
      <t>后缘型静电放电器</t>
    </r>
    <r>
      <rPr>
        <sz val="11"/>
        <rFont val="Times New Roman"/>
        <charset val="134"/>
      </rPr>
      <t>7</t>
    </r>
  </si>
  <si>
    <t>2315G8301</t>
  </si>
  <si>
    <r>
      <rPr>
        <sz val="11"/>
        <rFont val="宋体"/>
        <charset val="134"/>
      </rPr>
      <t>尾段</t>
    </r>
    <r>
      <rPr>
        <sz val="11"/>
        <rFont val="Times New Roman"/>
        <charset val="134"/>
      </rPr>
      <t>-</t>
    </r>
    <r>
      <rPr>
        <sz val="11"/>
        <rFont val="宋体"/>
        <charset val="134"/>
      </rPr>
      <t>水平尾翼</t>
    </r>
  </si>
  <si>
    <r>
      <rPr>
        <sz val="11"/>
        <rFont val="宋体"/>
        <charset val="134"/>
      </rPr>
      <t>后缘型静电放电器</t>
    </r>
    <r>
      <rPr>
        <sz val="11"/>
        <rFont val="Times New Roman"/>
        <charset val="134"/>
      </rPr>
      <t>8</t>
    </r>
  </si>
  <si>
    <t>2315G8303</t>
  </si>
  <si>
    <r>
      <rPr>
        <sz val="11"/>
        <rFont val="宋体"/>
        <charset val="134"/>
      </rPr>
      <t>后缘型静电放电器</t>
    </r>
    <r>
      <rPr>
        <sz val="11"/>
        <rFont val="Times New Roman"/>
        <charset val="134"/>
      </rPr>
      <t>9</t>
    </r>
  </si>
  <si>
    <t>2315G8305</t>
  </si>
  <si>
    <r>
      <rPr>
        <sz val="11"/>
        <rFont val="宋体"/>
        <charset val="134"/>
      </rPr>
      <t>后缘型静电放电器</t>
    </r>
    <r>
      <rPr>
        <sz val="11"/>
        <rFont val="Times New Roman"/>
        <charset val="134"/>
      </rPr>
      <t>10</t>
    </r>
  </si>
  <si>
    <t>2315G8307</t>
  </si>
  <si>
    <r>
      <rPr>
        <sz val="11"/>
        <rFont val="宋体"/>
        <charset val="134"/>
      </rPr>
      <t>后缘型静电放电器</t>
    </r>
    <r>
      <rPr>
        <sz val="11"/>
        <rFont val="Times New Roman"/>
        <charset val="134"/>
      </rPr>
      <t>11</t>
    </r>
  </si>
  <si>
    <t>2315G8309</t>
  </si>
  <si>
    <r>
      <rPr>
        <sz val="11"/>
        <rFont val="宋体"/>
        <charset val="134"/>
      </rPr>
      <t>后缘型静电放电器</t>
    </r>
    <r>
      <rPr>
        <sz val="11"/>
        <rFont val="Times New Roman"/>
        <charset val="134"/>
      </rPr>
      <t>12</t>
    </r>
  </si>
  <si>
    <t>2315G8311</t>
  </si>
  <si>
    <r>
      <rPr>
        <sz val="11"/>
        <rFont val="宋体"/>
        <charset val="134"/>
      </rPr>
      <t>后缘型静电放电器</t>
    </r>
    <r>
      <rPr>
        <sz val="11"/>
        <rFont val="Times New Roman"/>
        <charset val="134"/>
      </rPr>
      <t>13</t>
    </r>
  </si>
  <si>
    <t>2315G8201</t>
  </si>
  <si>
    <r>
      <rPr>
        <sz val="11"/>
        <rFont val="宋体"/>
        <charset val="134"/>
      </rPr>
      <t>尾段</t>
    </r>
    <r>
      <rPr>
        <sz val="11"/>
        <rFont val="Times New Roman"/>
        <charset val="134"/>
      </rPr>
      <t>-</t>
    </r>
    <r>
      <rPr>
        <sz val="11"/>
        <rFont val="宋体"/>
        <charset val="134"/>
      </rPr>
      <t>垂直尾翼</t>
    </r>
  </si>
  <si>
    <r>
      <rPr>
        <sz val="11"/>
        <rFont val="宋体"/>
        <charset val="134"/>
      </rPr>
      <t>后缘型静电放电器</t>
    </r>
    <r>
      <rPr>
        <sz val="11"/>
        <rFont val="Times New Roman"/>
        <charset val="134"/>
      </rPr>
      <t>14</t>
    </r>
  </si>
  <si>
    <t>2315G8203</t>
  </si>
  <si>
    <r>
      <rPr>
        <sz val="11"/>
        <rFont val="宋体"/>
        <charset val="134"/>
      </rPr>
      <t>后缘型静电放电器</t>
    </r>
    <r>
      <rPr>
        <sz val="11"/>
        <rFont val="Times New Roman"/>
        <charset val="134"/>
      </rPr>
      <t>15</t>
    </r>
  </si>
  <si>
    <t>2315G8205</t>
  </si>
  <si>
    <r>
      <rPr>
        <sz val="11"/>
        <rFont val="Times New Roman"/>
        <charset val="134"/>
      </rPr>
      <t>5G ATG</t>
    </r>
    <r>
      <rPr>
        <sz val="11"/>
        <rFont val="宋体"/>
        <charset val="134"/>
      </rPr>
      <t>机载</t>
    </r>
    <r>
      <rPr>
        <sz val="11"/>
        <rFont val="Times New Roman"/>
        <charset val="134"/>
      </rPr>
      <t>CPE</t>
    </r>
  </si>
  <si>
    <t>2393E01001G900</t>
  </si>
  <si>
    <t>2301U3501</t>
  </si>
  <si>
    <t>客舱-后设备舱左设备架</t>
  </si>
  <si>
    <t>功率放大器</t>
  </si>
  <si>
    <t>2393E01001U900</t>
  </si>
  <si>
    <t>2301U3502</t>
  </si>
  <si>
    <r>
      <rPr>
        <sz val="11"/>
        <rFont val="Times New Roman"/>
        <charset val="134"/>
      </rPr>
      <t>5G ATG</t>
    </r>
    <r>
      <rPr>
        <sz val="11"/>
        <rFont val="宋体"/>
        <charset val="134"/>
      </rPr>
      <t>全向天线</t>
    </r>
  </si>
  <si>
    <t>2393E01003U900</t>
  </si>
  <si>
    <t>2301A4901</t>
  </si>
  <si>
    <r>
      <rPr>
        <sz val="11"/>
        <rFont val="宋体"/>
        <charset val="134"/>
      </rPr>
      <t>下机身前段</t>
    </r>
    <r>
      <rPr>
        <sz val="11"/>
        <rFont val="Times New Roman"/>
        <charset val="134"/>
      </rPr>
      <t>-</t>
    </r>
    <r>
      <rPr>
        <sz val="11"/>
        <rFont val="宋体"/>
        <charset val="134"/>
      </rPr>
      <t>外部</t>
    </r>
  </si>
  <si>
    <t>电源转换模块</t>
  </si>
  <si>
    <t>2393E01005U900</t>
  </si>
  <si>
    <t>2301T3401</t>
  </si>
  <si>
    <r>
      <rPr>
        <sz val="11"/>
        <rFont val="宋体"/>
        <charset val="134"/>
      </rPr>
      <t>客舱</t>
    </r>
    <r>
      <rPr>
        <sz val="11"/>
        <rFont val="Times New Roman"/>
        <charset val="134"/>
      </rPr>
      <t>-</t>
    </r>
    <r>
      <rPr>
        <sz val="11"/>
        <rFont val="宋体"/>
        <charset val="134"/>
      </rPr>
      <t>后设备舱盘箱</t>
    </r>
  </si>
  <si>
    <r>
      <rPr>
        <sz val="11"/>
        <rFont val="Times New Roman"/>
        <charset val="134"/>
      </rPr>
      <t xml:space="preserve">EATA24 </t>
    </r>
    <r>
      <rPr>
        <sz val="11"/>
        <rFont val="宋体"/>
        <charset val="134"/>
      </rPr>
      <t>电源系统</t>
    </r>
  </si>
  <si>
    <r>
      <rPr>
        <sz val="11"/>
        <rFont val="Times New Roman"/>
        <charset val="134"/>
      </rPr>
      <t>E 270V</t>
    </r>
    <r>
      <rPr>
        <sz val="11"/>
        <rFont val="宋体"/>
        <charset val="134"/>
      </rPr>
      <t>电池（含</t>
    </r>
    <r>
      <rPr>
        <sz val="11"/>
        <rFont val="Times New Roman"/>
        <charset val="134"/>
      </rPr>
      <t>BMS</t>
    </r>
    <r>
      <rPr>
        <sz val="11"/>
        <rFont val="宋体"/>
        <charset val="134"/>
      </rPr>
      <t>）</t>
    </r>
  </si>
  <si>
    <t>2431E01001G900</t>
  </si>
  <si>
    <t>2401G4101</t>
  </si>
  <si>
    <r>
      <rPr>
        <sz val="11"/>
        <rFont val="宋体"/>
        <charset val="134"/>
      </rPr>
      <t>下机身前段</t>
    </r>
    <r>
      <rPr>
        <sz val="11"/>
        <rFont val="Times New Roman"/>
        <charset val="134"/>
      </rPr>
      <t>-</t>
    </r>
    <r>
      <rPr>
        <sz val="11"/>
        <rFont val="宋体"/>
        <charset val="134"/>
      </rPr>
      <t>前设备舱</t>
    </r>
  </si>
  <si>
    <r>
      <rPr>
        <sz val="11"/>
        <rFont val="Times New Roman"/>
        <charset val="134"/>
      </rPr>
      <t>LR 270V</t>
    </r>
    <r>
      <rPr>
        <sz val="11"/>
        <rFont val="宋体"/>
        <charset val="134"/>
      </rPr>
      <t>电池（含</t>
    </r>
    <r>
      <rPr>
        <sz val="11"/>
        <rFont val="Times New Roman"/>
        <charset val="134"/>
      </rPr>
      <t>BMS</t>
    </r>
    <r>
      <rPr>
        <sz val="11"/>
        <rFont val="宋体"/>
        <charset val="134"/>
      </rPr>
      <t>）</t>
    </r>
  </si>
  <si>
    <t>2431E01003G900</t>
  </si>
  <si>
    <t>2401G5201</t>
  </si>
  <si>
    <r>
      <rPr>
        <sz val="11"/>
        <rFont val="宋体"/>
        <charset val="134"/>
      </rPr>
      <t>下机身后段</t>
    </r>
    <r>
      <rPr>
        <sz val="11"/>
        <rFont val="Times New Roman"/>
        <charset val="134"/>
      </rPr>
      <t>-</t>
    </r>
    <r>
      <rPr>
        <sz val="11"/>
        <rFont val="宋体"/>
        <charset val="134"/>
      </rPr>
      <t>中设备舱</t>
    </r>
  </si>
  <si>
    <r>
      <rPr>
        <sz val="11"/>
        <rFont val="宋体"/>
        <charset val="134"/>
      </rPr>
      <t>应急</t>
    </r>
    <r>
      <rPr>
        <sz val="11"/>
        <rFont val="Times New Roman"/>
        <charset val="134"/>
      </rPr>
      <t>28V</t>
    </r>
    <r>
      <rPr>
        <sz val="11"/>
        <rFont val="宋体"/>
        <charset val="134"/>
      </rPr>
      <t>电池（含</t>
    </r>
    <r>
      <rPr>
        <sz val="11"/>
        <rFont val="Times New Roman"/>
        <charset val="134"/>
      </rPr>
      <t>BMS</t>
    </r>
    <r>
      <rPr>
        <sz val="11"/>
        <rFont val="宋体"/>
        <charset val="134"/>
      </rPr>
      <t>）</t>
    </r>
  </si>
  <si>
    <t>2432E01001G900</t>
  </si>
  <si>
    <t>2401G4103</t>
  </si>
  <si>
    <t>外电源插座</t>
  </si>
  <si>
    <t>2442E01001G900</t>
  </si>
  <si>
    <t>2401J4101</t>
  </si>
  <si>
    <t>充电面板</t>
  </si>
  <si>
    <t>2442E01003G900</t>
  </si>
  <si>
    <t>2401J4103</t>
  </si>
  <si>
    <t>左配电盘箱</t>
  </si>
  <si>
    <t>2461E01001G900</t>
  </si>
  <si>
    <t>2401U3401</t>
  </si>
  <si>
    <t>右配电盘箱</t>
  </si>
  <si>
    <t>2461E01003G900</t>
  </si>
  <si>
    <t>2401U3403</t>
  </si>
  <si>
    <t>应急配电盘箱</t>
  </si>
  <si>
    <t>2461E01005G900</t>
  </si>
  <si>
    <t>2401U2601</t>
  </si>
  <si>
    <r>
      <rPr>
        <sz val="11"/>
        <rFont val="宋体"/>
        <charset val="134"/>
      </rPr>
      <t>远程配电装置</t>
    </r>
    <r>
      <rPr>
        <sz val="11"/>
        <rFont val="Times New Roman"/>
        <charset val="134"/>
      </rPr>
      <t xml:space="preserve"> RPDU1</t>
    </r>
  </si>
  <si>
    <t>2462E01001G900</t>
  </si>
  <si>
    <t>2404U2601</t>
  </si>
  <si>
    <r>
      <rPr>
        <sz val="11"/>
        <rFont val="宋体"/>
        <charset val="134"/>
      </rPr>
      <t>远程配电装置</t>
    </r>
    <r>
      <rPr>
        <sz val="11"/>
        <rFont val="Times New Roman"/>
        <charset val="134"/>
      </rPr>
      <t xml:space="preserve"> RPDU2</t>
    </r>
  </si>
  <si>
    <t>2462E01003G900</t>
  </si>
  <si>
    <t>2404U2503</t>
  </si>
  <si>
    <r>
      <rPr>
        <sz val="11"/>
        <rFont val="汉仪书宋二KW"/>
        <charset val="134"/>
      </rPr>
      <t>驾驶舱</t>
    </r>
    <r>
      <rPr>
        <sz val="11"/>
        <rFont val="Times New Roman"/>
        <charset val="134"/>
      </rPr>
      <t>-</t>
    </r>
    <r>
      <rPr>
        <sz val="11"/>
        <rFont val="汉仪书宋二KW"/>
        <charset val="134"/>
      </rPr>
      <t>左设备架</t>
    </r>
  </si>
  <si>
    <r>
      <rPr>
        <sz val="11"/>
        <rFont val="宋体"/>
        <charset val="134"/>
      </rPr>
      <t>远程配电装置</t>
    </r>
    <r>
      <rPr>
        <sz val="11"/>
        <rFont val="Times New Roman"/>
        <charset val="134"/>
      </rPr>
      <t xml:space="preserve"> RPDU3</t>
    </r>
  </si>
  <si>
    <t>2462E01005G900</t>
  </si>
  <si>
    <t>2404U3505</t>
  </si>
  <si>
    <r>
      <rPr>
        <sz val="11"/>
        <rFont val="汉仪书宋二KW"/>
        <charset val="134"/>
      </rPr>
      <t>客舱</t>
    </r>
    <r>
      <rPr>
        <sz val="11"/>
        <rFont val="Times New Roman"/>
        <charset val="134"/>
      </rPr>
      <t>-</t>
    </r>
    <r>
      <rPr>
        <sz val="11"/>
        <rFont val="汉仪书宋二KW"/>
        <charset val="134"/>
      </rPr>
      <t>后设备舱左设备架</t>
    </r>
  </si>
  <si>
    <r>
      <rPr>
        <sz val="11"/>
        <rFont val="宋体"/>
        <charset val="134"/>
      </rPr>
      <t>远程配电装置</t>
    </r>
    <r>
      <rPr>
        <sz val="11"/>
        <rFont val="Times New Roman"/>
        <charset val="134"/>
      </rPr>
      <t xml:space="preserve"> RPDU4</t>
    </r>
  </si>
  <si>
    <t>2462E01007G900</t>
  </si>
  <si>
    <t>2404U3607</t>
  </si>
  <si>
    <r>
      <rPr>
        <sz val="11"/>
        <rFont val="汉仪书宋二KW"/>
        <charset val="134"/>
      </rPr>
      <t>客舱</t>
    </r>
    <r>
      <rPr>
        <sz val="11"/>
        <rFont val="Times New Roman"/>
        <charset val="134"/>
      </rPr>
      <t>-</t>
    </r>
    <r>
      <rPr>
        <sz val="11"/>
        <rFont val="汉仪书宋二KW"/>
        <charset val="134"/>
      </rPr>
      <t>后设备舱右设备架</t>
    </r>
  </si>
  <si>
    <t>L270/28V DCDC</t>
  </si>
  <si>
    <t>2463E01003G900</t>
  </si>
  <si>
    <t>2402T3501</t>
  </si>
  <si>
    <t>R270/28V DCDC</t>
  </si>
  <si>
    <t>2402T3603</t>
  </si>
  <si>
    <t>E270/28V DCDC</t>
  </si>
  <si>
    <t>2463E01005G900</t>
  </si>
  <si>
    <t>2401T2601</t>
  </si>
  <si>
    <r>
      <rPr>
        <sz val="11"/>
        <rFont val="Times New Roman"/>
        <charset val="134"/>
      </rPr>
      <t xml:space="preserve">EATA25 </t>
    </r>
    <r>
      <rPr>
        <sz val="11"/>
        <rFont val="宋体"/>
        <charset val="134"/>
      </rPr>
      <t>设备</t>
    </r>
    <r>
      <rPr>
        <sz val="11"/>
        <rFont val="Times New Roman"/>
        <charset val="134"/>
      </rPr>
      <t>/</t>
    </r>
    <r>
      <rPr>
        <sz val="11"/>
        <rFont val="宋体"/>
        <charset val="134"/>
      </rPr>
      <t>装饰</t>
    </r>
  </si>
  <si>
    <t>中央操纵台控制板</t>
  </si>
  <si>
    <t>2519E01001G900</t>
  </si>
  <si>
    <t>2501U2401</t>
  </si>
  <si>
    <t>应急控制板</t>
  </si>
  <si>
    <t>2519E02001G900</t>
  </si>
  <si>
    <t>2501U2403</t>
  </si>
  <si>
    <t>电源控制板</t>
  </si>
  <si>
    <t>2519E03001G900</t>
  </si>
  <si>
    <t>2501U2405</t>
  </si>
  <si>
    <t>推力手柄</t>
  </si>
  <si>
    <t>2519E04001G900</t>
  </si>
  <si>
    <t>2501U2407</t>
  </si>
  <si>
    <t>驾驶员座椅左</t>
  </si>
  <si>
    <t>2514E01001G900</t>
  </si>
  <si>
    <t>2501U2201</t>
  </si>
  <si>
    <r>
      <rPr>
        <sz val="11"/>
        <rFont val="宋体"/>
        <charset val="134"/>
      </rPr>
      <t>驾驶舱</t>
    </r>
    <r>
      <rPr>
        <sz val="11"/>
        <rFont val="Times New Roman"/>
        <charset val="134"/>
      </rPr>
      <t>-</t>
    </r>
    <r>
      <rPr>
        <sz val="11"/>
        <rFont val="宋体"/>
        <charset val="134"/>
      </rPr>
      <t>地板上</t>
    </r>
  </si>
  <si>
    <t>驾驶员座椅右</t>
  </si>
  <si>
    <t>2514E02001G900</t>
  </si>
  <si>
    <t>2501U2203</t>
  </si>
  <si>
    <t>驾驶舱天花板支架</t>
  </si>
  <si>
    <t>2511E01000G200</t>
  </si>
  <si>
    <t>2501U2101</t>
  </si>
  <si>
    <t>驾驶舱天花板</t>
  </si>
  <si>
    <t>2511E02000G200</t>
  </si>
  <si>
    <t>2501U2103</t>
  </si>
  <si>
    <t>驾驶舱窗框装饰罩</t>
  </si>
  <si>
    <t>2511E03000G200</t>
  </si>
  <si>
    <t>2501U2105</t>
  </si>
  <si>
    <t>驾驶舱窗框装饰罩支架</t>
  </si>
  <si>
    <t>2511E04000G200</t>
  </si>
  <si>
    <t>2501U2107</t>
  </si>
  <si>
    <t>驾驶舱后装饰板</t>
  </si>
  <si>
    <t>2511E05000G200</t>
  </si>
  <si>
    <t>2501U2109</t>
  </si>
  <si>
    <t>遮光罩装饰</t>
  </si>
  <si>
    <t>2511E06000G200</t>
  </si>
  <si>
    <t>2501U2111</t>
  </si>
  <si>
    <t>中央操纵台装饰</t>
  </si>
  <si>
    <t>2511E07000G200</t>
  </si>
  <si>
    <t>2501U2217</t>
  </si>
  <si>
    <t>左侧操纵台</t>
  </si>
  <si>
    <t>2511E08000G200</t>
  </si>
  <si>
    <t>2501U2219</t>
  </si>
  <si>
    <t>右侧操纵台</t>
  </si>
  <si>
    <t>2511E09000G200</t>
  </si>
  <si>
    <t>2501U2221</t>
  </si>
  <si>
    <t>左侧操纵台支架</t>
  </si>
  <si>
    <t>2511E10000G200</t>
  </si>
  <si>
    <t>2501U2223</t>
  </si>
  <si>
    <t>右侧操纵台支架</t>
  </si>
  <si>
    <t>2511E11000G200</t>
  </si>
  <si>
    <t>2501U2225</t>
  </si>
  <si>
    <t>遮阳板</t>
  </si>
  <si>
    <t>2511E12001G900</t>
  </si>
  <si>
    <t>2501U2409</t>
  </si>
  <si>
    <t>目视定位仪</t>
  </si>
  <si>
    <t>2511E13001G900</t>
  </si>
  <si>
    <t>2501U2113</t>
  </si>
  <si>
    <t>驾驶员辅助手柄</t>
  </si>
  <si>
    <t>2511E14001G900</t>
  </si>
  <si>
    <t>2501U2227</t>
  </si>
  <si>
    <t>驾驶舱门</t>
  </si>
  <si>
    <t>2511E15000G200</t>
  </si>
  <si>
    <t>2501U2229</t>
  </si>
  <si>
    <t>驾驶舱地板覆盖物</t>
  </si>
  <si>
    <t>2511E16001G900</t>
  </si>
  <si>
    <t>2501U2231</t>
  </si>
  <si>
    <t>驾驶舱标记标牌</t>
  </si>
  <si>
    <t>2511E18001G900</t>
  </si>
  <si>
    <t>2501U2235</t>
  </si>
  <si>
    <r>
      <rPr>
        <sz val="11"/>
        <rFont val="Times New Roman"/>
        <charset val="134"/>
      </rPr>
      <t xml:space="preserve">EATA27 </t>
    </r>
    <r>
      <rPr>
        <sz val="11"/>
        <rFont val="宋体"/>
        <charset val="134"/>
      </rPr>
      <t>飞行控制系统</t>
    </r>
  </si>
  <si>
    <t>左内侧副翼作动器</t>
  </si>
  <si>
    <t>2710E01001G900</t>
  </si>
  <si>
    <t>2704M6201</t>
  </si>
  <si>
    <t>左外侧副翼作动器</t>
  </si>
  <si>
    <t>2704M6203</t>
  </si>
  <si>
    <t>右内侧副翼作动器</t>
  </si>
  <si>
    <t>2704M6205</t>
  </si>
  <si>
    <t>右外侧副翼作动器</t>
  </si>
  <si>
    <t>2704M6207</t>
  </si>
  <si>
    <t>左侧杆</t>
  </si>
  <si>
    <t>2711E02001G900</t>
  </si>
  <si>
    <t>2702U2401</t>
  </si>
  <si>
    <t>右侧杆</t>
  </si>
  <si>
    <t>2711E02002G900</t>
  </si>
  <si>
    <t>2702U2402</t>
  </si>
  <si>
    <t>方向舵上侧作动器</t>
  </si>
  <si>
    <t>2720E01001G900</t>
  </si>
  <si>
    <t>2702M8201</t>
  </si>
  <si>
    <t>方向舵下侧作动器</t>
  </si>
  <si>
    <t>2702M8203</t>
  </si>
  <si>
    <t>脚蹬单元</t>
  </si>
  <si>
    <t>2721E01001G900</t>
  </si>
  <si>
    <t>2702U2201</t>
  </si>
  <si>
    <t>左升降舵内侧作动器</t>
  </si>
  <si>
    <t>2730E01001G900</t>
  </si>
  <si>
    <t>2704M8301</t>
  </si>
  <si>
    <t>左升降舵外侧作动器</t>
  </si>
  <si>
    <t>2704M8303</t>
  </si>
  <si>
    <t>右升降舵内侧作动器</t>
  </si>
  <si>
    <t>2704M8305</t>
  </si>
  <si>
    <t>右升降舵外侧作动器</t>
  </si>
  <si>
    <t>2704M8307</t>
  </si>
  <si>
    <t>左内襟翼作动器</t>
  </si>
  <si>
    <t>2750E01001G900</t>
  </si>
  <si>
    <t>2702M6209</t>
  </si>
  <si>
    <t>右内襟翼作动器</t>
  </si>
  <si>
    <t>2702M6213</t>
  </si>
  <si>
    <t>左外襟翼作动器</t>
  </si>
  <si>
    <t>2750E01003G900</t>
  </si>
  <si>
    <t>2702M6211</t>
  </si>
  <si>
    <t>右外襟翼作动器</t>
  </si>
  <si>
    <t>2702M6215</t>
  </si>
  <si>
    <r>
      <rPr>
        <sz val="11"/>
        <rFont val="宋体"/>
        <charset val="134"/>
      </rPr>
      <t>主飞控计算机</t>
    </r>
    <r>
      <rPr>
        <sz val="11"/>
        <rFont val="Times New Roman"/>
        <charset val="134"/>
      </rPr>
      <t>1</t>
    </r>
  </si>
  <si>
    <t>2791E01001G900</t>
  </si>
  <si>
    <t>2703U3601</t>
  </si>
  <si>
    <r>
      <rPr>
        <sz val="11"/>
        <rFont val="宋体"/>
        <charset val="134"/>
      </rPr>
      <t>客舱</t>
    </r>
    <r>
      <rPr>
        <sz val="11"/>
        <rFont val="Times New Roman"/>
        <charset val="134"/>
      </rPr>
      <t>-</t>
    </r>
    <r>
      <rPr>
        <sz val="11"/>
        <rFont val="宋体"/>
        <charset val="134"/>
      </rPr>
      <t>后设备舱右设备架</t>
    </r>
  </si>
  <si>
    <r>
      <rPr>
        <sz val="11"/>
        <rFont val="宋体"/>
        <charset val="134"/>
      </rPr>
      <t>主飞控计算机</t>
    </r>
    <r>
      <rPr>
        <sz val="11"/>
        <rFont val="Times New Roman"/>
        <charset val="134"/>
      </rPr>
      <t>2</t>
    </r>
  </si>
  <si>
    <t>2703U3501</t>
  </si>
  <si>
    <r>
      <rPr>
        <sz val="11"/>
        <rFont val="宋体"/>
        <charset val="134"/>
      </rPr>
      <t>客舱</t>
    </r>
    <r>
      <rPr>
        <sz val="11"/>
        <rFont val="Times New Roman"/>
        <charset val="134"/>
      </rPr>
      <t>-</t>
    </r>
    <r>
      <rPr>
        <sz val="11"/>
        <rFont val="宋体"/>
        <charset val="134"/>
      </rPr>
      <t>后设备舱左设备架</t>
    </r>
  </si>
  <si>
    <r>
      <rPr>
        <sz val="11"/>
        <rFont val="宋体"/>
        <charset val="134"/>
      </rPr>
      <t>主飞控计算机</t>
    </r>
    <r>
      <rPr>
        <sz val="11"/>
        <rFont val="Times New Roman"/>
        <charset val="134"/>
      </rPr>
      <t>3</t>
    </r>
  </si>
  <si>
    <t>2703U2603</t>
  </si>
  <si>
    <t>备份飞控计算机</t>
  </si>
  <si>
    <t>2791E01003G900</t>
  </si>
  <si>
    <t>2701U2505</t>
  </si>
  <si>
    <r>
      <rPr>
        <sz val="11"/>
        <rFont val="宋体"/>
        <charset val="134"/>
      </rPr>
      <t>飞控数据记录器</t>
    </r>
    <r>
      <rPr>
        <sz val="11"/>
        <rFont val="Times New Roman"/>
        <charset val="134"/>
      </rPr>
      <t>1</t>
    </r>
  </si>
  <si>
    <t>2791E02001U900</t>
  </si>
  <si>
    <t>2702U2601</t>
  </si>
  <si>
    <t>建议将两个飞控数据记录器用同一个电源引脚进行配电</t>
  </si>
  <si>
    <r>
      <rPr>
        <sz val="11"/>
        <rFont val="宋体"/>
        <charset val="134"/>
      </rPr>
      <t>飞控数据记录器</t>
    </r>
    <r>
      <rPr>
        <sz val="11"/>
        <rFont val="Times New Roman"/>
        <charset val="134"/>
      </rPr>
      <t>2</t>
    </r>
  </si>
  <si>
    <t>2702U3203</t>
  </si>
  <si>
    <r>
      <rPr>
        <sz val="11"/>
        <rFont val="宋体"/>
        <charset val="134"/>
      </rPr>
      <t>客舱</t>
    </r>
    <r>
      <rPr>
        <sz val="11"/>
        <rFont val="Times New Roman"/>
        <charset val="134"/>
      </rPr>
      <t>-</t>
    </r>
    <r>
      <rPr>
        <sz val="11"/>
        <rFont val="宋体"/>
        <charset val="134"/>
      </rPr>
      <t>地板上</t>
    </r>
  </si>
  <si>
    <r>
      <rPr>
        <sz val="11"/>
        <rFont val="宋体"/>
        <charset val="134"/>
      </rPr>
      <t>马达控制电子</t>
    </r>
    <r>
      <rPr>
        <sz val="11"/>
        <rFont val="Times New Roman"/>
        <charset val="134"/>
      </rPr>
      <t>1</t>
    </r>
  </si>
  <si>
    <t>2792E01001G900</t>
  </si>
  <si>
    <t>2704U3601</t>
  </si>
  <si>
    <r>
      <rPr>
        <sz val="11"/>
        <rFont val="宋体"/>
        <charset val="134"/>
      </rPr>
      <t>马达控制电子</t>
    </r>
    <r>
      <rPr>
        <sz val="11"/>
        <rFont val="Times New Roman"/>
        <charset val="134"/>
      </rPr>
      <t>2</t>
    </r>
  </si>
  <si>
    <t>2704U3603</t>
  </si>
  <si>
    <r>
      <rPr>
        <sz val="11"/>
        <rFont val="宋体"/>
        <charset val="134"/>
      </rPr>
      <t>马达控制电子</t>
    </r>
    <r>
      <rPr>
        <sz val="11"/>
        <rFont val="Times New Roman"/>
        <charset val="134"/>
      </rPr>
      <t>3</t>
    </r>
  </si>
  <si>
    <t>2704U3505</t>
  </si>
  <si>
    <r>
      <rPr>
        <sz val="11"/>
        <rFont val="宋体"/>
        <charset val="134"/>
      </rPr>
      <t>马达控制电子</t>
    </r>
    <r>
      <rPr>
        <sz val="11"/>
        <rFont val="Times New Roman"/>
        <charset val="134"/>
      </rPr>
      <t>4</t>
    </r>
  </si>
  <si>
    <t>2704U3507</t>
  </si>
  <si>
    <r>
      <rPr>
        <sz val="11"/>
        <rFont val="宋体"/>
        <charset val="134"/>
      </rPr>
      <t>马达控制电子</t>
    </r>
    <r>
      <rPr>
        <sz val="11"/>
        <rFont val="Times New Roman"/>
        <charset val="134"/>
      </rPr>
      <t>5</t>
    </r>
  </si>
  <si>
    <t>2792E01003G900</t>
  </si>
  <si>
    <t>2702U3609</t>
  </si>
  <si>
    <r>
      <rPr>
        <sz val="11"/>
        <rFont val="宋体"/>
        <charset val="134"/>
      </rPr>
      <t>马达控制电子</t>
    </r>
    <r>
      <rPr>
        <sz val="11"/>
        <rFont val="Times New Roman"/>
        <charset val="134"/>
      </rPr>
      <t>6</t>
    </r>
  </si>
  <si>
    <t>2702U3511</t>
  </si>
  <si>
    <r>
      <rPr>
        <sz val="11"/>
        <rFont val="宋体"/>
        <charset val="134"/>
      </rPr>
      <t>马达控制电子</t>
    </r>
    <r>
      <rPr>
        <sz val="11"/>
        <rFont val="Times New Roman"/>
        <charset val="134"/>
      </rPr>
      <t>7</t>
    </r>
  </si>
  <si>
    <t>2792E01005G900</t>
  </si>
  <si>
    <t>2702U6101</t>
  </si>
  <si>
    <r>
      <rPr>
        <sz val="11"/>
        <rFont val="汉仪书宋二KW"/>
        <charset val="134"/>
      </rPr>
      <t>机翼</t>
    </r>
    <r>
      <rPr>
        <sz val="11"/>
        <rFont val="Times New Roman"/>
        <charset val="134"/>
      </rPr>
      <t>-</t>
    </r>
    <r>
      <rPr>
        <sz val="11"/>
        <rFont val="汉仪书宋二KW"/>
        <charset val="134"/>
      </rPr>
      <t>中央翼盒</t>
    </r>
  </si>
  <si>
    <r>
      <rPr>
        <sz val="11"/>
        <rFont val="宋体"/>
        <charset val="134"/>
      </rPr>
      <t>马达控制电子</t>
    </r>
    <r>
      <rPr>
        <sz val="11"/>
        <rFont val="Times New Roman"/>
        <charset val="134"/>
      </rPr>
      <t>8</t>
    </r>
  </si>
  <si>
    <t>2702U6103</t>
  </si>
  <si>
    <r>
      <rPr>
        <sz val="11"/>
        <rFont val="宋体"/>
        <charset val="134"/>
      </rPr>
      <t>位置传感器</t>
    </r>
    <r>
      <rPr>
        <sz val="11"/>
        <rFont val="Times New Roman"/>
        <charset val="134"/>
      </rPr>
      <t>6</t>
    </r>
  </si>
  <si>
    <t>2793E01001G900</t>
  </si>
  <si>
    <t>2702U6211</t>
  </si>
  <si>
    <r>
      <rPr>
        <sz val="11"/>
        <rFont val="宋体"/>
        <charset val="134"/>
      </rPr>
      <t>位置传感器</t>
    </r>
    <r>
      <rPr>
        <sz val="11"/>
        <rFont val="Times New Roman"/>
        <charset val="134"/>
      </rPr>
      <t>1</t>
    </r>
  </si>
  <si>
    <t>2702U6201</t>
  </si>
  <si>
    <r>
      <rPr>
        <sz val="11"/>
        <rFont val="宋体"/>
        <charset val="134"/>
      </rPr>
      <t>位置传感器</t>
    </r>
    <r>
      <rPr>
        <sz val="11"/>
        <rFont val="Times New Roman"/>
        <charset val="134"/>
      </rPr>
      <t>3</t>
    </r>
  </si>
  <si>
    <t>2793E01003G900</t>
  </si>
  <si>
    <t>2702U6205</t>
  </si>
  <si>
    <r>
      <rPr>
        <sz val="11"/>
        <rFont val="宋体"/>
        <charset val="134"/>
      </rPr>
      <t>位置传感器</t>
    </r>
    <r>
      <rPr>
        <sz val="11"/>
        <rFont val="Times New Roman"/>
        <charset val="134"/>
      </rPr>
      <t>4</t>
    </r>
  </si>
  <si>
    <t>2702U6207</t>
  </si>
  <si>
    <r>
      <rPr>
        <sz val="11"/>
        <rFont val="宋体"/>
        <charset val="134"/>
      </rPr>
      <t>位置传感器</t>
    </r>
    <r>
      <rPr>
        <sz val="11"/>
        <rFont val="Times New Roman"/>
        <charset val="134"/>
      </rPr>
      <t>5</t>
    </r>
  </si>
  <si>
    <t>2793E01005G900</t>
  </si>
  <si>
    <t>2702U6209</t>
  </si>
  <si>
    <r>
      <rPr>
        <sz val="11"/>
        <rFont val="宋体"/>
        <charset val="134"/>
      </rPr>
      <t>位置传感器</t>
    </r>
    <r>
      <rPr>
        <sz val="11"/>
        <rFont val="Times New Roman"/>
        <charset val="134"/>
      </rPr>
      <t>2</t>
    </r>
  </si>
  <si>
    <t>2702U6203</t>
  </si>
  <si>
    <r>
      <rPr>
        <sz val="11"/>
        <rFont val="宋体"/>
        <charset val="134"/>
      </rPr>
      <t>位置传感器</t>
    </r>
    <r>
      <rPr>
        <sz val="11"/>
        <rFont val="Times New Roman"/>
        <charset val="134"/>
      </rPr>
      <t>7</t>
    </r>
  </si>
  <si>
    <t>2793E01007G900</t>
  </si>
  <si>
    <t>2702U6213</t>
  </si>
  <si>
    <r>
      <rPr>
        <sz val="11"/>
        <rFont val="宋体"/>
        <charset val="134"/>
      </rPr>
      <t>位置传感器</t>
    </r>
    <r>
      <rPr>
        <sz val="11"/>
        <rFont val="Times New Roman"/>
        <charset val="134"/>
      </rPr>
      <t>8</t>
    </r>
  </si>
  <si>
    <t>2702U6215</t>
  </si>
  <si>
    <r>
      <rPr>
        <sz val="11"/>
        <rFont val="宋体"/>
        <charset val="134"/>
      </rPr>
      <t>直接模式速率传感器（</t>
    </r>
    <r>
      <rPr>
        <sz val="11"/>
        <rFont val="Times New Roman"/>
        <charset val="134"/>
      </rPr>
      <t>DMRS</t>
    </r>
    <r>
      <rPr>
        <sz val="11"/>
        <rFont val="宋体"/>
        <charset val="134"/>
      </rPr>
      <t>）</t>
    </r>
  </si>
  <si>
    <t>2793E01009G900</t>
  </si>
  <si>
    <t>2701D6101</t>
  </si>
  <si>
    <r>
      <rPr>
        <sz val="11"/>
        <rFont val="宋体"/>
        <charset val="134"/>
      </rPr>
      <t>机翼</t>
    </r>
    <r>
      <rPr>
        <sz val="11"/>
        <rFont val="Times New Roman"/>
        <charset val="134"/>
      </rPr>
      <t>-</t>
    </r>
    <r>
      <rPr>
        <sz val="11"/>
        <rFont val="宋体"/>
        <charset val="134"/>
      </rPr>
      <t>中央翼盒</t>
    </r>
  </si>
  <si>
    <r>
      <rPr>
        <sz val="11"/>
        <rFont val="Times New Roman"/>
        <charset val="134"/>
      </rPr>
      <t xml:space="preserve">EATA30 </t>
    </r>
    <r>
      <rPr>
        <sz val="11"/>
        <rFont val="宋体"/>
        <charset val="134"/>
      </rPr>
      <t>防除冰和除雨</t>
    </r>
  </si>
  <si>
    <r>
      <rPr>
        <sz val="11"/>
        <rFont val="宋体"/>
        <charset val="134"/>
      </rPr>
      <t>风挡加热控制器</t>
    </r>
    <r>
      <rPr>
        <sz val="11"/>
        <rFont val="Times New Roman"/>
        <charset val="134"/>
      </rPr>
      <t>1</t>
    </r>
  </si>
  <si>
    <t>3040E01001G900</t>
  </si>
  <si>
    <t>3002U4105</t>
  </si>
  <si>
    <r>
      <rPr>
        <sz val="11"/>
        <rFont val="宋体"/>
        <charset val="134"/>
      </rPr>
      <t>风挡加热控制器</t>
    </r>
    <r>
      <rPr>
        <sz val="11"/>
        <rFont val="Times New Roman"/>
        <charset val="134"/>
      </rPr>
      <t>2</t>
    </r>
  </si>
  <si>
    <t>3040E01002G900</t>
  </si>
  <si>
    <t>3002U4107</t>
  </si>
  <si>
    <r>
      <rPr>
        <sz val="11"/>
        <rFont val="宋体"/>
        <charset val="134"/>
      </rPr>
      <t>风挡雨刷臂</t>
    </r>
    <r>
      <rPr>
        <sz val="11"/>
        <rFont val="Times New Roman"/>
        <charset val="134"/>
      </rPr>
      <t>1</t>
    </r>
  </si>
  <si>
    <t>3040E02001G900</t>
  </si>
  <si>
    <t>3002X1903</t>
  </si>
  <si>
    <r>
      <rPr>
        <sz val="11"/>
        <rFont val="宋体"/>
        <charset val="134"/>
      </rPr>
      <t>机头</t>
    </r>
    <r>
      <rPr>
        <sz val="11"/>
        <rFont val="Times New Roman"/>
        <charset val="134"/>
      </rPr>
      <t>-</t>
    </r>
    <r>
      <rPr>
        <sz val="11"/>
        <rFont val="宋体"/>
        <charset val="134"/>
      </rPr>
      <t>外部</t>
    </r>
  </si>
  <si>
    <r>
      <rPr>
        <sz val="11"/>
        <rFont val="宋体"/>
        <charset val="134"/>
      </rPr>
      <t>风挡雨刷臂</t>
    </r>
    <r>
      <rPr>
        <sz val="11"/>
        <rFont val="Times New Roman"/>
        <charset val="134"/>
      </rPr>
      <t>2</t>
    </r>
  </si>
  <si>
    <t>3040E02002G900</t>
  </si>
  <si>
    <t>3002X1905</t>
  </si>
  <si>
    <r>
      <rPr>
        <sz val="11"/>
        <rFont val="宋体"/>
        <charset val="134"/>
      </rPr>
      <t>风挡雨刷马达</t>
    </r>
    <r>
      <rPr>
        <sz val="11"/>
        <rFont val="Times New Roman"/>
        <charset val="134"/>
      </rPr>
      <t>1</t>
    </r>
    <r>
      <rPr>
        <sz val="11"/>
        <rFont val="宋体"/>
        <charset val="134"/>
      </rPr>
      <t>（含控制器）</t>
    </r>
  </si>
  <si>
    <t>3040E02003G900</t>
  </si>
  <si>
    <t>3002M1301</t>
  </si>
  <si>
    <r>
      <rPr>
        <sz val="11"/>
        <rFont val="宋体"/>
        <charset val="134"/>
      </rPr>
      <t>机头</t>
    </r>
    <r>
      <rPr>
        <sz val="11"/>
        <rFont val="Times New Roman"/>
        <charset val="134"/>
      </rPr>
      <t>-</t>
    </r>
    <r>
      <rPr>
        <sz val="11"/>
        <rFont val="宋体"/>
        <charset val="134"/>
      </rPr>
      <t>前附件舱</t>
    </r>
  </si>
  <si>
    <r>
      <rPr>
        <sz val="11"/>
        <rFont val="宋体"/>
        <charset val="134"/>
      </rPr>
      <t>风挡雨刷马达</t>
    </r>
    <r>
      <rPr>
        <sz val="11"/>
        <rFont val="Times New Roman"/>
        <charset val="134"/>
      </rPr>
      <t>2</t>
    </r>
    <r>
      <rPr>
        <sz val="11"/>
        <rFont val="宋体"/>
        <charset val="134"/>
      </rPr>
      <t>（含控制器）</t>
    </r>
  </si>
  <si>
    <t>3040E02004G900</t>
  </si>
  <si>
    <t>3002M1303</t>
  </si>
  <si>
    <r>
      <rPr>
        <sz val="11"/>
        <rFont val="宋体"/>
        <charset val="134"/>
      </rPr>
      <t>风挡雨刷片</t>
    </r>
    <r>
      <rPr>
        <sz val="11"/>
        <rFont val="Times New Roman"/>
        <charset val="134"/>
      </rPr>
      <t>1</t>
    </r>
  </si>
  <si>
    <t>3040E02005G900</t>
  </si>
  <si>
    <t>3002X1907</t>
  </si>
  <si>
    <r>
      <rPr>
        <sz val="11"/>
        <rFont val="宋体"/>
        <charset val="134"/>
      </rPr>
      <t>风挡雨刷片</t>
    </r>
    <r>
      <rPr>
        <sz val="11"/>
        <rFont val="Times New Roman"/>
        <charset val="134"/>
      </rPr>
      <t>2</t>
    </r>
  </si>
  <si>
    <t>3040E02006G900</t>
  </si>
  <si>
    <t>3002X1909</t>
  </si>
  <si>
    <t>雨量传感器</t>
  </si>
  <si>
    <t>3040E02007G900</t>
  </si>
  <si>
    <t>3001X1901</t>
  </si>
  <si>
    <t>功率太小，建议由系统自己为传感器供电</t>
  </si>
  <si>
    <t>风挡清洗罐</t>
  </si>
  <si>
    <t>3040E03001G900</t>
  </si>
  <si>
    <t>3001U1301</t>
  </si>
  <si>
    <t>喷嘴1</t>
  </si>
  <si>
    <t>3040E03003G900</t>
  </si>
  <si>
    <t>3002X1911</t>
  </si>
  <si>
    <t>喷嘴2</t>
  </si>
  <si>
    <t>3002X1913</t>
  </si>
  <si>
    <r>
      <rPr>
        <sz val="11"/>
        <rFont val="宋体"/>
        <charset val="134"/>
      </rPr>
      <t>结冰探测器</t>
    </r>
    <r>
      <rPr>
        <sz val="11"/>
        <rFont val="Times New Roman"/>
        <charset val="134"/>
      </rPr>
      <t>1</t>
    </r>
  </si>
  <si>
    <t>3080E01001G900</t>
  </si>
  <si>
    <t>3002U4101</t>
  </si>
  <si>
    <r>
      <rPr>
        <sz val="11"/>
        <rFont val="宋体"/>
        <charset val="134"/>
      </rPr>
      <t>结冰探测器</t>
    </r>
    <r>
      <rPr>
        <sz val="11"/>
        <rFont val="Times New Roman"/>
        <charset val="134"/>
      </rPr>
      <t>2</t>
    </r>
  </si>
  <si>
    <t>3080E01003G900</t>
  </si>
  <si>
    <t>3002U4103</t>
  </si>
  <si>
    <t>结冰探测棒</t>
  </si>
  <si>
    <t>3080E01005G900</t>
  </si>
  <si>
    <t>3001U1901</t>
  </si>
  <si>
    <t>左侧风挡玻璃及其加热模块组件</t>
  </si>
  <si>
    <t>5610E02001G200</t>
  </si>
  <si>
    <t>5602H2201</t>
  </si>
  <si>
    <t>右侧风挡玻璃及其加热模块组件</t>
  </si>
  <si>
    <t>5610E02002G200</t>
  </si>
  <si>
    <t>5602H2202</t>
  </si>
  <si>
    <r>
      <rPr>
        <sz val="11"/>
        <rFont val="Times New Roman"/>
        <charset val="134"/>
      </rPr>
      <t xml:space="preserve">EATA31 </t>
    </r>
    <r>
      <rPr>
        <sz val="11"/>
        <rFont val="宋体"/>
        <charset val="134"/>
      </rPr>
      <t>指示记录系统</t>
    </r>
  </si>
  <si>
    <r>
      <rPr>
        <sz val="11"/>
        <rFont val="宋体"/>
        <charset val="134"/>
      </rPr>
      <t>区域麦克风（</t>
    </r>
    <r>
      <rPr>
        <sz val="11"/>
        <rFont val="Times New Roman"/>
        <charset val="134"/>
      </rPr>
      <t>AMP</t>
    </r>
    <r>
      <rPr>
        <sz val="11"/>
        <rFont val="宋体"/>
        <charset val="134"/>
      </rPr>
      <t>）</t>
    </r>
  </si>
  <si>
    <t>3130E01001G900</t>
  </si>
  <si>
    <t>3101D2403</t>
  </si>
  <si>
    <t>考虑不由电源系统直接供电，由信息系统计算机供电</t>
  </si>
  <si>
    <r>
      <rPr>
        <sz val="11"/>
        <rFont val="宋体"/>
        <charset val="134"/>
      </rPr>
      <t>三轴加速度计（</t>
    </r>
    <r>
      <rPr>
        <sz val="11"/>
        <rFont val="Times New Roman"/>
        <charset val="134"/>
      </rPr>
      <t>TAA</t>
    </r>
    <r>
      <rPr>
        <sz val="11"/>
        <rFont val="宋体"/>
        <charset val="134"/>
      </rPr>
      <t>）</t>
    </r>
  </si>
  <si>
    <t>3130E02001G900</t>
  </si>
  <si>
    <t>3101U6101</t>
  </si>
  <si>
    <t>机载曲面显示屏</t>
  </si>
  <si>
    <t>3160E01001G900</t>
  </si>
  <si>
    <t>3101P2401</t>
  </si>
  <si>
    <t>机载多功能显示器</t>
  </si>
  <si>
    <t>3160E01003G900</t>
  </si>
  <si>
    <t>3101P2403</t>
  </si>
  <si>
    <r>
      <rPr>
        <sz val="11"/>
        <rFont val="宋体"/>
        <charset val="134"/>
      </rPr>
      <t>显控计算机</t>
    </r>
    <r>
      <rPr>
        <sz val="11"/>
        <rFont val="Times New Roman"/>
        <charset val="134"/>
      </rPr>
      <t>1</t>
    </r>
  </si>
  <si>
    <t>3160E02001G900</t>
  </si>
  <si>
    <t>3102U2601</t>
  </si>
  <si>
    <r>
      <rPr>
        <sz val="11"/>
        <rFont val="宋体"/>
        <charset val="134"/>
      </rPr>
      <t>显控计算机</t>
    </r>
    <r>
      <rPr>
        <sz val="11"/>
        <rFont val="Times New Roman"/>
        <charset val="134"/>
      </rPr>
      <t>2</t>
    </r>
  </si>
  <si>
    <t>3102U2503</t>
  </si>
  <si>
    <r>
      <rPr>
        <sz val="11"/>
        <rFont val="Times New Roman"/>
        <charset val="134"/>
      </rPr>
      <t xml:space="preserve">EATA32 </t>
    </r>
    <r>
      <rPr>
        <sz val="11"/>
        <rFont val="宋体"/>
        <charset val="134"/>
      </rPr>
      <t>起落架系统</t>
    </r>
  </si>
  <si>
    <t>左主起落架支柱组件</t>
  </si>
  <si>
    <t>3210E11101G900</t>
  </si>
  <si>
    <t>3201X5101</t>
  </si>
  <si>
    <r>
      <rPr>
        <sz val="11"/>
        <rFont val="宋体"/>
        <charset val="134"/>
      </rPr>
      <t>下机身后段</t>
    </r>
    <r>
      <rPr>
        <sz val="11"/>
        <rFont val="Times New Roman"/>
        <charset val="134"/>
      </rPr>
      <t>-</t>
    </r>
    <r>
      <rPr>
        <sz val="11"/>
        <rFont val="宋体"/>
        <charset val="134"/>
      </rPr>
      <t>主起落架舱</t>
    </r>
  </si>
  <si>
    <r>
      <rPr>
        <sz val="11"/>
        <rFont val="宋体"/>
        <charset val="134"/>
      </rPr>
      <t>左主起轮载传感器</t>
    </r>
    <r>
      <rPr>
        <sz val="11"/>
        <rFont val="Times New Roman"/>
        <charset val="134"/>
      </rPr>
      <t>1</t>
    </r>
  </si>
  <si>
    <t>3202D5101</t>
  </si>
  <si>
    <r>
      <rPr>
        <sz val="11"/>
        <rFont val="宋体"/>
        <charset val="134"/>
      </rPr>
      <t>左主起轮载传感器</t>
    </r>
    <r>
      <rPr>
        <sz val="11"/>
        <rFont val="Times New Roman"/>
        <charset val="134"/>
      </rPr>
      <t>2</t>
    </r>
  </si>
  <si>
    <t>3202D5103</t>
  </si>
  <si>
    <r>
      <rPr>
        <sz val="11"/>
        <rFont val="宋体"/>
        <charset val="134"/>
      </rPr>
      <t>右主起轮载传感器</t>
    </r>
    <r>
      <rPr>
        <sz val="11"/>
        <rFont val="Times New Roman"/>
        <charset val="134"/>
      </rPr>
      <t>1</t>
    </r>
  </si>
  <si>
    <t>3202D5113</t>
  </si>
  <si>
    <r>
      <rPr>
        <sz val="11"/>
        <rFont val="宋体"/>
        <charset val="134"/>
      </rPr>
      <t>右主起轮载传感器</t>
    </r>
    <r>
      <rPr>
        <sz val="11"/>
        <rFont val="Times New Roman"/>
        <charset val="134"/>
      </rPr>
      <t>2</t>
    </r>
  </si>
  <si>
    <t>3202D5115</t>
  </si>
  <si>
    <t>右主起落架支柱组件</t>
  </si>
  <si>
    <t>3210E11102G900</t>
  </si>
  <si>
    <t>3201X5102</t>
  </si>
  <si>
    <t>左主起落架摇臂组件</t>
  </si>
  <si>
    <t>3210E11200G900</t>
  </si>
  <si>
    <t>3202X5101</t>
  </si>
  <si>
    <t>右主起落架摇臂组件</t>
  </si>
  <si>
    <t>3202X5103</t>
  </si>
  <si>
    <t>左主起落架缓冲器组件</t>
  </si>
  <si>
    <t>3210E11300G900</t>
  </si>
  <si>
    <t>3202X5105</t>
  </si>
  <si>
    <t>右主起落架缓冲器组件</t>
  </si>
  <si>
    <t>3202X5107</t>
  </si>
  <si>
    <t>左主起落架舱门机构组件</t>
  </si>
  <si>
    <t>3210E12001G400</t>
  </si>
  <si>
    <t>3201X5103</t>
  </si>
  <si>
    <t>右主起落架舱门机构组件</t>
  </si>
  <si>
    <t>3210E12002G400</t>
  </si>
  <si>
    <t>3201X5104</t>
  </si>
  <si>
    <t>左主起落架侧撑杆组件</t>
  </si>
  <si>
    <t>3210E13100G900;3210E13200G900</t>
  </si>
  <si>
    <t>3202X5109</t>
  </si>
  <si>
    <t>右主起落架侧撑杆组件</t>
  </si>
  <si>
    <t>3202X5111</t>
  </si>
  <si>
    <t>左主起落架锁连杆组件</t>
  </si>
  <si>
    <t>3210E14001G900</t>
  </si>
  <si>
    <t>3202X5113</t>
  </si>
  <si>
    <r>
      <rPr>
        <sz val="11"/>
        <rFont val="宋体"/>
        <charset val="134"/>
      </rPr>
      <t>左主起放下传感器</t>
    </r>
    <r>
      <rPr>
        <sz val="11"/>
        <rFont val="Times New Roman"/>
        <charset val="134"/>
      </rPr>
      <t>1</t>
    </r>
  </si>
  <si>
    <t>3202D5109</t>
  </si>
  <si>
    <r>
      <rPr>
        <sz val="11"/>
        <rFont val="宋体"/>
        <charset val="134"/>
      </rPr>
      <t>左主起放下传感器</t>
    </r>
    <r>
      <rPr>
        <sz val="11"/>
        <rFont val="Times New Roman"/>
        <charset val="134"/>
      </rPr>
      <t>2</t>
    </r>
  </si>
  <si>
    <t>3202D5111</t>
  </si>
  <si>
    <t>右主起落架锁连杆组件</t>
  </si>
  <si>
    <t>3210E14002G900</t>
  </si>
  <si>
    <t>3202X5115</t>
  </si>
  <si>
    <r>
      <rPr>
        <sz val="11"/>
        <rFont val="宋体"/>
        <charset val="134"/>
      </rPr>
      <t>右主起放下传感器</t>
    </r>
    <r>
      <rPr>
        <sz val="11"/>
        <rFont val="Times New Roman"/>
        <charset val="134"/>
      </rPr>
      <t>1</t>
    </r>
  </si>
  <si>
    <t>3202D5121</t>
  </si>
  <si>
    <r>
      <rPr>
        <sz val="11"/>
        <rFont val="宋体"/>
        <charset val="134"/>
      </rPr>
      <t>右主起放下传感器</t>
    </r>
    <r>
      <rPr>
        <sz val="11"/>
        <rFont val="Times New Roman"/>
        <charset val="134"/>
      </rPr>
      <t>2</t>
    </r>
  </si>
  <si>
    <t>3202D5123</t>
  </si>
  <si>
    <t>左主起落架锁前弹簧组件</t>
  </si>
  <si>
    <t>3210E15000G900</t>
  </si>
  <si>
    <t>3204X5101</t>
  </si>
  <si>
    <t>左主起落架锁后弹簧组件</t>
  </si>
  <si>
    <t>3204X5103</t>
  </si>
  <si>
    <t>右主起落架锁前弹簧组件</t>
  </si>
  <si>
    <t>3204X5105</t>
  </si>
  <si>
    <t>右主起落架锁后弹簧组件</t>
  </si>
  <si>
    <t>3204X5107</t>
  </si>
  <si>
    <t>左主起落架收放作动筒</t>
  </si>
  <si>
    <t>3210E16000G900</t>
  </si>
  <si>
    <t>3202X5117</t>
  </si>
  <si>
    <t>右主起落架收放作动筒</t>
  </si>
  <si>
    <t>3202X5119</t>
  </si>
  <si>
    <t>左主起落架下位锁开锁作动筒</t>
  </si>
  <si>
    <t>3210E17000G900</t>
  </si>
  <si>
    <t>3202X5125</t>
  </si>
  <si>
    <t>右主起落架下位锁开锁作动筒</t>
  </si>
  <si>
    <t>3202X5127</t>
  </si>
  <si>
    <t>左主起落架上位锁</t>
  </si>
  <si>
    <t>3210E18001G900</t>
  </si>
  <si>
    <t>3202X5121</t>
  </si>
  <si>
    <t>右主起落架上位锁</t>
  </si>
  <si>
    <t>3210E18002G900</t>
  </si>
  <si>
    <t>3202X5123</t>
  </si>
  <si>
    <t>前起缓冲支柱组件</t>
  </si>
  <si>
    <t>3221E00000G400</t>
  </si>
  <si>
    <t>3201X1201</t>
  </si>
  <si>
    <r>
      <rPr>
        <sz val="11"/>
        <rFont val="宋体"/>
        <charset val="134"/>
      </rPr>
      <t>机头</t>
    </r>
    <r>
      <rPr>
        <sz val="11"/>
        <rFont val="Times New Roman"/>
        <charset val="134"/>
      </rPr>
      <t>-</t>
    </r>
    <r>
      <rPr>
        <sz val="11"/>
        <rFont val="宋体"/>
        <charset val="134"/>
      </rPr>
      <t>前起落架舱</t>
    </r>
  </si>
  <si>
    <r>
      <rPr>
        <sz val="11"/>
        <rFont val="宋体"/>
        <charset val="134"/>
      </rPr>
      <t>前起轮载传感器</t>
    </r>
    <r>
      <rPr>
        <sz val="11"/>
        <rFont val="Times New Roman"/>
        <charset val="134"/>
      </rPr>
      <t>1</t>
    </r>
  </si>
  <si>
    <t>3202D1201</t>
  </si>
  <si>
    <r>
      <rPr>
        <sz val="11"/>
        <rFont val="宋体"/>
        <charset val="134"/>
      </rPr>
      <t>前起轮载传感器</t>
    </r>
    <r>
      <rPr>
        <sz val="11"/>
        <rFont val="Times New Roman"/>
        <charset val="134"/>
      </rPr>
      <t>2</t>
    </r>
  </si>
  <si>
    <t>3202D1203</t>
  </si>
  <si>
    <t>前起阻力杆组件</t>
  </si>
  <si>
    <t>3222E00000G400</t>
  </si>
  <si>
    <t>3201X1203</t>
  </si>
  <si>
    <t>前起锁连杆组件</t>
  </si>
  <si>
    <t>3223E00000G400</t>
  </si>
  <si>
    <t>3201X1205</t>
  </si>
  <si>
    <r>
      <rPr>
        <sz val="11"/>
        <rFont val="宋体"/>
        <charset val="134"/>
      </rPr>
      <t>前起锁连杆锁定传感器</t>
    </r>
    <r>
      <rPr>
        <sz val="11"/>
        <rFont val="Times New Roman"/>
        <charset val="134"/>
      </rPr>
      <t>1</t>
    </r>
  </si>
  <si>
    <t>3202D1205</t>
  </si>
  <si>
    <r>
      <rPr>
        <sz val="11"/>
        <rFont val="宋体"/>
        <charset val="134"/>
      </rPr>
      <t>前起锁连杆锁定传感器</t>
    </r>
    <r>
      <rPr>
        <sz val="11"/>
        <rFont val="Times New Roman"/>
        <charset val="134"/>
      </rPr>
      <t>2</t>
    </r>
  </si>
  <si>
    <t>3202D1207</t>
  </si>
  <si>
    <t>前起舱门机构组件</t>
  </si>
  <si>
    <t>3224E00000G400</t>
  </si>
  <si>
    <t>3201X1207</t>
  </si>
  <si>
    <t>前起收放作动筒</t>
  </si>
  <si>
    <t>3226E10000G900</t>
  </si>
  <si>
    <t>3201X1213</t>
  </si>
  <si>
    <t>前起开锁作动筒</t>
  </si>
  <si>
    <t>3226E20000G900</t>
  </si>
  <si>
    <t>3201X1215</t>
  </si>
  <si>
    <t>前起备份放开锁作动装置</t>
  </si>
  <si>
    <t>3226E30000G900</t>
  </si>
  <si>
    <t>3201X1217</t>
  </si>
  <si>
    <r>
      <rPr>
        <sz val="11"/>
        <rFont val="宋体"/>
        <charset val="134"/>
      </rPr>
      <t>左主起</t>
    </r>
    <r>
      <rPr>
        <sz val="11"/>
        <rFont val="Times New Roman"/>
        <charset val="134"/>
      </rPr>
      <t>EHM</t>
    </r>
    <r>
      <rPr>
        <sz val="11"/>
        <rFont val="宋体"/>
        <charset val="134"/>
      </rPr>
      <t>控制器</t>
    </r>
  </si>
  <si>
    <t>3231E11100G900</t>
  </si>
  <si>
    <t>3201U6105</t>
  </si>
  <si>
    <r>
      <rPr>
        <sz val="11"/>
        <rFont val="宋体"/>
        <charset val="134"/>
      </rPr>
      <t>右主起</t>
    </r>
    <r>
      <rPr>
        <sz val="11"/>
        <rFont val="Times New Roman"/>
        <charset val="134"/>
      </rPr>
      <t>EHM</t>
    </r>
    <r>
      <rPr>
        <sz val="11"/>
        <rFont val="宋体"/>
        <charset val="134"/>
      </rPr>
      <t>控制器</t>
    </r>
  </si>
  <si>
    <t>3201U6107</t>
  </si>
  <si>
    <r>
      <rPr>
        <sz val="11"/>
        <rFont val="宋体"/>
        <charset val="134"/>
      </rPr>
      <t>前起</t>
    </r>
    <r>
      <rPr>
        <sz val="11"/>
        <rFont val="Times New Roman"/>
        <charset val="134"/>
      </rPr>
      <t>EHM</t>
    </r>
    <r>
      <rPr>
        <sz val="11"/>
        <rFont val="宋体"/>
        <charset val="134"/>
      </rPr>
      <t>控制器</t>
    </r>
  </si>
  <si>
    <t>3231E11300G900</t>
  </si>
  <si>
    <t>3201U4121</t>
  </si>
  <si>
    <r>
      <rPr>
        <sz val="11"/>
        <rFont val="宋体"/>
        <charset val="134"/>
      </rPr>
      <t>左主起</t>
    </r>
    <r>
      <rPr>
        <sz val="11"/>
        <rFont val="Times New Roman"/>
        <charset val="134"/>
      </rPr>
      <t>EHM</t>
    </r>
  </si>
  <si>
    <t>3231E12100G900</t>
  </si>
  <si>
    <t>3201M5101</t>
  </si>
  <si>
    <r>
      <rPr>
        <sz val="11"/>
        <rFont val="宋体"/>
        <charset val="134"/>
      </rPr>
      <t>右主起</t>
    </r>
    <r>
      <rPr>
        <sz val="11"/>
        <rFont val="Times New Roman"/>
        <charset val="134"/>
      </rPr>
      <t>EHM</t>
    </r>
  </si>
  <si>
    <t>3201M5103</t>
  </si>
  <si>
    <r>
      <rPr>
        <sz val="11"/>
        <rFont val="宋体"/>
        <charset val="134"/>
      </rPr>
      <t>前起</t>
    </r>
    <r>
      <rPr>
        <sz val="11"/>
        <rFont val="Times New Roman"/>
        <charset val="134"/>
      </rPr>
      <t>EHM</t>
    </r>
  </si>
  <si>
    <t>3231E12300G900</t>
  </si>
  <si>
    <t>3201M4119</t>
  </si>
  <si>
    <r>
      <rPr>
        <sz val="11"/>
        <rFont val="宋体"/>
        <charset val="134"/>
      </rPr>
      <t>备份放继电器</t>
    </r>
    <r>
      <rPr>
        <sz val="11"/>
        <rFont val="Times New Roman"/>
        <charset val="134"/>
      </rPr>
      <t>1</t>
    </r>
  </si>
  <si>
    <t>3232E31100G900</t>
  </si>
  <si>
    <t>3201K2501</t>
  </si>
  <si>
    <r>
      <rPr>
        <sz val="11"/>
        <rFont val="宋体"/>
        <charset val="134"/>
      </rPr>
      <t>备份放继电器</t>
    </r>
    <r>
      <rPr>
        <sz val="11"/>
        <rFont val="Times New Roman"/>
        <charset val="134"/>
      </rPr>
      <t>2</t>
    </r>
  </si>
  <si>
    <t>3232E31300G900</t>
  </si>
  <si>
    <t>3202K2501</t>
  </si>
  <si>
    <r>
      <rPr>
        <sz val="11"/>
        <rFont val="宋体"/>
        <charset val="134"/>
      </rPr>
      <t>备份放继电器</t>
    </r>
    <r>
      <rPr>
        <sz val="11"/>
        <rFont val="Times New Roman"/>
        <charset val="134"/>
      </rPr>
      <t>3</t>
    </r>
  </si>
  <si>
    <t>3202K2503</t>
  </si>
  <si>
    <r>
      <rPr>
        <sz val="11"/>
        <rFont val="宋体"/>
        <charset val="134"/>
      </rPr>
      <t>左座脚蹬传感器</t>
    </r>
    <r>
      <rPr>
        <sz val="11"/>
        <rFont val="Times New Roman"/>
        <charset val="134"/>
      </rPr>
      <t>1</t>
    </r>
  </si>
  <si>
    <t>3241E03000G900</t>
  </si>
  <si>
    <t>3204D2201</t>
  </si>
  <si>
    <r>
      <rPr>
        <sz val="11"/>
        <rFont val="宋体"/>
        <charset val="134"/>
      </rPr>
      <t>左座脚蹬传感器</t>
    </r>
    <r>
      <rPr>
        <sz val="11"/>
        <rFont val="Times New Roman"/>
        <charset val="134"/>
      </rPr>
      <t>2</t>
    </r>
  </si>
  <si>
    <t>3204D2203</t>
  </si>
  <si>
    <r>
      <rPr>
        <sz val="11"/>
        <rFont val="宋体"/>
        <charset val="134"/>
      </rPr>
      <t>右座脚蹬传感器</t>
    </r>
    <r>
      <rPr>
        <sz val="11"/>
        <rFont val="Times New Roman"/>
        <charset val="134"/>
      </rPr>
      <t>1</t>
    </r>
  </si>
  <si>
    <t>3204D2205</t>
  </si>
  <si>
    <r>
      <rPr>
        <sz val="11"/>
        <rFont val="宋体"/>
        <charset val="134"/>
      </rPr>
      <t>右座脚蹬传感器</t>
    </r>
    <r>
      <rPr>
        <sz val="11"/>
        <rFont val="Times New Roman"/>
        <charset val="134"/>
      </rPr>
      <t>2</t>
    </r>
  </si>
  <si>
    <t>3204D2207</t>
  </si>
  <si>
    <t>刹车控制监视单元</t>
  </si>
  <si>
    <t>3241E04000G900</t>
  </si>
  <si>
    <t>3201U2505</t>
  </si>
  <si>
    <t>备份刹车控制单元</t>
  </si>
  <si>
    <t>3241E05000G900</t>
  </si>
  <si>
    <t>3201U3605</t>
  </si>
  <si>
    <r>
      <rPr>
        <sz val="11"/>
        <rFont val="宋体"/>
        <charset val="134"/>
      </rPr>
      <t>外侧</t>
    </r>
    <r>
      <rPr>
        <sz val="11"/>
        <rFont val="Times New Roman"/>
        <charset val="134"/>
      </rPr>
      <t>EMA</t>
    </r>
    <r>
      <rPr>
        <sz val="11"/>
        <rFont val="宋体"/>
        <charset val="134"/>
      </rPr>
      <t>控制器</t>
    </r>
    <r>
      <rPr>
        <sz val="11"/>
        <rFont val="Times New Roman"/>
        <charset val="134"/>
      </rPr>
      <t>1</t>
    </r>
  </si>
  <si>
    <t>3241E06000G900</t>
  </si>
  <si>
    <t>3204U6101</t>
  </si>
  <si>
    <r>
      <rPr>
        <sz val="11"/>
        <rFont val="宋体"/>
        <charset val="134"/>
      </rPr>
      <t>外侧</t>
    </r>
    <r>
      <rPr>
        <sz val="11"/>
        <rFont val="Times New Roman"/>
        <charset val="134"/>
      </rPr>
      <t>EMA</t>
    </r>
    <r>
      <rPr>
        <sz val="11"/>
        <rFont val="宋体"/>
        <charset val="134"/>
      </rPr>
      <t>控制器</t>
    </r>
    <r>
      <rPr>
        <sz val="11"/>
        <rFont val="Times New Roman"/>
        <charset val="134"/>
      </rPr>
      <t>2</t>
    </r>
  </si>
  <si>
    <t>3204U6103</t>
  </si>
  <si>
    <r>
      <rPr>
        <sz val="11"/>
        <rFont val="宋体"/>
        <charset val="134"/>
      </rPr>
      <t>内侧</t>
    </r>
    <r>
      <rPr>
        <sz val="11"/>
        <rFont val="Times New Roman"/>
        <charset val="134"/>
      </rPr>
      <t>EMA</t>
    </r>
    <r>
      <rPr>
        <sz val="11"/>
        <rFont val="宋体"/>
        <charset val="134"/>
      </rPr>
      <t>控制器</t>
    </r>
    <r>
      <rPr>
        <sz val="11"/>
        <rFont val="Times New Roman"/>
        <charset val="134"/>
      </rPr>
      <t>1</t>
    </r>
  </si>
  <si>
    <t>3204U6105</t>
  </si>
  <si>
    <r>
      <rPr>
        <sz val="11"/>
        <rFont val="宋体"/>
        <charset val="134"/>
      </rPr>
      <t>内侧</t>
    </r>
    <r>
      <rPr>
        <sz val="11"/>
        <rFont val="Times New Roman"/>
        <charset val="134"/>
      </rPr>
      <t>EMA</t>
    </r>
    <r>
      <rPr>
        <sz val="11"/>
        <rFont val="宋体"/>
        <charset val="134"/>
      </rPr>
      <t>控制器</t>
    </r>
    <r>
      <rPr>
        <sz val="11"/>
        <rFont val="Times New Roman"/>
        <charset val="134"/>
      </rPr>
      <t>2</t>
    </r>
  </si>
  <si>
    <t>3204U6107</t>
  </si>
  <si>
    <t>左外刹车温度传感器</t>
  </si>
  <si>
    <t>3244E01000G900</t>
  </si>
  <si>
    <t>3204D5109</t>
  </si>
  <si>
    <t>左内刹车温度传感器</t>
  </si>
  <si>
    <t>3204D5111</t>
  </si>
  <si>
    <t>右内刹车温度传感器</t>
  </si>
  <si>
    <t>3204D5113</t>
  </si>
  <si>
    <t>右外刹车温度传感器</t>
  </si>
  <si>
    <t>3204D5115</t>
  </si>
  <si>
    <t>左外机轮刹车装置</t>
  </si>
  <si>
    <t>3245E01000G900</t>
  </si>
  <si>
    <t>3204M5101</t>
  </si>
  <si>
    <t>左内机轮刹车装置</t>
  </si>
  <si>
    <t>3204M5103</t>
  </si>
  <si>
    <t>右内机轮刹车装置</t>
  </si>
  <si>
    <t>3204M5105</t>
  </si>
  <si>
    <t>右外机轮刹车装置</t>
  </si>
  <si>
    <t>3204M5107</t>
  </si>
  <si>
    <t>左外轮胎</t>
  </si>
  <si>
    <t>3245E02000G900</t>
  </si>
  <si>
    <t>3204X5109</t>
  </si>
  <si>
    <t>左内轮胎</t>
  </si>
  <si>
    <t>3204X5111</t>
  </si>
  <si>
    <t>右内轮胎</t>
  </si>
  <si>
    <t>3204X5113</t>
  </si>
  <si>
    <t>右外轮胎</t>
  </si>
  <si>
    <t>3204X5115</t>
  </si>
  <si>
    <t>前左机轮</t>
  </si>
  <si>
    <t>3246E01000G900</t>
  </si>
  <si>
    <t>3202X1201</t>
  </si>
  <si>
    <t>前右机轮</t>
  </si>
  <si>
    <t>3202X1203</t>
  </si>
  <si>
    <t>前左轮胎</t>
  </si>
  <si>
    <t>3246E02000G900</t>
  </si>
  <si>
    <t>3202X1205</t>
  </si>
  <si>
    <t>前右轮胎</t>
  </si>
  <si>
    <t>3202X1207</t>
  </si>
  <si>
    <t>左外胎压传感器</t>
  </si>
  <si>
    <t>3247E01000G900</t>
  </si>
  <si>
    <t>3206D5101</t>
  </si>
  <si>
    <t>左内胎压传感器</t>
  </si>
  <si>
    <t>3206D5103</t>
  </si>
  <si>
    <t>右外胎压传感器</t>
  </si>
  <si>
    <t>3206D5105</t>
  </si>
  <si>
    <t>右内胎压传感器</t>
  </si>
  <si>
    <t>3206D5107</t>
  </si>
  <si>
    <t>左外轮轴内适配器</t>
  </si>
  <si>
    <t>3247E01200G900</t>
  </si>
  <si>
    <t>3204D5117</t>
  </si>
  <si>
    <t>左内轮轴内适配器</t>
  </si>
  <si>
    <t>3204D5119</t>
  </si>
  <si>
    <t>右内轮轴内适配器</t>
  </si>
  <si>
    <t>3204D5121</t>
  </si>
  <si>
    <t>右外轮轴内适配器</t>
  </si>
  <si>
    <t>3204D5123</t>
  </si>
  <si>
    <t>左外主轮轮毂盖</t>
  </si>
  <si>
    <t>3247E01400G900</t>
  </si>
  <si>
    <t>3204X5117</t>
  </si>
  <si>
    <t>左内主轮轮毂盖</t>
  </si>
  <si>
    <t>3204X5119</t>
  </si>
  <si>
    <t>右内主轮轮毂盖</t>
  </si>
  <si>
    <t>3204X5121</t>
  </si>
  <si>
    <t>右外主轮轮毂盖</t>
  </si>
  <si>
    <t>3204X5123</t>
  </si>
  <si>
    <t>左座转弯手轮</t>
  </si>
  <si>
    <t>3250E11001G900</t>
  </si>
  <si>
    <t>3201S2401</t>
  </si>
  <si>
    <t>右座转弯手轮</t>
  </si>
  <si>
    <t>3250E11002G900</t>
  </si>
  <si>
    <t>3201S2403</t>
  </si>
  <si>
    <t>转弯控制单元</t>
  </si>
  <si>
    <t>3250E12000G900</t>
  </si>
  <si>
    <t>3201U4101</t>
  </si>
  <si>
    <t>转弯舵机</t>
  </si>
  <si>
    <t>3250E13000G900</t>
  </si>
  <si>
    <t>3201M1223</t>
  </si>
  <si>
    <t>牵引指示盒</t>
  </si>
  <si>
    <t>3250E14000G900</t>
  </si>
  <si>
    <t>3201L1225</t>
  </si>
  <si>
    <r>
      <rPr>
        <sz val="11"/>
        <rFont val="宋体"/>
        <charset val="134"/>
      </rPr>
      <t>前起位置指示传感器</t>
    </r>
    <r>
      <rPr>
        <sz val="11"/>
        <rFont val="Times New Roman"/>
        <charset val="134"/>
      </rPr>
      <t>1</t>
    </r>
  </si>
  <si>
    <t>3261E10000G900</t>
  </si>
  <si>
    <t>3202D1209</t>
  </si>
  <si>
    <r>
      <rPr>
        <sz val="11"/>
        <rFont val="宋体"/>
        <charset val="134"/>
      </rPr>
      <t>前起位置指示传感器</t>
    </r>
    <r>
      <rPr>
        <sz val="11"/>
        <rFont val="Times New Roman"/>
        <charset val="134"/>
      </rPr>
      <t>2</t>
    </r>
  </si>
  <si>
    <t>3202D1211</t>
  </si>
  <si>
    <r>
      <rPr>
        <sz val="11"/>
        <rFont val="宋体"/>
        <charset val="134"/>
      </rPr>
      <t>收放控制单元</t>
    </r>
    <r>
      <rPr>
        <sz val="11"/>
        <rFont val="Times New Roman"/>
        <charset val="134"/>
      </rPr>
      <t>1</t>
    </r>
  </si>
  <si>
    <t>3261E11100G900</t>
  </si>
  <si>
    <t>3201U2501</t>
  </si>
  <si>
    <r>
      <rPr>
        <sz val="11"/>
        <rFont val="宋体"/>
        <charset val="134"/>
      </rPr>
      <t>收放控制单元</t>
    </r>
    <r>
      <rPr>
        <sz val="11"/>
        <rFont val="Times New Roman"/>
        <charset val="134"/>
      </rPr>
      <t>2</t>
    </r>
  </si>
  <si>
    <t>3201U3603</t>
  </si>
  <si>
    <t>起落架收放管路</t>
  </si>
  <si>
    <t>TBD</t>
  </si>
  <si>
    <r>
      <rPr>
        <sz val="11"/>
        <rFont val="Times New Roman"/>
        <charset val="134"/>
      </rPr>
      <t xml:space="preserve">EATA33 </t>
    </r>
    <r>
      <rPr>
        <sz val="11"/>
        <rFont val="宋体"/>
        <charset val="134"/>
      </rPr>
      <t>照明系统</t>
    </r>
  </si>
  <si>
    <t>驾驶舱顶灯</t>
  </si>
  <si>
    <t>3314E01001G900</t>
  </si>
  <si>
    <t>3303L2101</t>
  </si>
  <si>
    <r>
      <rPr>
        <sz val="11"/>
        <rFont val="宋体"/>
        <charset val="134"/>
      </rPr>
      <t>地板灯</t>
    </r>
    <r>
      <rPr>
        <sz val="11"/>
        <rFont val="Times New Roman"/>
        <charset val="134"/>
      </rPr>
      <t>1</t>
    </r>
  </si>
  <si>
    <t>3317E01003G900</t>
  </si>
  <si>
    <t>3302L2201</t>
  </si>
  <si>
    <r>
      <rPr>
        <sz val="11"/>
        <rFont val="宋体"/>
        <charset val="134"/>
      </rPr>
      <t>地板灯</t>
    </r>
    <r>
      <rPr>
        <sz val="11"/>
        <rFont val="Times New Roman"/>
        <charset val="134"/>
      </rPr>
      <t>2</t>
    </r>
  </si>
  <si>
    <t>3302L2202</t>
  </si>
  <si>
    <r>
      <rPr>
        <sz val="11"/>
        <rFont val="宋体"/>
        <charset val="134"/>
      </rPr>
      <t>脚蹬灯</t>
    </r>
    <r>
      <rPr>
        <sz val="11"/>
        <rFont val="Times New Roman"/>
        <charset val="134"/>
      </rPr>
      <t>1</t>
    </r>
  </si>
  <si>
    <t>3317E01005G900</t>
  </si>
  <si>
    <t>3302L2203</t>
  </si>
  <si>
    <r>
      <rPr>
        <sz val="11"/>
        <rFont val="宋体"/>
        <charset val="134"/>
      </rPr>
      <t>脚蹬灯</t>
    </r>
    <r>
      <rPr>
        <sz val="11"/>
        <rFont val="Times New Roman"/>
        <charset val="134"/>
      </rPr>
      <t>2</t>
    </r>
  </si>
  <si>
    <t>3302L2204</t>
  </si>
  <si>
    <r>
      <rPr>
        <sz val="11"/>
        <rFont val="宋体"/>
        <charset val="134"/>
      </rPr>
      <t>左右操纵台泛光灯</t>
    </r>
    <r>
      <rPr>
        <sz val="11"/>
        <rFont val="Times New Roman"/>
        <charset val="134"/>
      </rPr>
      <t>1</t>
    </r>
  </si>
  <si>
    <t>3314E01007G900</t>
  </si>
  <si>
    <t>3305L2201</t>
  </si>
  <si>
    <r>
      <rPr>
        <sz val="11"/>
        <rFont val="宋体"/>
        <charset val="134"/>
      </rPr>
      <t>左右操纵台泛光灯</t>
    </r>
    <r>
      <rPr>
        <sz val="11"/>
        <rFont val="Times New Roman"/>
        <charset val="134"/>
      </rPr>
      <t>2</t>
    </r>
  </si>
  <si>
    <t>3305L2203</t>
  </si>
  <si>
    <t>驾驶舱灯具调光控制盒</t>
  </si>
  <si>
    <t>3314E02001G900</t>
  </si>
  <si>
    <t>3301L2201</t>
  </si>
  <si>
    <t>设备架</t>
  </si>
  <si>
    <r>
      <rPr>
        <sz val="11"/>
        <rFont val="宋体"/>
        <charset val="134"/>
      </rPr>
      <t>驾驶员阅读灯</t>
    </r>
    <r>
      <rPr>
        <sz val="11"/>
        <rFont val="Times New Roman"/>
        <charset val="134"/>
      </rPr>
      <t>1</t>
    </r>
  </si>
  <si>
    <t>3317E01009G900</t>
  </si>
  <si>
    <t>3302L2101</t>
  </si>
  <si>
    <r>
      <rPr>
        <sz val="11"/>
        <rFont val="宋体"/>
        <charset val="134"/>
      </rPr>
      <t>驾驶员阅读灯</t>
    </r>
    <r>
      <rPr>
        <sz val="11"/>
        <rFont val="Times New Roman"/>
        <charset val="134"/>
      </rPr>
      <t>2</t>
    </r>
  </si>
  <si>
    <t>3302L2103</t>
  </si>
  <si>
    <t>白光航行灯（垂尾）</t>
  </si>
  <si>
    <t>3341E03000G900</t>
  </si>
  <si>
    <t>3301L8901</t>
  </si>
  <si>
    <r>
      <rPr>
        <sz val="11"/>
        <rFont val="宋体"/>
        <charset val="134"/>
      </rPr>
      <t>尾段</t>
    </r>
    <r>
      <rPr>
        <sz val="11"/>
        <rFont val="Times New Roman"/>
        <charset val="134"/>
      </rPr>
      <t>-</t>
    </r>
    <r>
      <rPr>
        <sz val="11"/>
        <rFont val="宋体"/>
        <charset val="134"/>
      </rPr>
      <t>外部</t>
    </r>
  </si>
  <si>
    <t>红光航行灯（左翼尖）</t>
  </si>
  <si>
    <t>3341E01001G900</t>
  </si>
  <si>
    <t>3301L6901</t>
  </si>
  <si>
    <r>
      <rPr>
        <sz val="11"/>
        <rFont val="宋体"/>
        <charset val="134"/>
      </rPr>
      <t>机翼</t>
    </r>
    <r>
      <rPr>
        <sz val="11"/>
        <rFont val="Times New Roman"/>
        <charset val="134"/>
      </rPr>
      <t>-</t>
    </r>
    <r>
      <rPr>
        <sz val="11"/>
        <rFont val="宋体"/>
        <charset val="134"/>
      </rPr>
      <t>机翼外部</t>
    </r>
  </si>
  <si>
    <t>绿光航行灯（右翼尖）</t>
  </si>
  <si>
    <t>3341E02001G900</t>
  </si>
  <si>
    <t>3301L6903</t>
  </si>
  <si>
    <t>左翼尖灯罩</t>
  </si>
  <si>
    <t>3341E03001G900</t>
  </si>
  <si>
    <t>3301X6905</t>
  </si>
  <si>
    <t>右翼尖灯罩</t>
  </si>
  <si>
    <t>3341E03002G900</t>
  </si>
  <si>
    <t>3301X6907</t>
  </si>
  <si>
    <t>上红光防撞灯</t>
  </si>
  <si>
    <t>3346E01001G900</t>
  </si>
  <si>
    <t>3302L3901</t>
  </si>
  <si>
    <t>下红光防撞灯</t>
  </si>
  <si>
    <t>3302L5901</t>
  </si>
  <si>
    <r>
      <rPr>
        <sz val="11"/>
        <rFont val="宋体"/>
        <charset val="134"/>
      </rPr>
      <t>下机身后段</t>
    </r>
    <r>
      <rPr>
        <sz val="11"/>
        <rFont val="Times New Roman"/>
        <charset val="134"/>
      </rPr>
      <t>-</t>
    </r>
    <r>
      <rPr>
        <sz val="11"/>
        <rFont val="宋体"/>
        <charset val="134"/>
      </rPr>
      <t>外部</t>
    </r>
  </si>
  <si>
    <t>左白光防撞灯</t>
  </si>
  <si>
    <t>3345E01001G900</t>
  </si>
  <si>
    <t>3304L6901</t>
  </si>
  <si>
    <t>右白光防撞灯</t>
  </si>
  <si>
    <t>3304L6902</t>
  </si>
  <si>
    <r>
      <rPr>
        <sz val="11"/>
        <rFont val="宋体"/>
        <charset val="134"/>
      </rPr>
      <t>后白光防撞灯</t>
    </r>
    <r>
      <rPr>
        <sz val="11"/>
        <rFont val="Times New Roman"/>
        <charset val="134"/>
      </rPr>
      <t>1</t>
    </r>
  </si>
  <si>
    <t>3304L8901</t>
  </si>
  <si>
    <r>
      <rPr>
        <sz val="11"/>
        <rFont val="宋体"/>
        <charset val="134"/>
      </rPr>
      <t>后白光防撞灯</t>
    </r>
    <r>
      <rPr>
        <sz val="11"/>
        <rFont val="Times New Roman"/>
        <charset val="134"/>
      </rPr>
      <t>2</t>
    </r>
  </si>
  <si>
    <t>3304L8902</t>
  </si>
  <si>
    <r>
      <rPr>
        <sz val="11"/>
        <rFont val="宋体"/>
        <charset val="134"/>
      </rPr>
      <t>左翼根着陆灯</t>
    </r>
    <r>
      <rPr>
        <sz val="11"/>
        <rFont val="Times New Roman"/>
        <charset val="134"/>
      </rPr>
      <t>1</t>
    </r>
  </si>
  <si>
    <t>3342E02001G900</t>
  </si>
  <si>
    <t>3304L6903</t>
  </si>
  <si>
    <r>
      <rPr>
        <sz val="11"/>
        <rFont val="宋体"/>
        <charset val="134"/>
      </rPr>
      <t>右翼根着陆灯</t>
    </r>
    <r>
      <rPr>
        <sz val="11"/>
        <rFont val="Times New Roman"/>
        <charset val="134"/>
      </rPr>
      <t>1</t>
    </r>
  </si>
  <si>
    <t>3304L6904</t>
  </si>
  <si>
    <r>
      <rPr>
        <sz val="11"/>
        <rFont val="宋体"/>
        <charset val="134"/>
      </rPr>
      <t>左翼根着陆灯</t>
    </r>
    <r>
      <rPr>
        <sz val="11"/>
        <rFont val="Times New Roman"/>
        <charset val="134"/>
      </rPr>
      <t>2</t>
    </r>
  </si>
  <si>
    <t>3304L6905</t>
  </si>
  <si>
    <r>
      <rPr>
        <sz val="11"/>
        <rFont val="宋体"/>
        <charset val="134"/>
      </rPr>
      <t>右翼根着陆灯</t>
    </r>
    <r>
      <rPr>
        <sz val="11"/>
        <rFont val="Times New Roman"/>
        <charset val="134"/>
      </rPr>
      <t>2</t>
    </r>
  </si>
  <si>
    <t>3304L6906</t>
  </si>
  <si>
    <t>左翼根灯罩</t>
  </si>
  <si>
    <t>3342E03001G900</t>
  </si>
  <si>
    <t>3301X6901</t>
  </si>
  <si>
    <t>右翼根灯罩</t>
  </si>
  <si>
    <t>3342E03002G900</t>
  </si>
  <si>
    <t>3301X6903</t>
  </si>
  <si>
    <t>左滑行灯</t>
  </si>
  <si>
    <t>3342E01001G900</t>
  </si>
  <si>
    <t>3302L1201</t>
  </si>
  <si>
    <t>右滑行灯</t>
  </si>
  <si>
    <t>3302L1202</t>
  </si>
  <si>
    <t>左标志灯</t>
  </si>
  <si>
    <t>3300L8901</t>
  </si>
  <si>
    <t>右标志灯</t>
  </si>
  <si>
    <t>3300L8902</t>
  </si>
  <si>
    <t>左探冰灯</t>
  </si>
  <si>
    <t>3300L8903</t>
  </si>
  <si>
    <t>左侧前机身</t>
  </si>
  <si>
    <t>右探冰灯</t>
  </si>
  <si>
    <t>3300L8904</t>
  </si>
  <si>
    <t>右侧前机身</t>
  </si>
  <si>
    <r>
      <rPr>
        <sz val="11"/>
        <rFont val="Times New Roman"/>
        <charset val="134"/>
      </rPr>
      <t xml:space="preserve">EATA34 </t>
    </r>
    <r>
      <rPr>
        <sz val="11"/>
        <rFont val="宋体"/>
        <charset val="134"/>
      </rPr>
      <t>导航系统</t>
    </r>
  </si>
  <si>
    <r>
      <rPr>
        <sz val="11"/>
        <rFont val="宋体"/>
        <charset val="134"/>
      </rPr>
      <t>总压传感器</t>
    </r>
    <r>
      <rPr>
        <sz val="11"/>
        <rFont val="Times New Roman"/>
        <charset val="134"/>
      </rPr>
      <t>1</t>
    </r>
  </si>
  <si>
    <t>3411E01001G900</t>
  </si>
  <si>
    <t>3403U2901</t>
  </si>
  <si>
    <r>
      <rPr>
        <sz val="11"/>
        <rFont val="宋体"/>
        <charset val="134"/>
      </rPr>
      <t>驾驶舱</t>
    </r>
    <r>
      <rPr>
        <sz val="11"/>
        <rFont val="Times New Roman"/>
        <charset val="134"/>
      </rPr>
      <t>-</t>
    </r>
    <r>
      <rPr>
        <sz val="11"/>
        <rFont val="宋体"/>
        <charset val="134"/>
      </rPr>
      <t>外部</t>
    </r>
  </si>
  <si>
    <r>
      <rPr>
        <sz val="11"/>
        <rFont val="宋体"/>
        <charset val="134"/>
      </rPr>
      <t>总压传感器</t>
    </r>
    <r>
      <rPr>
        <sz val="11"/>
        <rFont val="Times New Roman"/>
        <charset val="134"/>
      </rPr>
      <t>2</t>
    </r>
  </si>
  <si>
    <t>3403U2903</t>
  </si>
  <si>
    <r>
      <rPr>
        <sz val="11"/>
        <rFont val="宋体"/>
        <charset val="134"/>
      </rPr>
      <t>总压传感器</t>
    </r>
    <r>
      <rPr>
        <sz val="11"/>
        <rFont val="Times New Roman"/>
        <charset val="134"/>
      </rPr>
      <t>3</t>
    </r>
  </si>
  <si>
    <t>3403U2905</t>
  </si>
  <si>
    <r>
      <rPr>
        <sz val="11"/>
        <rFont val="宋体"/>
        <charset val="134"/>
      </rPr>
      <t>总温传感器</t>
    </r>
    <r>
      <rPr>
        <sz val="11"/>
        <rFont val="Times New Roman"/>
        <charset val="134"/>
      </rPr>
      <t>1</t>
    </r>
  </si>
  <si>
    <t>3411E01005G900</t>
  </si>
  <si>
    <t>3402U2901</t>
  </si>
  <si>
    <r>
      <rPr>
        <sz val="11"/>
        <rFont val="宋体"/>
        <charset val="134"/>
      </rPr>
      <t>总温传感器</t>
    </r>
    <r>
      <rPr>
        <sz val="11"/>
        <rFont val="Times New Roman"/>
        <charset val="134"/>
      </rPr>
      <t>2</t>
    </r>
  </si>
  <si>
    <t>3402U2903</t>
  </si>
  <si>
    <r>
      <rPr>
        <sz val="11"/>
        <rFont val="宋体"/>
        <charset val="134"/>
      </rPr>
      <t>攻角传感器</t>
    </r>
    <r>
      <rPr>
        <sz val="11"/>
        <rFont val="Times New Roman"/>
        <charset val="134"/>
      </rPr>
      <t>1</t>
    </r>
  </si>
  <si>
    <t>3411E01007G900</t>
  </si>
  <si>
    <t>3403U2907</t>
  </si>
  <si>
    <r>
      <rPr>
        <sz val="11"/>
        <rFont val="宋体"/>
        <charset val="134"/>
      </rPr>
      <t>攻角传感器</t>
    </r>
    <r>
      <rPr>
        <sz val="11"/>
        <rFont val="Times New Roman"/>
        <charset val="134"/>
      </rPr>
      <t>2</t>
    </r>
  </si>
  <si>
    <t>3403U2909</t>
  </si>
  <si>
    <r>
      <rPr>
        <sz val="11"/>
        <rFont val="宋体"/>
        <charset val="134"/>
      </rPr>
      <t>攻角传感器</t>
    </r>
    <r>
      <rPr>
        <sz val="11"/>
        <rFont val="Times New Roman"/>
        <charset val="134"/>
      </rPr>
      <t>3</t>
    </r>
  </si>
  <si>
    <t>3403U2911</t>
  </si>
  <si>
    <t>侧滑角传感器</t>
  </si>
  <si>
    <t>3411E01009G900</t>
  </si>
  <si>
    <t>3401U1901</t>
  </si>
  <si>
    <r>
      <rPr>
        <sz val="11"/>
        <rFont val="宋体"/>
        <charset val="134"/>
      </rPr>
      <t>静压传感器</t>
    </r>
    <r>
      <rPr>
        <sz val="11"/>
        <rFont val="Times New Roman"/>
        <charset val="134"/>
      </rPr>
      <t>1</t>
    </r>
  </si>
  <si>
    <t>3411E01011G900</t>
  </si>
  <si>
    <t>3401U1903</t>
  </si>
  <si>
    <r>
      <rPr>
        <sz val="11"/>
        <rFont val="宋体"/>
        <charset val="134"/>
      </rPr>
      <t>静压传感器</t>
    </r>
    <r>
      <rPr>
        <sz val="11"/>
        <rFont val="Times New Roman"/>
        <charset val="134"/>
      </rPr>
      <t>2</t>
    </r>
  </si>
  <si>
    <t>3411E01013G900</t>
  </si>
  <si>
    <t>3401U1905</t>
  </si>
  <si>
    <r>
      <rPr>
        <sz val="11"/>
        <rFont val="宋体"/>
        <charset val="134"/>
      </rPr>
      <t>静压传感器</t>
    </r>
    <r>
      <rPr>
        <sz val="11"/>
        <rFont val="Times New Roman"/>
        <charset val="134"/>
      </rPr>
      <t>3</t>
    </r>
  </si>
  <si>
    <t>3411E01015G900</t>
  </si>
  <si>
    <t>3401U1907</t>
  </si>
  <si>
    <r>
      <rPr>
        <sz val="11"/>
        <rFont val="宋体"/>
        <charset val="134"/>
      </rPr>
      <t>静压传感器</t>
    </r>
    <r>
      <rPr>
        <sz val="11"/>
        <rFont val="Times New Roman"/>
        <charset val="134"/>
      </rPr>
      <t>4</t>
    </r>
  </si>
  <si>
    <t>3411E01017G900</t>
  </si>
  <si>
    <t>3401U1909</t>
  </si>
  <si>
    <r>
      <rPr>
        <sz val="11"/>
        <rFont val="宋体"/>
        <charset val="134"/>
      </rPr>
      <t>静压传感器</t>
    </r>
    <r>
      <rPr>
        <sz val="11"/>
        <rFont val="Times New Roman"/>
        <charset val="134"/>
      </rPr>
      <t>5</t>
    </r>
  </si>
  <si>
    <t>3411E01019G900</t>
  </si>
  <si>
    <t>3401U1911</t>
  </si>
  <si>
    <r>
      <rPr>
        <sz val="11"/>
        <rFont val="宋体"/>
        <charset val="134"/>
      </rPr>
      <t>静压传感器</t>
    </r>
    <r>
      <rPr>
        <sz val="11"/>
        <rFont val="Times New Roman"/>
        <charset val="134"/>
      </rPr>
      <t>6</t>
    </r>
  </si>
  <si>
    <t>3411E01021G900</t>
  </si>
  <si>
    <t>3401U1913</t>
  </si>
  <si>
    <r>
      <rPr>
        <sz val="11"/>
        <rFont val="宋体"/>
        <charset val="134"/>
      </rPr>
      <t>大气数据模块</t>
    </r>
    <r>
      <rPr>
        <sz val="11"/>
        <rFont val="Times New Roman"/>
        <charset val="134"/>
      </rPr>
      <t>1</t>
    </r>
  </si>
  <si>
    <t>3411E02001G900</t>
  </si>
  <si>
    <t>3409U1301</t>
  </si>
  <si>
    <r>
      <rPr>
        <sz val="11"/>
        <rFont val="宋体"/>
        <charset val="134"/>
      </rPr>
      <t>大气数据模块</t>
    </r>
    <r>
      <rPr>
        <sz val="11"/>
        <rFont val="Times New Roman"/>
        <charset val="134"/>
      </rPr>
      <t>2</t>
    </r>
  </si>
  <si>
    <t>3409U1303</t>
  </si>
  <si>
    <r>
      <rPr>
        <sz val="11"/>
        <rFont val="宋体"/>
        <charset val="134"/>
      </rPr>
      <t>大气数据模块</t>
    </r>
    <r>
      <rPr>
        <sz val="11"/>
        <rFont val="Times New Roman"/>
        <charset val="134"/>
      </rPr>
      <t>3</t>
    </r>
  </si>
  <si>
    <t>3409U1305</t>
  </si>
  <si>
    <r>
      <rPr>
        <sz val="11"/>
        <rFont val="宋体"/>
        <charset val="134"/>
      </rPr>
      <t>大气数据模块</t>
    </r>
    <r>
      <rPr>
        <sz val="11"/>
        <rFont val="Times New Roman"/>
        <charset val="134"/>
      </rPr>
      <t>4</t>
    </r>
  </si>
  <si>
    <t>3409U1307</t>
  </si>
  <si>
    <r>
      <rPr>
        <sz val="11"/>
        <rFont val="宋体"/>
        <charset val="134"/>
      </rPr>
      <t>大气数据模块</t>
    </r>
    <r>
      <rPr>
        <sz val="11"/>
        <rFont val="Times New Roman"/>
        <charset val="134"/>
      </rPr>
      <t>5</t>
    </r>
  </si>
  <si>
    <t>3409U1309</t>
  </si>
  <si>
    <r>
      <rPr>
        <sz val="11"/>
        <rFont val="宋体"/>
        <charset val="134"/>
      </rPr>
      <t>大气数据模块</t>
    </r>
    <r>
      <rPr>
        <sz val="11"/>
        <rFont val="Times New Roman"/>
        <charset val="134"/>
      </rPr>
      <t>6</t>
    </r>
  </si>
  <si>
    <t>3409U1311</t>
  </si>
  <si>
    <r>
      <rPr>
        <sz val="11"/>
        <rFont val="宋体"/>
        <charset val="134"/>
      </rPr>
      <t>大气数据模块</t>
    </r>
    <r>
      <rPr>
        <sz val="11"/>
        <rFont val="Times New Roman"/>
        <charset val="134"/>
      </rPr>
      <t>7</t>
    </r>
  </si>
  <si>
    <t>3409U2201</t>
  </si>
  <si>
    <r>
      <rPr>
        <sz val="11"/>
        <rFont val="宋体"/>
        <charset val="134"/>
      </rPr>
      <t>大气数据模块</t>
    </r>
    <r>
      <rPr>
        <sz val="11"/>
        <rFont val="Times New Roman"/>
        <charset val="134"/>
      </rPr>
      <t>8</t>
    </r>
  </si>
  <si>
    <t>3409U2203</t>
  </si>
  <si>
    <r>
      <rPr>
        <sz val="11"/>
        <rFont val="宋体"/>
        <charset val="134"/>
      </rPr>
      <t>大气数据模块</t>
    </r>
    <r>
      <rPr>
        <sz val="11"/>
        <rFont val="Times New Roman"/>
        <charset val="134"/>
      </rPr>
      <t>9</t>
    </r>
  </si>
  <si>
    <t>3409U2205</t>
  </si>
  <si>
    <r>
      <rPr>
        <sz val="11"/>
        <rFont val="宋体"/>
        <charset val="134"/>
      </rPr>
      <t>大气数据计算机</t>
    </r>
    <r>
      <rPr>
        <sz val="11"/>
        <rFont val="Times New Roman"/>
        <charset val="134"/>
      </rPr>
      <t>1</t>
    </r>
  </si>
  <si>
    <t>3411E03001G900</t>
  </si>
  <si>
    <t>3403U2501</t>
  </si>
  <si>
    <r>
      <rPr>
        <sz val="11"/>
        <rFont val="宋体"/>
        <charset val="134"/>
      </rPr>
      <t>大气数据计算机</t>
    </r>
    <r>
      <rPr>
        <sz val="11"/>
        <rFont val="Times New Roman"/>
        <charset val="134"/>
      </rPr>
      <t>2</t>
    </r>
  </si>
  <si>
    <t>3403U2503</t>
  </si>
  <si>
    <r>
      <rPr>
        <sz val="11"/>
        <rFont val="宋体"/>
        <charset val="134"/>
      </rPr>
      <t>大气数据计算机</t>
    </r>
    <r>
      <rPr>
        <sz val="11"/>
        <rFont val="Times New Roman"/>
        <charset val="134"/>
      </rPr>
      <t>3</t>
    </r>
  </si>
  <si>
    <t>3403U2601</t>
  </si>
  <si>
    <t>标准空速管</t>
  </si>
  <si>
    <t>3411E04001U900</t>
  </si>
  <si>
    <t>3401U1105</t>
  </si>
  <si>
    <r>
      <rPr>
        <sz val="11"/>
        <rFont val="宋体"/>
        <charset val="134"/>
      </rPr>
      <t>机头</t>
    </r>
    <r>
      <rPr>
        <sz val="11"/>
        <rFont val="Times New Roman"/>
        <charset val="134"/>
      </rPr>
      <t>-</t>
    </r>
    <r>
      <rPr>
        <sz val="11"/>
        <rFont val="宋体"/>
        <charset val="134"/>
      </rPr>
      <t>雷达舱</t>
    </r>
  </si>
  <si>
    <t>标准大气校准数据计算机</t>
  </si>
  <si>
    <t>3411E04003U900</t>
  </si>
  <si>
    <t>3401U1301</t>
  </si>
  <si>
    <t>综合备份仪表</t>
  </si>
  <si>
    <t>3421E01001G900</t>
  </si>
  <si>
    <t>3401U2403</t>
  </si>
  <si>
    <t>磁罗盘</t>
  </si>
  <si>
    <t>3422E01001G900</t>
  </si>
  <si>
    <t>3401U2105</t>
  </si>
  <si>
    <r>
      <rPr>
        <sz val="11"/>
        <rFont val="宋体"/>
        <charset val="134"/>
      </rPr>
      <t>仪表着陆</t>
    </r>
    <r>
      <rPr>
        <sz val="11"/>
        <rFont val="Times New Roman"/>
        <charset val="134"/>
      </rPr>
      <t>(LOC/GS)</t>
    </r>
    <r>
      <rPr>
        <sz val="11"/>
        <rFont val="宋体"/>
        <charset val="134"/>
      </rPr>
      <t>天线</t>
    </r>
    <r>
      <rPr>
        <sz val="11"/>
        <rFont val="Times New Roman"/>
        <charset val="134"/>
      </rPr>
      <t>1</t>
    </r>
  </si>
  <si>
    <t>3431E01001G900</t>
  </si>
  <si>
    <t>3402A8201</t>
  </si>
  <si>
    <r>
      <rPr>
        <sz val="11"/>
        <rFont val="宋体"/>
        <charset val="134"/>
      </rPr>
      <t>仪表着陆</t>
    </r>
    <r>
      <rPr>
        <sz val="11"/>
        <rFont val="Times New Roman"/>
        <charset val="134"/>
      </rPr>
      <t>(LOC/GS)</t>
    </r>
    <r>
      <rPr>
        <sz val="11"/>
        <rFont val="宋体"/>
        <charset val="134"/>
      </rPr>
      <t>天线</t>
    </r>
    <r>
      <rPr>
        <sz val="11"/>
        <rFont val="Times New Roman"/>
        <charset val="134"/>
      </rPr>
      <t>2</t>
    </r>
  </si>
  <si>
    <t>3402A8203</t>
  </si>
  <si>
    <r>
      <rPr>
        <sz val="11"/>
        <rFont val="Times New Roman"/>
        <charset val="134"/>
      </rPr>
      <t>LOC/GS</t>
    </r>
    <r>
      <rPr>
        <sz val="11"/>
        <rFont val="宋体"/>
        <charset val="134"/>
      </rPr>
      <t>天线合路器</t>
    </r>
  </si>
  <si>
    <t>3431E01003G900</t>
  </si>
  <si>
    <t>3401U8201</t>
  </si>
  <si>
    <r>
      <rPr>
        <sz val="11"/>
        <rFont val="Times New Roman"/>
        <charset val="134"/>
      </rPr>
      <t>LOC/GS</t>
    </r>
    <r>
      <rPr>
        <sz val="11"/>
        <rFont val="宋体"/>
        <charset val="134"/>
      </rPr>
      <t>功分器</t>
    </r>
    <r>
      <rPr>
        <sz val="11"/>
        <rFont val="Times New Roman"/>
        <charset val="134"/>
      </rPr>
      <t>1</t>
    </r>
  </si>
  <si>
    <t>3431E02001G900</t>
  </si>
  <si>
    <t>3402U3601</t>
  </si>
  <si>
    <r>
      <rPr>
        <sz val="11"/>
        <rFont val="Times New Roman"/>
        <charset val="134"/>
      </rPr>
      <t>LOC/GS</t>
    </r>
    <r>
      <rPr>
        <sz val="11"/>
        <rFont val="宋体"/>
        <charset val="134"/>
      </rPr>
      <t>功分器</t>
    </r>
    <r>
      <rPr>
        <sz val="11"/>
        <rFont val="Times New Roman"/>
        <charset val="134"/>
      </rPr>
      <t>2</t>
    </r>
  </si>
  <si>
    <t>3402U3503</t>
  </si>
  <si>
    <r>
      <rPr>
        <sz val="11"/>
        <rFont val="宋体"/>
        <charset val="134"/>
      </rPr>
      <t>无线电高度表天线</t>
    </r>
    <r>
      <rPr>
        <sz val="11"/>
        <rFont val="Times New Roman"/>
        <charset val="134"/>
      </rPr>
      <t>1</t>
    </r>
  </si>
  <si>
    <t>3442E01001G900</t>
  </si>
  <si>
    <t>3404A4901</t>
  </si>
  <si>
    <r>
      <rPr>
        <sz val="11"/>
        <rFont val="宋体"/>
        <charset val="134"/>
      </rPr>
      <t>无线电高度表天线</t>
    </r>
    <r>
      <rPr>
        <sz val="11"/>
        <rFont val="Times New Roman"/>
        <charset val="134"/>
      </rPr>
      <t>2</t>
    </r>
  </si>
  <si>
    <t>3404A4903</t>
  </si>
  <si>
    <r>
      <rPr>
        <sz val="11"/>
        <rFont val="宋体"/>
        <charset val="134"/>
      </rPr>
      <t>无线电高度表天线</t>
    </r>
    <r>
      <rPr>
        <sz val="11"/>
        <rFont val="Times New Roman"/>
        <charset val="134"/>
      </rPr>
      <t>3</t>
    </r>
  </si>
  <si>
    <t>3404A4905</t>
  </si>
  <si>
    <r>
      <rPr>
        <sz val="11"/>
        <rFont val="宋体"/>
        <charset val="134"/>
      </rPr>
      <t>无线电高度表天线</t>
    </r>
    <r>
      <rPr>
        <sz val="11"/>
        <rFont val="Times New Roman"/>
        <charset val="134"/>
      </rPr>
      <t>4</t>
    </r>
  </si>
  <si>
    <t>3404A4907</t>
  </si>
  <si>
    <r>
      <rPr>
        <sz val="11"/>
        <rFont val="宋体"/>
        <charset val="134"/>
      </rPr>
      <t>无线电高度表（</t>
    </r>
    <r>
      <rPr>
        <sz val="11"/>
        <rFont val="Times New Roman"/>
        <charset val="134"/>
      </rPr>
      <t>RA</t>
    </r>
    <r>
      <rPr>
        <sz val="11"/>
        <rFont val="宋体"/>
        <charset val="134"/>
      </rPr>
      <t>）收发机</t>
    </r>
    <r>
      <rPr>
        <sz val="11"/>
        <rFont val="Times New Roman"/>
        <charset val="134"/>
      </rPr>
      <t>1</t>
    </r>
  </si>
  <si>
    <t>3442E01003G900</t>
  </si>
  <si>
    <t>3402U4101</t>
  </si>
  <si>
    <r>
      <rPr>
        <sz val="11"/>
        <rFont val="宋体"/>
        <charset val="134"/>
      </rPr>
      <t>无线电高度表（</t>
    </r>
    <r>
      <rPr>
        <sz val="11"/>
        <rFont val="Times New Roman"/>
        <charset val="134"/>
      </rPr>
      <t>RA</t>
    </r>
    <r>
      <rPr>
        <sz val="11"/>
        <rFont val="宋体"/>
        <charset val="134"/>
      </rPr>
      <t>）收发机</t>
    </r>
    <r>
      <rPr>
        <sz val="11"/>
        <rFont val="Times New Roman"/>
        <charset val="134"/>
      </rPr>
      <t>2</t>
    </r>
  </si>
  <si>
    <t>3402U4103</t>
  </si>
  <si>
    <r>
      <rPr>
        <sz val="11"/>
        <rFont val="宋体"/>
        <charset val="134"/>
      </rPr>
      <t>惯性基准系统</t>
    </r>
    <r>
      <rPr>
        <sz val="11"/>
        <rFont val="Times New Roman"/>
        <charset val="134"/>
      </rPr>
      <t>1</t>
    </r>
  </si>
  <si>
    <t>3443E01001G900</t>
  </si>
  <si>
    <t>3401U2505</t>
  </si>
  <si>
    <r>
      <rPr>
        <sz val="11"/>
        <rFont val="宋体"/>
        <charset val="134"/>
      </rPr>
      <t>惯性基准系统</t>
    </r>
    <r>
      <rPr>
        <sz val="11"/>
        <rFont val="Times New Roman"/>
        <charset val="134"/>
      </rPr>
      <t>2</t>
    </r>
  </si>
  <si>
    <t>3443E01003G900</t>
  </si>
  <si>
    <t>3401U2507</t>
  </si>
  <si>
    <r>
      <rPr>
        <sz val="11"/>
        <rFont val="宋体"/>
        <charset val="134"/>
      </rPr>
      <t>惯性基准系统</t>
    </r>
    <r>
      <rPr>
        <sz val="11"/>
        <rFont val="Times New Roman"/>
        <charset val="134"/>
      </rPr>
      <t>3</t>
    </r>
  </si>
  <si>
    <t>3443E01005G900</t>
  </si>
  <si>
    <t>3401U6101</t>
  </si>
  <si>
    <r>
      <rPr>
        <sz val="11"/>
        <rFont val="宋体"/>
        <charset val="134"/>
      </rPr>
      <t>甚高频通信及无线电导航集成设备</t>
    </r>
    <r>
      <rPr>
        <sz val="11"/>
        <rFont val="Times New Roman"/>
        <charset val="134"/>
      </rPr>
      <t>1</t>
    </r>
  </si>
  <si>
    <t>3451E01001G900</t>
  </si>
  <si>
    <t>3401U3601</t>
  </si>
  <si>
    <r>
      <rPr>
        <sz val="11"/>
        <rFont val="宋体"/>
        <charset val="134"/>
      </rPr>
      <t>甚高频通信及无线电导航集成设备</t>
    </r>
    <r>
      <rPr>
        <sz val="11"/>
        <rFont val="Times New Roman"/>
        <charset val="134"/>
      </rPr>
      <t>2</t>
    </r>
  </si>
  <si>
    <t>3451E01003G900</t>
  </si>
  <si>
    <t>3401U3501</t>
  </si>
  <si>
    <r>
      <rPr>
        <sz val="11"/>
        <rFont val="Times New Roman"/>
        <charset val="134"/>
      </rPr>
      <t>VHF</t>
    </r>
    <r>
      <rPr>
        <sz val="11"/>
        <rFont val="宋体"/>
        <charset val="134"/>
      </rPr>
      <t>天线</t>
    </r>
    <r>
      <rPr>
        <sz val="11"/>
        <rFont val="Times New Roman"/>
        <charset val="134"/>
      </rPr>
      <t>1</t>
    </r>
  </si>
  <si>
    <t>3451E02001G900</t>
  </si>
  <si>
    <t>3403A3901</t>
  </si>
  <si>
    <r>
      <rPr>
        <sz val="11"/>
        <rFont val="Times New Roman"/>
        <charset val="134"/>
      </rPr>
      <t>VHF</t>
    </r>
    <r>
      <rPr>
        <sz val="11"/>
        <rFont val="宋体"/>
        <charset val="134"/>
      </rPr>
      <t>天线</t>
    </r>
    <r>
      <rPr>
        <sz val="11"/>
        <rFont val="Times New Roman"/>
        <charset val="134"/>
      </rPr>
      <t>2</t>
    </r>
  </si>
  <si>
    <t>3403A4901</t>
  </si>
  <si>
    <r>
      <rPr>
        <sz val="11"/>
        <rFont val="Times New Roman"/>
        <charset val="134"/>
      </rPr>
      <t>VHF</t>
    </r>
    <r>
      <rPr>
        <sz val="11"/>
        <rFont val="宋体"/>
        <charset val="134"/>
      </rPr>
      <t>天线</t>
    </r>
    <r>
      <rPr>
        <sz val="11"/>
        <rFont val="Times New Roman"/>
        <charset val="134"/>
      </rPr>
      <t>3</t>
    </r>
  </si>
  <si>
    <t>3403A3903</t>
  </si>
  <si>
    <t>交通监视处理机</t>
  </si>
  <si>
    <t>3446E01001G900</t>
  </si>
  <si>
    <t>3401U2509</t>
  </si>
  <si>
    <t>交通监视上天线</t>
  </si>
  <si>
    <t>3446E01003G900</t>
  </si>
  <si>
    <t>3401A3901</t>
  </si>
  <si>
    <t>交通监视下天线</t>
  </si>
  <si>
    <t>3401A4901</t>
  </si>
  <si>
    <t>气象雷达</t>
  </si>
  <si>
    <t>3441E01001G900</t>
  </si>
  <si>
    <t>3401A1103</t>
  </si>
  <si>
    <t>TAWS</t>
  </si>
  <si>
    <r>
      <rPr>
        <sz val="11"/>
        <rFont val="Times New Roman"/>
        <charset val="134"/>
      </rPr>
      <t>GPS</t>
    </r>
    <r>
      <rPr>
        <sz val="11"/>
        <rFont val="宋体"/>
        <charset val="134"/>
      </rPr>
      <t>天线</t>
    </r>
    <r>
      <rPr>
        <sz val="11"/>
        <rFont val="Times New Roman"/>
        <charset val="134"/>
      </rPr>
      <t>1</t>
    </r>
  </si>
  <si>
    <t>3458E01001G900</t>
  </si>
  <si>
    <t>3402A3901</t>
  </si>
  <si>
    <r>
      <rPr>
        <sz val="11"/>
        <rFont val="Times New Roman"/>
        <charset val="134"/>
      </rPr>
      <t>GPS</t>
    </r>
    <r>
      <rPr>
        <sz val="11"/>
        <rFont val="宋体"/>
        <charset val="134"/>
      </rPr>
      <t>天线</t>
    </r>
    <r>
      <rPr>
        <sz val="11"/>
        <rFont val="Times New Roman"/>
        <charset val="134"/>
      </rPr>
      <t>2</t>
    </r>
  </si>
  <si>
    <t>3402A3903</t>
  </si>
  <si>
    <r>
      <rPr>
        <sz val="11"/>
        <rFont val="Times New Roman"/>
        <charset val="134"/>
      </rPr>
      <t>GNSS</t>
    </r>
    <r>
      <rPr>
        <sz val="11"/>
        <rFont val="宋体"/>
        <charset val="134"/>
      </rPr>
      <t>射频功分器</t>
    </r>
    <r>
      <rPr>
        <sz val="11"/>
        <rFont val="Times New Roman"/>
        <charset val="134"/>
      </rPr>
      <t>1</t>
    </r>
  </si>
  <si>
    <t>3458E02001G900</t>
  </si>
  <si>
    <t>3401U3605</t>
  </si>
  <si>
    <r>
      <rPr>
        <sz val="11"/>
        <rFont val="Times New Roman"/>
        <charset val="134"/>
      </rPr>
      <t>GNSS</t>
    </r>
    <r>
      <rPr>
        <sz val="11"/>
        <rFont val="宋体"/>
        <charset val="134"/>
      </rPr>
      <t>射频功分器</t>
    </r>
    <r>
      <rPr>
        <sz val="11"/>
        <rFont val="Times New Roman"/>
        <charset val="134"/>
      </rPr>
      <t>2</t>
    </r>
  </si>
  <si>
    <t>3401U3505</t>
  </si>
  <si>
    <r>
      <rPr>
        <sz val="11"/>
        <rFont val="Times New Roman"/>
        <charset val="134"/>
      </rPr>
      <t>RTK</t>
    </r>
    <r>
      <rPr>
        <sz val="11"/>
        <rFont val="宋体"/>
        <charset val="134"/>
      </rPr>
      <t>机载接收机</t>
    </r>
    <r>
      <rPr>
        <sz val="11"/>
        <rFont val="Times New Roman"/>
        <charset val="134"/>
      </rPr>
      <t>1</t>
    </r>
  </si>
  <si>
    <t>3458E03001U900</t>
  </si>
  <si>
    <t>3402U3205</t>
  </si>
  <si>
    <r>
      <rPr>
        <sz val="11"/>
        <rFont val="Times New Roman"/>
        <charset val="134"/>
      </rPr>
      <t>RTK</t>
    </r>
    <r>
      <rPr>
        <sz val="11"/>
        <rFont val="宋体"/>
        <charset val="134"/>
      </rPr>
      <t>机载接收机</t>
    </r>
    <r>
      <rPr>
        <sz val="11"/>
        <rFont val="Times New Roman"/>
        <charset val="134"/>
      </rPr>
      <t>2</t>
    </r>
  </si>
  <si>
    <t>3402U3207</t>
  </si>
  <si>
    <t>北斗卫星导航接收机</t>
  </si>
  <si>
    <t>3459E01001G900</t>
  </si>
  <si>
    <t>3401U3603</t>
  </si>
  <si>
    <r>
      <rPr>
        <sz val="11"/>
        <rFont val="Times New Roman"/>
        <charset val="134"/>
      </rPr>
      <t xml:space="preserve">EATA35 </t>
    </r>
    <r>
      <rPr>
        <sz val="11"/>
        <rFont val="宋体"/>
        <charset val="134"/>
      </rPr>
      <t>氧气</t>
    </r>
  </si>
  <si>
    <r>
      <rPr>
        <sz val="11"/>
        <rFont val="宋体"/>
        <charset val="134"/>
      </rPr>
      <t>便携式氧气瓶组件</t>
    </r>
    <r>
      <rPr>
        <sz val="11"/>
        <rFont val="Times New Roman"/>
        <charset val="134"/>
      </rPr>
      <t>1</t>
    </r>
  </si>
  <si>
    <r>
      <rPr>
        <sz val="11"/>
        <rFont val="宋体"/>
        <charset val="134"/>
      </rPr>
      <t>便携式氧气瓶组件</t>
    </r>
    <r>
      <rPr>
        <sz val="11"/>
        <rFont val="Times New Roman"/>
        <charset val="134"/>
      </rPr>
      <t>2</t>
    </r>
  </si>
  <si>
    <r>
      <rPr>
        <sz val="11"/>
        <rFont val="Times New Roman"/>
        <charset val="134"/>
      </rPr>
      <t xml:space="preserve">EATA42 </t>
    </r>
    <r>
      <rPr>
        <sz val="11"/>
        <rFont val="宋体"/>
        <charset val="134"/>
      </rPr>
      <t>机载处理与网络系统</t>
    </r>
  </si>
  <si>
    <r>
      <rPr>
        <sz val="11"/>
        <rFont val="宋体"/>
        <charset val="134"/>
      </rPr>
      <t>飞机数据网络交换机</t>
    </r>
    <r>
      <rPr>
        <sz val="11"/>
        <rFont val="Times New Roman"/>
        <charset val="134"/>
      </rPr>
      <t>1</t>
    </r>
  </si>
  <si>
    <t>4230E01001G900</t>
  </si>
  <si>
    <t>4202U2503</t>
  </si>
  <si>
    <r>
      <rPr>
        <sz val="11"/>
        <rFont val="宋体"/>
        <charset val="134"/>
      </rPr>
      <t>飞机数据网络交换机</t>
    </r>
    <r>
      <rPr>
        <sz val="11"/>
        <rFont val="Times New Roman"/>
        <charset val="134"/>
      </rPr>
      <t>2</t>
    </r>
  </si>
  <si>
    <t>4202U2603</t>
  </si>
  <si>
    <r>
      <rPr>
        <sz val="11"/>
        <rFont val="汉仪书宋二KW"/>
        <charset val="134"/>
      </rPr>
      <t>驾驶舱</t>
    </r>
    <r>
      <rPr>
        <sz val="11"/>
        <rFont val="Times New Roman"/>
        <charset val="134"/>
      </rPr>
      <t>-</t>
    </r>
    <r>
      <rPr>
        <sz val="11"/>
        <rFont val="汉仪书宋二KW"/>
        <charset val="134"/>
      </rPr>
      <t>右设备架</t>
    </r>
  </si>
  <si>
    <r>
      <rPr>
        <sz val="11"/>
        <rFont val="Times New Roman"/>
        <charset val="134"/>
      </rPr>
      <t>TSN</t>
    </r>
    <r>
      <rPr>
        <sz val="11"/>
        <rFont val="宋体"/>
        <charset val="134"/>
      </rPr>
      <t>数据记录器</t>
    </r>
    <r>
      <rPr>
        <sz val="11"/>
        <rFont val="Times New Roman"/>
        <charset val="134"/>
      </rPr>
      <t>1</t>
    </r>
  </si>
  <si>
    <t>4230E02001U900</t>
  </si>
  <si>
    <t>4202U3201</t>
  </si>
  <si>
    <r>
      <rPr>
        <sz val="11"/>
        <rFont val="Times New Roman"/>
        <charset val="134"/>
      </rPr>
      <t>TSN</t>
    </r>
    <r>
      <rPr>
        <sz val="11"/>
        <rFont val="宋体"/>
        <charset val="134"/>
      </rPr>
      <t>数据记录器</t>
    </r>
    <r>
      <rPr>
        <sz val="11"/>
        <rFont val="Times New Roman"/>
        <charset val="134"/>
      </rPr>
      <t>2</t>
    </r>
  </si>
  <si>
    <t>4202U3205</t>
  </si>
  <si>
    <r>
      <rPr>
        <sz val="11"/>
        <rFont val="宋体"/>
        <charset val="134"/>
      </rPr>
      <t>数据接口单元</t>
    </r>
    <r>
      <rPr>
        <sz val="11"/>
        <rFont val="Times New Roman"/>
        <charset val="134"/>
      </rPr>
      <t>1</t>
    </r>
  </si>
  <si>
    <t>4240E01001G900</t>
  </si>
  <si>
    <t>4206U2601</t>
  </si>
  <si>
    <r>
      <rPr>
        <sz val="11"/>
        <rFont val="宋体"/>
        <charset val="134"/>
      </rPr>
      <t>数据接口单元</t>
    </r>
    <r>
      <rPr>
        <sz val="11"/>
        <rFont val="Times New Roman"/>
        <charset val="134"/>
      </rPr>
      <t>2</t>
    </r>
  </si>
  <si>
    <t>4206U2603</t>
  </si>
  <si>
    <r>
      <rPr>
        <sz val="11"/>
        <rFont val="宋体"/>
        <charset val="134"/>
      </rPr>
      <t>数据接口单元</t>
    </r>
    <r>
      <rPr>
        <sz val="11"/>
        <rFont val="Times New Roman"/>
        <charset val="134"/>
      </rPr>
      <t>3</t>
    </r>
  </si>
  <si>
    <t>4206U2501</t>
  </si>
  <si>
    <r>
      <rPr>
        <sz val="11"/>
        <rFont val="宋体"/>
        <charset val="134"/>
      </rPr>
      <t>数据接口单元</t>
    </r>
    <r>
      <rPr>
        <sz val="11"/>
        <rFont val="Times New Roman"/>
        <charset val="134"/>
      </rPr>
      <t>4</t>
    </r>
  </si>
  <si>
    <t>4206U3501</t>
  </si>
  <si>
    <r>
      <rPr>
        <sz val="11"/>
        <rFont val="宋体"/>
        <charset val="134"/>
      </rPr>
      <t>数据接口单元</t>
    </r>
    <r>
      <rPr>
        <sz val="11"/>
        <rFont val="Times New Roman"/>
        <charset val="134"/>
      </rPr>
      <t>5</t>
    </r>
  </si>
  <si>
    <t>4206U3503</t>
  </si>
  <si>
    <r>
      <rPr>
        <sz val="11"/>
        <rFont val="宋体"/>
        <charset val="134"/>
      </rPr>
      <t>数据接口单元</t>
    </r>
    <r>
      <rPr>
        <sz val="11"/>
        <rFont val="Times New Roman"/>
        <charset val="134"/>
      </rPr>
      <t>6</t>
    </r>
  </si>
  <si>
    <t>4206U3601</t>
  </si>
  <si>
    <r>
      <rPr>
        <sz val="11"/>
        <rFont val="Times New Roman"/>
        <charset val="134"/>
      </rPr>
      <t xml:space="preserve">EATA45 </t>
    </r>
    <r>
      <rPr>
        <sz val="11"/>
        <rFont val="宋体"/>
        <charset val="134"/>
      </rPr>
      <t>维护与健康管理系统</t>
    </r>
  </si>
  <si>
    <t>结构健康监测设备</t>
  </si>
  <si>
    <t>4552E01001G900</t>
  </si>
  <si>
    <t>4501U3603</t>
  </si>
  <si>
    <r>
      <rPr>
        <sz val="11"/>
        <rFont val="宋体"/>
        <charset val="134"/>
      </rPr>
      <t>结构健康监测光纤传感器</t>
    </r>
    <r>
      <rPr>
        <sz val="11"/>
        <rFont val="Times New Roman"/>
        <charset val="134"/>
      </rPr>
      <t>1</t>
    </r>
  </si>
  <si>
    <t>4552E02001G900</t>
  </si>
  <si>
    <t>4516F6201</t>
  </si>
  <si>
    <r>
      <rPr>
        <sz val="11"/>
        <rFont val="宋体"/>
        <charset val="134"/>
      </rPr>
      <t>结构健康监测光纤传感器</t>
    </r>
    <r>
      <rPr>
        <sz val="11"/>
        <rFont val="Times New Roman"/>
        <charset val="134"/>
      </rPr>
      <t>2</t>
    </r>
  </si>
  <si>
    <t>4516F6203</t>
  </si>
  <si>
    <r>
      <rPr>
        <sz val="11"/>
        <rFont val="宋体"/>
        <charset val="134"/>
      </rPr>
      <t>结构健康监测光纤传感器</t>
    </r>
    <r>
      <rPr>
        <sz val="11"/>
        <rFont val="Times New Roman"/>
        <charset val="134"/>
      </rPr>
      <t>3</t>
    </r>
  </si>
  <si>
    <t>4516F6205</t>
  </si>
  <si>
    <r>
      <rPr>
        <sz val="11"/>
        <rFont val="宋体"/>
        <charset val="134"/>
      </rPr>
      <t>结构健康监测光纤传感器</t>
    </r>
    <r>
      <rPr>
        <sz val="11"/>
        <rFont val="Times New Roman"/>
        <charset val="134"/>
      </rPr>
      <t>4</t>
    </r>
  </si>
  <si>
    <t>4516F6207</t>
  </si>
  <si>
    <r>
      <rPr>
        <sz val="11"/>
        <rFont val="宋体"/>
        <charset val="134"/>
      </rPr>
      <t>结构健康监测光纤传感器</t>
    </r>
    <r>
      <rPr>
        <sz val="11"/>
        <rFont val="Times New Roman"/>
        <charset val="134"/>
      </rPr>
      <t>5</t>
    </r>
  </si>
  <si>
    <t>4516F6209</t>
  </si>
  <si>
    <r>
      <rPr>
        <sz val="11"/>
        <rFont val="宋体"/>
        <charset val="134"/>
      </rPr>
      <t>结构健康监测光纤传感器</t>
    </r>
    <r>
      <rPr>
        <sz val="11"/>
        <rFont val="Times New Roman"/>
        <charset val="134"/>
      </rPr>
      <t>6</t>
    </r>
  </si>
  <si>
    <t>4516F6211</t>
  </si>
  <si>
    <r>
      <rPr>
        <sz val="11"/>
        <rFont val="宋体"/>
        <charset val="134"/>
      </rPr>
      <t>结构健康监测光纤传感器</t>
    </r>
    <r>
      <rPr>
        <sz val="11"/>
        <rFont val="Times New Roman"/>
        <charset val="134"/>
      </rPr>
      <t>7</t>
    </r>
  </si>
  <si>
    <t>4516F6213</t>
  </si>
  <si>
    <r>
      <rPr>
        <sz val="11"/>
        <rFont val="宋体"/>
        <charset val="134"/>
      </rPr>
      <t>结构健康监测光纤传感器</t>
    </r>
    <r>
      <rPr>
        <sz val="11"/>
        <rFont val="Times New Roman"/>
        <charset val="134"/>
      </rPr>
      <t>8</t>
    </r>
  </si>
  <si>
    <t>4516F6215</t>
  </si>
  <si>
    <r>
      <rPr>
        <sz val="11"/>
        <rFont val="宋体"/>
        <charset val="134"/>
      </rPr>
      <t>结构健康监测光纤传感器</t>
    </r>
    <r>
      <rPr>
        <sz val="11"/>
        <rFont val="Times New Roman"/>
        <charset val="134"/>
      </rPr>
      <t>9</t>
    </r>
  </si>
  <si>
    <t>4516F8301</t>
  </si>
  <si>
    <r>
      <rPr>
        <sz val="11"/>
        <rFont val="宋体"/>
        <charset val="134"/>
      </rPr>
      <t>结构健康监测光纤传感器</t>
    </r>
    <r>
      <rPr>
        <sz val="11"/>
        <rFont val="Times New Roman"/>
        <charset val="134"/>
      </rPr>
      <t>10</t>
    </r>
  </si>
  <si>
    <t>4516F8303</t>
  </si>
  <si>
    <r>
      <rPr>
        <sz val="11"/>
        <rFont val="宋体"/>
        <charset val="134"/>
      </rPr>
      <t>结构健康监测光纤传感器</t>
    </r>
    <r>
      <rPr>
        <sz val="11"/>
        <rFont val="Times New Roman"/>
        <charset val="134"/>
      </rPr>
      <t>11</t>
    </r>
  </si>
  <si>
    <t>4516F8305</t>
  </si>
  <si>
    <r>
      <rPr>
        <sz val="11"/>
        <rFont val="宋体"/>
        <charset val="134"/>
      </rPr>
      <t>结构健康监测光纤传感器</t>
    </r>
    <r>
      <rPr>
        <sz val="11"/>
        <rFont val="Times New Roman"/>
        <charset val="134"/>
      </rPr>
      <t>12</t>
    </r>
  </si>
  <si>
    <t>4516F8307</t>
  </si>
  <si>
    <r>
      <rPr>
        <sz val="11"/>
        <rFont val="宋体"/>
        <charset val="134"/>
      </rPr>
      <t>结构健康监测光纤传感器</t>
    </r>
    <r>
      <rPr>
        <sz val="11"/>
        <rFont val="Times New Roman"/>
        <charset val="134"/>
      </rPr>
      <t>13</t>
    </r>
  </si>
  <si>
    <t>4516F5501</t>
  </si>
  <si>
    <r>
      <rPr>
        <sz val="11"/>
        <rFont val="宋体"/>
        <charset val="134"/>
      </rPr>
      <t>下机身后段</t>
    </r>
    <r>
      <rPr>
        <sz val="11"/>
        <rFont val="Times New Roman"/>
        <charset val="134"/>
      </rPr>
      <t>-</t>
    </r>
    <r>
      <rPr>
        <sz val="11"/>
        <rFont val="宋体"/>
        <charset val="134"/>
      </rPr>
      <t>环控设备舱</t>
    </r>
  </si>
  <si>
    <r>
      <rPr>
        <sz val="11"/>
        <rFont val="宋体"/>
        <charset val="134"/>
      </rPr>
      <t>结构健康监测光纤传感器</t>
    </r>
    <r>
      <rPr>
        <sz val="11"/>
        <rFont val="Times New Roman"/>
        <charset val="134"/>
      </rPr>
      <t>14</t>
    </r>
  </si>
  <si>
    <t>4516F5503</t>
  </si>
  <si>
    <r>
      <rPr>
        <sz val="11"/>
        <rFont val="宋体"/>
        <charset val="134"/>
      </rPr>
      <t>结构健康监测光纤传感器</t>
    </r>
    <r>
      <rPr>
        <sz val="11"/>
        <rFont val="Times New Roman"/>
        <charset val="134"/>
      </rPr>
      <t>15</t>
    </r>
  </si>
  <si>
    <t>4516F5505</t>
  </si>
  <si>
    <r>
      <rPr>
        <sz val="11"/>
        <rFont val="宋体"/>
        <charset val="134"/>
      </rPr>
      <t>结构健康监测光纤传感器</t>
    </r>
    <r>
      <rPr>
        <sz val="11"/>
        <rFont val="Times New Roman"/>
        <charset val="134"/>
      </rPr>
      <t>16</t>
    </r>
  </si>
  <si>
    <t>4516F5507</t>
  </si>
  <si>
    <r>
      <rPr>
        <sz val="11"/>
        <rFont val="Times New Roman"/>
        <charset val="134"/>
      </rPr>
      <t xml:space="preserve">EATA46 </t>
    </r>
    <r>
      <rPr>
        <sz val="11"/>
        <rFont val="宋体"/>
        <charset val="134"/>
      </rPr>
      <t>信息系统</t>
    </r>
  </si>
  <si>
    <r>
      <rPr>
        <sz val="11"/>
        <rFont val="宋体"/>
        <charset val="134"/>
      </rPr>
      <t>视频服务单元</t>
    </r>
    <r>
      <rPr>
        <sz val="11"/>
        <rFont val="Times New Roman"/>
        <charset val="134"/>
      </rPr>
      <t>1</t>
    </r>
  </si>
  <si>
    <t>4651E01001G900</t>
  </si>
  <si>
    <t>4601U3501</t>
  </si>
  <si>
    <r>
      <rPr>
        <sz val="11"/>
        <rFont val="宋体"/>
        <charset val="134"/>
      </rPr>
      <t>视频服务单元</t>
    </r>
    <r>
      <rPr>
        <sz val="11"/>
        <rFont val="Times New Roman"/>
        <charset val="134"/>
      </rPr>
      <t>2</t>
    </r>
  </si>
  <si>
    <t>4601U3505</t>
  </si>
  <si>
    <t>跑道监视摄像头</t>
  </si>
  <si>
    <t>4651E02003G900</t>
  </si>
  <si>
    <t>4601D4907</t>
  </si>
  <si>
    <t>驾驶舱摄像头</t>
  </si>
  <si>
    <t>4651E02001G900</t>
  </si>
  <si>
    <t>4601D2101</t>
  </si>
  <si>
    <t>通用信息处理计算机</t>
  </si>
  <si>
    <t>4610E01001G900</t>
  </si>
  <si>
    <t>4601U3503</t>
  </si>
  <si>
    <t>驾驶舱机组无线通信单元</t>
  </si>
  <si>
    <t>4610E01003G900</t>
  </si>
  <si>
    <t>4601U2607</t>
  </si>
  <si>
    <r>
      <rPr>
        <sz val="11"/>
        <rFont val="宋体"/>
        <charset val="134"/>
      </rPr>
      <t>便携式电子飞行包</t>
    </r>
    <r>
      <rPr>
        <sz val="11"/>
        <rFont val="Times New Roman"/>
        <charset val="134"/>
      </rPr>
      <t>1</t>
    </r>
  </si>
  <si>
    <t>4621E01001G900</t>
  </si>
  <si>
    <t>4602U2203</t>
  </si>
  <si>
    <r>
      <rPr>
        <sz val="11"/>
        <rFont val="宋体"/>
        <charset val="134"/>
      </rPr>
      <t>便携式电子飞行包</t>
    </r>
    <r>
      <rPr>
        <sz val="11"/>
        <rFont val="Times New Roman"/>
        <charset val="134"/>
      </rPr>
      <t>2</t>
    </r>
  </si>
  <si>
    <t>4602U2205</t>
  </si>
  <si>
    <t>机身上表面摄像头</t>
  </si>
  <si>
    <t>4651E02001U900</t>
  </si>
  <si>
    <t>4601D8201</t>
  </si>
  <si>
    <t>后左起落架摄像头</t>
  </si>
  <si>
    <t>4651E02003U900</t>
  </si>
  <si>
    <t>4601D4905</t>
  </si>
  <si>
    <t>正下方视野摄像头</t>
  </si>
  <si>
    <t>4651E02005U900</t>
  </si>
  <si>
    <t>4601D5903</t>
  </si>
  <si>
    <t>右电涵道摄像头</t>
  </si>
  <si>
    <t>4651E02007U900</t>
  </si>
  <si>
    <t>4601D3901</t>
  </si>
  <si>
    <t>左电涵道摄像头</t>
  </si>
  <si>
    <t>4651E02009U900</t>
  </si>
  <si>
    <t>4601D3903</t>
  </si>
  <si>
    <r>
      <rPr>
        <sz val="11"/>
        <rFont val="宋体"/>
        <charset val="134"/>
      </rPr>
      <t>电池舱摄像头</t>
    </r>
    <r>
      <rPr>
        <sz val="11"/>
        <rFont val="Times New Roman"/>
        <charset val="134"/>
      </rPr>
      <t>1</t>
    </r>
  </si>
  <si>
    <t>4651E02011U900</t>
  </si>
  <si>
    <t>4605D4201</t>
  </si>
  <si>
    <r>
      <rPr>
        <sz val="11"/>
        <rFont val="宋体"/>
        <charset val="134"/>
      </rPr>
      <t>下机身前段</t>
    </r>
    <r>
      <rPr>
        <sz val="11"/>
        <rFont val="Times New Roman"/>
        <charset val="134"/>
      </rPr>
      <t>-1</t>
    </r>
    <r>
      <rPr>
        <sz val="11"/>
        <rFont val="宋体"/>
        <charset val="134"/>
      </rPr>
      <t>号动力电池舱</t>
    </r>
  </si>
  <si>
    <r>
      <rPr>
        <sz val="11"/>
        <rFont val="宋体"/>
        <charset val="134"/>
      </rPr>
      <t>电池舱摄像头</t>
    </r>
    <r>
      <rPr>
        <sz val="11"/>
        <rFont val="Times New Roman"/>
        <charset val="134"/>
      </rPr>
      <t>2</t>
    </r>
  </si>
  <si>
    <t>4605D4301</t>
  </si>
  <si>
    <r>
      <rPr>
        <sz val="11"/>
        <rFont val="宋体"/>
        <charset val="134"/>
      </rPr>
      <t>下机身前段</t>
    </r>
    <r>
      <rPr>
        <sz val="11"/>
        <rFont val="Times New Roman"/>
        <charset val="134"/>
      </rPr>
      <t>-2</t>
    </r>
    <r>
      <rPr>
        <sz val="11"/>
        <rFont val="宋体"/>
        <charset val="134"/>
      </rPr>
      <t>号动力电池舱</t>
    </r>
  </si>
  <si>
    <r>
      <rPr>
        <sz val="11"/>
        <rFont val="宋体"/>
        <charset val="134"/>
      </rPr>
      <t>电池舱摄像头</t>
    </r>
    <r>
      <rPr>
        <sz val="11"/>
        <rFont val="Times New Roman"/>
        <charset val="134"/>
      </rPr>
      <t>3</t>
    </r>
  </si>
  <si>
    <t>4605D4401</t>
  </si>
  <si>
    <r>
      <rPr>
        <sz val="11"/>
        <rFont val="宋体"/>
        <charset val="134"/>
      </rPr>
      <t>下机身前段</t>
    </r>
    <r>
      <rPr>
        <sz val="11"/>
        <rFont val="Times New Roman"/>
        <charset val="134"/>
      </rPr>
      <t>-3</t>
    </r>
    <r>
      <rPr>
        <sz val="11"/>
        <rFont val="宋体"/>
        <charset val="134"/>
      </rPr>
      <t>号动力电池舱</t>
    </r>
  </si>
  <si>
    <r>
      <rPr>
        <sz val="11"/>
        <rFont val="宋体"/>
        <charset val="134"/>
      </rPr>
      <t>电池舱摄像头</t>
    </r>
    <r>
      <rPr>
        <sz val="11"/>
        <rFont val="Times New Roman"/>
        <charset val="134"/>
      </rPr>
      <t>4</t>
    </r>
  </si>
  <si>
    <t>4605D5301</t>
  </si>
  <si>
    <r>
      <rPr>
        <sz val="11"/>
        <rFont val="宋体"/>
        <charset val="134"/>
      </rPr>
      <t>下机身后段</t>
    </r>
    <r>
      <rPr>
        <sz val="11"/>
        <rFont val="Times New Roman"/>
        <charset val="134"/>
      </rPr>
      <t>-4</t>
    </r>
    <r>
      <rPr>
        <sz val="11"/>
        <rFont val="宋体"/>
        <charset val="134"/>
      </rPr>
      <t>号动力电池舱</t>
    </r>
  </si>
  <si>
    <r>
      <rPr>
        <sz val="11"/>
        <rFont val="宋体"/>
        <charset val="134"/>
      </rPr>
      <t>电池舱摄像头</t>
    </r>
    <r>
      <rPr>
        <sz val="11"/>
        <rFont val="Times New Roman"/>
        <charset val="134"/>
      </rPr>
      <t>5</t>
    </r>
  </si>
  <si>
    <t>4605D5401</t>
  </si>
  <si>
    <r>
      <rPr>
        <sz val="11"/>
        <rFont val="宋体"/>
        <charset val="134"/>
      </rPr>
      <t>下机身后段</t>
    </r>
    <r>
      <rPr>
        <sz val="11"/>
        <rFont val="Times New Roman"/>
        <charset val="134"/>
      </rPr>
      <t>-5</t>
    </r>
    <r>
      <rPr>
        <sz val="11"/>
        <rFont val="宋体"/>
        <charset val="134"/>
      </rPr>
      <t>号动力电池舱</t>
    </r>
  </si>
  <si>
    <t>正前方视野摄像头</t>
  </si>
  <si>
    <t>4651E02013U900</t>
  </si>
  <si>
    <t>4601D2901</t>
  </si>
  <si>
    <t>垂尾平尾摄像头</t>
  </si>
  <si>
    <t>4651E02015U900</t>
  </si>
  <si>
    <t>4601D3905</t>
  </si>
  <si>
    <t>前起落架摄像头</t>
  </si>
  <si>
    <t>4651E02017U900</t>
  </si>
  <si>
    <t>4601D4901</t>
  </si>
  <si>
    <t>后右起落架摄像头</t>
  </si>
  <si>
    <t>4651E02019U900</t>
  </si>
  <si>
    <t>4601D4903</t>
  </si>
  <si>
    <r>
      <rPr>
        <sz val="11"/>
        <rFont val="Times New Roman"/>
        <charset val="134"/>
      </rPr>
      <t xml:space="preserve">EATA86 </t>
    </r>
    <r>
      <rPr>
        <sz val="11"/>
        <rFont val="宋体"/>
        <charset val="134"/>
      </rPr>
      <t>电推进系统</t>
    </r>
  </si>
  <si>
    <r>
      <rPr>
        <sz val="11"/>
        <rFont val="宋体"/>
        <charset val="134"/>
      </rPr>
      <t>电驱系统</t>
    </r>
    <r>
      <rPr>
        <sz val="11"/>
        <rFont val="Times New Roman"/>
        <charset val="134"/>
      </rPr>
      <t>1</t>
    </r>
  </si>
  <si>
    <t>8611E01001G900</t>
  </si>
  <si>
    <t>8610M7105</t>
  </si>
  <si>
    <r>
      <rPr>
        <sz val="11"/>
        <rFont val="宋体"/>
        <charset val="134"/>
      </rPr>
      <t>短舱</t>
    </r>
    <r>
      <rPr>
        <sz val="11"/>
        <rFont val="Times New Roman"/>
        <charset val="134"/>
      </rPr>
      <t>-1</t>
    </r>
    <r>
      <rPr>
        <sz val="11"/>
        <rFont val="宋体"/>
        <charset val="134"/>
      </rPr>
      <t>号短舱（机翼内侧）</t>
    </r>
  </si>
  <si>
    <r>
      <rPr>
        <sz val="11"/>
        <rFont val="宋体"/>
        <charset val="134"/>
      </rPr>
      <t>电驱系统</t>
    </r>
    <r>
      <rPr>
        <sz val="11"/>
        <rFont val="Times New Roman"/>
        <charset val="134"/>
      </rPr>
      <t>2</t>
    </r>
  </si>
  <si>
    <t>8610M7205</t>
  </si>
  <si>
    <r>
      <rPr>
        <sz val="11"/>
        <rFont val="宋体"/>
        <charset val="134"/>
      </rPr>
      <t>短舱</t>
    </r>
    <r>
      <rPr>
        <sz val="11"/>
        <rFont val="Times New Roman"/>
        <charset val="134"/>
      </rPr>
      <t>-2</t>
    </r>
    <r>
      <rPr>
        <sz val="11"/>
        <rFont val="宋体"/>
        <charset val="134"/>
      </rPr>
      <t>号短舱</t>
    </r>
  </si>
  <si>
    <r>
      <rPr>
        <sz val="11"/>
        <rFont val="宋体"/>
        <charset val="134"/>
      </rPr>
      <t>电驱系统</t>
    </r>
    <r>
      <rPr>
        <sz val="11"/>
        <rFont val="Times New Roman"/>
        <charset val="134"/>
      </rPr>
      <t>3</t>
    </r>
  </si>
  <si>
    <t>8610M7305</t>
  </si>
  <si>
    <r>
      <rPr>
        <sz val="11"/>
        <rFont val="宋体"/>
        <charset val="134"/>
      </rPr>
      <t>短舱</t>
    </r>
    <r>
      <rPr>
        <sz val="11"/>
        <rFont val="Times New Roman"/>
        <charset val="134"/>
      </rPr>
      <t>-3</t>
    </r>
    <r>
      <rPr>
        <sz val="11"/>
        <rFont val="宋体"/>
        <charset val="134"/>
      </rPr>
      <t>号短舱</t>
    </r>
  </si>
  <si>
    <r>
      <rPr>
        <sz val="11"/>
        <rFont val="宋体"/>
        <charset val="134"/>
      </rPr>
      <t>电驱系统</t>
    </r>
    <r>
      <rPr>
        <sz val="11"/>
        <rFont val="Times New Roman"/>
        <charset val="134"/>
      </rPr>
      <t>4</t>
    </r>
  </si>
  <si>
    <t>8610M7405</t>
  </si>
  <si>
    <r>
      <rPr>
        <sz val="11"/>
        <rFont val="宋体"/>
        <charset val="134"/>
      </rPr>
      <t>短舱</t>
    </r>
    <r>
      <rPr>
        <sz val="11"/>
        <rFont val="Times New Roman"/>
        <charset val="134"/>
      </rPr>
      <t>-4</t>
    </r>
    <r>
      <rPr>
        <sz val="11"/>
        <rFont val="宋体"/>
        <charset val="134"/>
      </rPr>
      <t>号短舱</t>
    </r>
  </si>
  <si>
    <r>
      <rPr>
        <sz val="11"/>
        <rFont val="宋体"/>
        <charset val="134"/>
      </rPr>
      <t>电驱系统</t>
    </r>
    <r>
      <rPr>
        <sz val="11"/>
        <rFont val="Times New Roman"/>
        <charset val="134"/>
      </rPr>
      <t>5</t>
    </r>
  </si>
  <si>
    <t>8610M7505</t>
  </si>
  <si>
    <r>
      <rPr>
        <sz val="11"/>
        <rFont val="宋体"/>
        <charset val="134"/>
      </rPr>
      <t>短舱</t>
    </r>
    <r>
      <rPr>
        <sz val="11"/>
        <rFont val="Times New Roman"/>
        <charset val="134"/>
      </rPr>
      <t>-5</t>
    </r>
    <r>
      <rPr>
        <sz val="11"/>
        <rFont val="宋体"/>
        <charset val="134"/>
      </rPr>
      <t>号短舱（机翼外侧）</t>
    </r>
  </si>
  <si>
    <r>
      <rPr>
        <sz val="11"/>
        <rFont val="宋体"/>
        <charset val="134"/>
      </rPr>
      <t>电驱系统</t>
    </r>
    <r>
      <rPr>
        <sz val="11"/>
        <rFont val="Times New Roman"/>
        <charset val="134"/>
      </rPr>
      <t>6</t>
    </r>
  </si>
  <si>
    <t>8610M7107</t>
  </si>
  <si>
    <r>
      <rPr>
        <sz val="11"/>
        <rFont val="宋体"/>
        <charset val="134"/>
      </rPr>
      <t>电驱系统</t>
    </r>
    <r>
      <rPr>
        <sz val="11"/>
        <rFont val="Times New Roman"/>
        <charset val="134"/>
      </rPr>
      <t>7</t>
    </r>
  </si>
  <si>
    <t>8610M7207</t>
  </si>
  <si>
    <r>
      <rPr>
        <sz val="11"/>
        <rFont val="宋体"/>
        <charset val="134"/>
      </rPr>
      <t>电驱系统</t>
    </r>
    <r>
      <rPr>
        <sz val="11"/>
        <rFont val="Times New Roman"/>
        <charset val="134"/>
      </rPr>
      <t>8</t>
    </r>
  </si>
  <si>
    <t>8610M7307</t>
  </si>
  <si>
    <r>
      <rPr>
        <sz val="11"/>
        <rFont val="宋体"/>
        <charset val="134"/>
      </rPr>
      <t>电驱系统</t>
    </r>
    <r>
      <rPr>
        <sz val="11"/>
        <rFont val="Times New Roman"/>
        <charset val="134"/>
      </rPr>
      <t>9</t>
    </r>
  </si>
  <si>
    <t>8610M7407</t>
  </si>
  <si>
    <r>
      <rPr>
        <sz val="11"/>
        <rFont val="宋体"/>
        <charset val="134"/>
      </rPr>
      <t>电驱系统</t>
    </r>
    <r>
      <rPr>
        <sz val="11"/>
        <rFont val="Times New Roman"/>
        <charset val="134"/>
      </rPr>
      <t>10</t>
    </r>
  </si>
  <si>
    <t>8610M7507</t>
  </si>
  <si>
    <r>
      <rPr>
        <sz val="11"/>
        <rFont val="宋体"/>
        <charset val="134"/>
      </rPr>
      <t>构型</t>
    </r>
    <r>
      <rPr>
        <sz val="11"/>
        <rFont val="Times New Roman"/>
        <charset val="134"/>
      </rPr>
      <t>A</t>
    </r>
    <r>
      <rPr>
        <sz val="11"/>
        <rFont val="宋体"/>
        <charset val="134"/>
      </rPr>
      <t>动力电池（含</t>
    </r>
    <r>
      <rPr>
        <sz val="11"/>
        <rFont val="Times New Roman"/>
        <charset val="134"/>
      </rPr>
      <t>BMS</t>
    </r>
    <r>
      <rPr>
        <sz val="11"/>
        <rFont val="宋体"/>
        <charset val="134"/>
      </rPr>
      <t>与继电器开关）</t>
    </r>
    <r>
      <rPr>
        <sz val="11"/>
        <rFont val="Times New Roman"/>
        <charset val="134"/>
      </rPr>
      <t>1</t>
    </r>
  </si>
  <si>
    <t>8605Q4201</t>
  </si>
  <si>
    <r>
      <rPr>
        <sz val="11"/>
        <rFont val="宋体"/>
        <charset val="134"/>
      </rPr>
      <t>构型</t>
    </r>
    <r>
      <rPr>
        <sz val="11"/>
        <rFont val="Times New Roman"/>
        <charset val="134"/>
      </rPr>
      <t>A</t>
    </r>
    <r>
      <rPr>
        <sz val="11"/>
        <rFont val="宋体"/>
        <charset val="134"/>
      </rPr>
      <t>动力电池（含</t>
    </r>
    <r>
      <rPr>
        <sz val="11"/>
        <rFont val="Times New Roman"/>
        <charset val="134"/>
      </rPr>
      <t>BMS</t>
    </r>
    <r>
      <rPr>
        <sz val="11"/>
        <rFont val="宋体"/>
        <charset val="134"/>
      </rPr>
      <t>与继电器开关）</t>
    </r>
    <r>
      <rPr>
        <sz val="11"/>
        <rFont val="Times New Roman"/>
        <charset val="134"/>
      </rPr>
      <t>2</t>
    </r>
  </si>
  <si>
    <t>8605Q4301</t>
  </si>
  <si>
    <r>
      <rPr>
        <sz val="11"/>
        <rFont val="宋体"/>
        <charset val="134"/>
      </rPr>
      <t>构型</t>
    </r>
    <r>
      <rPr>
        <sz val="11"/>
        <rFont val="Times New Roman"/>
        <charset val="134"/>
      </rPr>
      <t>A</t>
    </r>
    <r>
      <rPr>
        <sz val="11"/>
        <rFont val="宋体"/>
        <charset val="134"/>
      </rPr>
      <t>动力电池（含</t>
    </r>
    <r>
      <rPr>
        <sz val="11"/>
        <rFont val="Times New Roman"/>
        <charset val="134"/>
      </rPr>
      <t>BMS</t>
    </r>
    <r>
      <rPr>
        <sz val="11"/>
        <rFont val="宋体"/>
        <charset val="134"/>
      </rPr>
      <t>与继电器开关）</t>
    </r>
    <r>
      <rPr>
        <sz val="11"/>
        <rFont val="Times New Roman"/>
        <charset val="134"/>
      </rPr>
      <t>3</t>
    </r>
  </si>
  <si>
    <t>8605Q4401</t>
  </si>
  <si>
    <r>
      <rPr>
        <sz val="11"/>
        <rFont val="宋体"/>
        <charset val="134"/>
      </rPr>
      <t>构型</t>
    </r>
    <r>
      <rPr>
        <sz val="11"/>
        <rFont val="Times New Roman"/>
        <charset val="134"/>
      </rPr>
      <t>A</t>
    </r>
    <r>
      <rPr>
        <sz val="11"/>
        <rFont val="宋体"/>
        <charset val="134"/>
      </rPr>
      <t>动力电池（含</t>
    </r>
    <r>
      <rPr>
        <sz val="11"/>
        <rFont val="Times New Roman"/>
        <charset val="134"/>
      </rPr>
      <t>BMS</t>
    </r>
    <r>
      <rPr>
        <sz val="11"/>
        <rFont val="宋体"/>
        <charset val="134"/>
      </rPr>
      <t>与继电器开关）</t>
    </r>
    <r>
      <rPr>
        <sz val="11"/>
        <rFont val="Times New Roman"/>
        <charset val="134"/>
      </rPr>
      <t>4</t>
    </r>
  </si>
  <si>
    <t>8605Q5301</t>
  </si>
  <si>
    <r>
      <rPr>
        <sz val="11"/>
        <rFont val="宋体"/>
        <charset val="134"/>
      </rPr>
      <t>构型</t>
    </r>
    <r>
      <rPr>
        <sz val="11"/>
        <rFont val="Times New Roman"/>
        <charset val="134"/>
      </rPr>
      <t>A</t>
    </r>
    <r>
      <rPr>
        <sz val="11"/>
        <rFont val="宋体"/>
        <charset val="134"/>
      </rPr>
      <t>动力电池（含</t>
    </r>
    <r>
      <rPr>
        <sz val="11"/>
        <rFont val="Times New Roman"/>
        <charset val="134"/>
      </rPr>
      <t>BMS</t>
    </r>
    <r>
      <rPr>
        <sz val="11"/>
        <rFont val="宋体"/>
        <charset val="134"/>
      </rPr>
      <t>与继电器开关）</t>
    </r>
    <r>
      <rPr>
        <sz val="11"/>
        <rFont val="Times New Roman"/>
        <charset val="134"/>
      </rPr>
      <t>5</t>
    </r>
  </si>
  <si>
    <t>8605Q5401</t>
  </si>
  <si>
    <r>
      <rPr>
        <sz val="11"/>
        <rFont val="宋体"/>
        <charset val="134"/>
      </rPr>
      <t>构型</t>
    </r>
    <r>
      <rPr>
        <sz val="11"/>
        <rFont val="Times New Roman"/>
        <charset val="134"/>
      </rPr>
      <t>A</t>
    </r>
    <r>
      <rPr>
        <sz val="11"/>
        <rFont val="宋体"/>
        <charset val="134"/>
      </rPr>
      <t>动力电池冷却系统</t>
    </r>
  </si>
  <si>
    <t>8600Q5601</t>
  </si>
  <si>
    <r>
      <rPr>
        <sz val="11"/>
        <rFont val="Times New Roman"/>
        <charset val="134"/>
      </rPr>
      <t>800V</t>
    </r>
    <r>
      <rPr>
        <sz val="11"/>
        <rFont val="宋体"/>
        <charset val="134"/>
      </rPr>
      <t>电池包缓冲层</t>
    </r>
    <r>
      <rPr>
        <sz val="11"/>
        <rFont val="Times New Roman"/>
        <charset val="134"/>
      </rPr>
      <t>1</t>
    </r>
  </si>
  <si>
    <t>8621E04100G200</t>
  </si>
  <si>
    <t>8601X4201</t>
  </si>
  <si>
    <r>
      <rPr>
        <sz val="11"/>
        <rFont val="Times New Roman"/>
        <charset val="134"/>
      </rPr>
      <t>800V</t>
    </r>
    <r>
      <rPr>
        <sz val="11"/>
        <rFont val="宋体"/>
        <charset val="134"/>
      </rPr>
      <t>电池包缓冲层</t>
    </r>
    <r>
      <rPr>
        <sz val="11"/>
        <rFont val="Times New Roman"/>
        <charset val="134"/>
      </rPr>
      <t>2</t>
    </r>
  </si>
  <si>
    <t>8621E04200G200</t>
  </si>
  <si>
    <t>8601X4301</t>
  </si>
  <si>
    <r>
      <rPr>
        <sz val="11"/>
        <rFont val="Times New Roman"/>
        <charset val="134"/>
      </rPr>
      <t>800V</t>
    </r>
    <r>
      <rPr>
        <sz val="11"/>
        <rFont val="宋体"/>
        <charset val="134"/>
      </rPr>
      <t>电池包缓冲层</t>
    </r>
    <r>
      <rPr>
        <sz val="11"/>
        <rFont val="Times New Roman"/>
        <charset val="134"/>
      </rPr>
      <t>3</t>
    </r>
  </si>
  <si>
    <t>8621E04300G200</t>
  </si>
  <si>
    <t>8601X4401</t>
  </si>
  <si>
    <r>
      <rPr>
        <sz val="11"/>
        <rFont val="Times New Roman"/>
        <charset val="134"/>
      </rPr>
      <t>270V</t>
    </r>
    <r>
      <rPr>
        <sz val="11"/>
        <rFont val="宋体"/>
        <charset val="134"/>
      </rPr>
      <t>电池包缓冲层</t>
    </r>
  </si>
  <si>
    <t>8621E04400G200</t>
  </si>
  <si>
    <t>8601X5201</t>
  </si>
  <si>
    <r>
      <rPr>
        <sz val="11"/>
        <rFont val="Times New Roman"/>
        <charset val="134"/>
      </rPr>
      <t>800V</t>
    </r>
    <r>
      <rPr>
        <sz val="11"/>
        <rFont val="宋体"/>
        <charset val="134"/>
      </rPr>
      <t>电池包缓冲层</t>
    </r>
    <r>
      <rPr>
        <sz val="11"/>
        <rFont val="Times New Roman"/>
        <charset val="134"/>
      </rPr>
      <t>4</t>
    </r>
  </si>
  <si>
    <t>8621E04500G200</t>
  </si>
  <si>
    <t>8601X5301</t>
  </si>
  <si>
    <r>
      <rPr>
        <sz val="11"/>
        <rFont val="Times New Roman"/>
        <charset val="134"/>
      </rPr>
      <t>800V</t>
    </r>
    <r>
      <rPr>
        <sz val="11"/>
        <rFont val="宋体"/>
        <charset val="134"/>
      </rPr>
      <t>电池包缓冲层</t>
    </r>
    <r>
      <rPr>
        <sz val="11"/>
        <rFont val="Times New Roman"/>
        <charset val="134"/>
      </rPr>
      <t>5</t>
    </r>
  </si>
  <si>
    <t>8621E04600G200</t>
  </si>
  <si>
    <t>8601X5401</t>
  </si>
  <si>
    <r>
      <rPr>
        <sz val="11"/>
        <rFont val="宋体"/>
        <charset val="134"/>
      </rPr>
      <t>涵道风扇</t>
    </r>
    <r>
      <rPr>
        <sz val="11"/>
        <rFont val="Times New Roman"/>
        <charset val="134"/>
      </rPr>
      <t>1</t>
    </r>
    <r>
      <rPr>
        <sz val="11"/>
        <rFont val="宋体"/>
        <charset val="134"/>
      </rPr>
      <t>（金属）</t>
    </r>
  </si>
  <si>
    <t>8630E02001G400</t>
  </si>
  <si>
    <t>8608M7101</t>
  </si>
  <si>
    <r>
      <rPr>
        <sz val="11"/>
        <rFont val="宋体"/>
        <charset val="134"/>
      </rPr>
      <t>涵道风扇</t>
    </r>
    <r>
      <rPr>
        <sz val="11"/>
        <rFont val="Times New Roman"/>
        <charset val="134"/>
      </rPr>
      <t>2</t>
    </r>
    <r>
      <rPr>
        <sz val="11"/>
        <rFont val="宋体"/>
        <charset val="134"/>
      </rPr>
      <t>（金属）</t>
    </r>
  </si>
  <si>
    <t>8608M7201</t>
  </si>
  <si>
    <r>
      <rPr>
        <sz val="11"/>
        <rFont val="宋体"/>
        <charset val="134"/>
      </rPr>
      <t>涵道风扇</t>
    </r>
    <r>
      <rPr>
        <sz val="11"/>
        <rFont val="Times New Roman"/>
        <charset val="134"/>
      </rPr>
      <t>3</t>
    </r>
    <r>
      <rPr>
        <sz val="11"/>
        <rFont val="宋体"/>
        <charset val="134"/>
      </rPr>
      <t>（金属）</t>
    </r>
  </si>
  <si>
    <t>8608M7301</t>
  </si>
  <si>
    <r>
      <rPr>
        <sz val="11"/>
        <rFont val="宋体"/>
        <charset val="134"/>
      </rPr>
      <t>涵道风扇</t>
    </r>
    <r>
      <rPr>
        <sz val="11"/>
        <rFont val="Times New Roman"/>
        <charset val="134"/>
      </rPr>
      <t>4</t>
    </r>
    <r>
      <rPr>
        <sz val="11"/>
        <rFont val="宋体"/>
        <charset val="134"/>
      </rPr>
      <t>（金属）</t>
    </r>
  </si>
  <si>
    <t>8608M7401</t>
  </si>
  <si>
    <r>
      <rPr>
        <sz val="11"/>
        <rFont val="宋体"/>
        <charset val="134"/>
      </rPr>
      <t>涵道风扇</t>
    </r>
    <r>
      <rPr>
        <sz val="11"/>
        <rFont val="Times New Roman"/>
        <charset val="134"/>
      </rPr>
      <t>6</t>
    </r>
    <r>
      <rPr>
        <sz val="11"/>
        <rFont val="宋体"/>
        <charset val="134"/>
      </rPr>
      <t>（金属）</t>
    </r>
  </si>
  <si>
    <t>8608M7103</t>
  </si>
  <si>
    <r>
      <rPr>
        <sz val="11"/>
        <rFont val="宋体"/>
        <charset val="134"/>
      </rPr>
      <t>涵道风扇</t>
    </r>
    <r>
      <rPr>
        <sz val="11"/>
        <rFont val="Times New Roman"/>
        <charset val="134"/>
      </rPr>
      <t>7</t>
    </r>
    <r>
      <rPr>
        <sz val="11"/>
        <rFont val="宋体"/>
        <charset val="134"/>
      </rPr>
      <t>（金属）</t>
    </r>
  </si>
  <si>
    <t>8608M7203</t>
  </si>
  <si>
    <r>
      <rPr>
        <sz val="11"/>
        <rFont val="宋体"/>
        <charset val="134"/>
      </rPr>
      <t>涵道风扇</t>
    </r>
    <r>
      <rPr>
        <sz val="11"/>
        <rFont val="Times New Roman"/>
        <charset val="134"/>
      </rPr>
      <t>8</t>
    </r>
    <r>
      <rPr>
        <sz val="11"/>
        <rFont val="宋体"/>
        <charset val="134"/>
      </rPr>
      <t>（金属）</t>
    </r>
  </si>
  <si>
    <t>8608M7303</t>
  </si>
  <si>
    <r>
      <rPr>
        <sz val="11"/>
        <rFont val="宋体"/>
        <charset val="134"/>
      </rPr>
      <t>涵道风扇</t>
    </r>
    <r>
      <rPr>
        <sz val="11"/>
        <rFont val="Times New Roman"/>
        <charset val="134"/>
      </rPr>
      <t>9</t>
    </r>
    <r>
      <rPr>
        <sz val="11"/>
        <rFont val="宋体"/>
        <charset val="134"/>
      </rPr>
      <t>（金属）</t>
    </r>
  </si>
  <si>
    <t>8608M7403</t>
  </si>
  <si>
    <r>
      <rPr>
        <sz val="11"/>
        <rFont val="宋体"/>
        <charset val="134"/>
      </rPr>
      <t>涵道风扇</t>
    </r>
    <r>
      <rPr>
        <sz val="11"/>
        <rFont val="Times New Roman"/>
        <charset val="134"/>
      </rPr>
      <t>5</t>
    </r>
    <r>
      <rPr>
        <sz val="11"/>
        <rFont val="宋体"/>
        <charset val="134"/>
      </rPr>
      <t>（金属）</t>
    </r>
  </si>
  <si>
    <t>8630E02003G400</t>
  </si>
  <si>
    <t>8601M7501</t>
  </si>
  <si>
    <r>
      <rPr>
        <sz val="11"/>
        <rFont val="宋体"/>
        <charset val="134"/>
      </rPr>
      <t>涵道风扇</t>
    </r>
    <r>
      <rPr>
        <sz val="11"/>
        <rFont val="Times New Roman"/>
        <charset val="134"/>
      </rPr>
      <t>10</t>
    </r>
    <r>
      <rPr>
        <sz val="11"/>
        <rFont val="宋体"/>
        <charset val="134"/>
      </rPr>
      <t>（金属）</t>
    </r>
  </si>
  <si>
    <t>8630E02004G400</t>
  </si>
  <si>
    <t>8601M7502</t>
  </si>
  <si>
    <r>
      <rPr>
        <sz val="11"/>
        <rFont val="宋体"/>
        <charset val="134"/>
      </rPr>
      <t>短舱单元</t>
    </r>
    <r>
      <rPr>
        <sz val="11"/>
        <rFont val="Times New Roman"/>
        <charset val="134"/>
      </rPr>
      <t>2</t>
    </r>
  </si>
  <si>
    <t>8661E01001G200</t>
  </si>
  <si>
    <t>8603X7203</t>
  </si>
  <si>
    <r>
      <rPr>
        <sz val="11"/>
        <rFont val="宋体"/>
        <charset val="134"/>
      </rPr>
      <t>短舱单元</t>
    </r>
    <r>
      <rPr>
        <sz val="11"/>
        <rFont val="Times New Roman"/>
        <charset val="134"/>
      </rPr>
      <t>3</t>
    </r>
  </si>
  <si>
    <t>8603X7303</t>
  </si>
  <si>
    <r>
      <rPr>
        <sz val="11"/>
        <rFont val="宋体"/>
        <charset val="134"/>
      </rPr>
      <t>短舱单元</t>
    </r>
    <r>
      <rPr>
        <sz val="11"/>
        <rFont val="Times New Roman"/>
        <charset val="134"/>
      </rPr>
      <t>4</t>
    </r>
  </si>
  <si>
    <t>8603X7403</t>
  </si>
  <si>
    <r>
      <rPr>
        <sz val="11"/>
        <rFont val="宋体"/>
        <charset val="134"/>
      </rPr>
      <t>短舱单元</t>
    </r>
    <r>
      <rPr>
        <sz val="11"/>
        <rFont val="Times New Roman"/>
        <charset val="134"/>
      </rPr>
      <t>7</t>
    </r>
  </si>
  <si>
    <t>8661E01002G200</t>
  </si>
  <si>
    <t>8603X7204</t>
  </si>
  <si>
    <r>
      <rPr>
        <sz val="11"/>
        <rFont val="宋体"/>
        <charset val="134"/>
      </rPr>
      <t>短舱单元</t>
    </r>
    <r>
      <rPr>
        <sz val="11"/>
        <rFont val="Times New Roman"/>
        <charset val="134"/>
      </rPr>
      <t>8</t>
    </r>
  </si>
  <si>
    <t>8603X7304</t>
  </si>
  <si>
    <r>
      <rPr>
        <sz val="11"/>
        <rFont val="宋体"/>
        <charset val="134"/>
      </rPr>
      <t>短舱单元</t>
    </r>
    <r>
      <rPr>
        <sz val="11"/>
        <rFont val="Times New Roman"/>
        <charset val="134"/>
      </rPr>
      <t>9</t>
    </r>
  </si>
  <si>
    <t>8603X7404</t>
  </si>
  <si>
    <r>
      <rPr>
        <sz val="11"/>
        <rFont val="宋体"/>
        <charset val="134"/>
      </rPr>
      <t>短舱单元</t>
    </r>
    <r>
      <rPr>
        <sz val="11"/>
        <rFont val="Times New Roman"/>
        <charset val="134"/>
      </rPr>
      <t>1</t>
    </r>
  </si>
  <si>
    <t>8662E01001G200</t>
  </si>
  <si>
    <t>8601X7103</t>
  </si>
  <si>
    <r>
      <rPr>
        <sz val="11"/>
        <rFont val="宋体"/>
        <charset val="134"/>
      </rPr>
      <t>短舱单元</t>
    </r>
    <r>
      <rPr>
        <sz val="11"/>
        <rFont val="Times New Roman"/>
        <charset val="134"/>
      </rPr>
      <t>6</t>
    </r>
  </si>
  <si>
    <t>8662E01002G200</t>
  </si>
  <si>
    <t>8601X7104</t>
  </si>
  <si>
    <r>
      <rPr>
        <sz val="11"/>
        <rFont val="宋体"/>
        <charset val="134"/>
      </rPr>
      <t>短舱单元</t>
    </r>
    <r>
      <rPr>
        <sz val="11"/>
        <rFont val="Times New Roman"/>
        <charset val="134"/>
      </rPr>
      <t>5</t>
    </r>
  </si>
  <si>
    <t>8663E01001G200</t>
  </si>
  <si>
    <t>8601X7503</t>
  </si>
  <si>
    <r>
      <rPr>
        <sz val="11"/>
        <rFont val="宋体"/>
        <charset val="134"/>
      </rPr>
      <t>短舱单元</t>
    </r>
    <r>
      <rPr>
        <sz val="11"/>
        <rFont val="Times New Roman"/>
        <charset val="134"/>
      </rPr>
      <t>10</t>
    </r>
  </si>
  <si>
    <t>8663E01002G200</t>
  </si>
  <si>
    <t>8601X7504</t>
  </si>
  <si>
    <r>
      <rPr>
        <sz val="11"/>
        <rFont val="宋体"/>
        <charset val="134"/>
      </rPr>
      <t>尾锥</t>
    </r>
    <r>
      <rPr>
        <sz val="11"/>
        <rFont val="Times New Roman"/>
        <charset val="134"/>
      </rPr>
      <t>1</t>
    </r>
  </si>
  <si>
    <t>8664E01001G700</t>
  </si>
  <si>
    <t>8610X7101</t>
  </si>
  <si>
    <r>
      <rPr>
        <sz val="11"/>
        <rFont val="宋体"/>
        <charset val="134"/>
      </rPr>
      <t>尾锥</t>
    </r>
    <r>
      <rPr>
        <sz val="11"/>
        <rFont val="Times New Roman"/>
        <charset val="134"/>
      </rPr>
      <t>2</t>
    </r>
  </si>
  <si>
    <t>8610X7201</t>
  </si>
  <si>
    <r>
      <rPr>
        <sz val="11"/>
        <rFont val="宋体"/>
        <charset val="134"/>
      </rPr>
      <t>尾锥</t>
    </r>
    <r>
      <rPr>
        <sz val="11"/>
        <rFont val="Times New Roman"/>
        <charset val="134"/>
      </rPr>
      <t>3</t>
    </r>
  </si>
  <si>
    <t>8610X7301</t>
  </si>
  <si>
    <r>
      <rPr>
        <sz val="11"/>
        <rFont val="宋体"/>
        <charset val="134"/>
      </rPr>
      <t>尾锥</t>
    </r>
    <r>
      <rPr>
        <sz val="11"/>
        <rFont val="Times New Roman"/>
        <charset val="134"/>
      </rPr>
      <t>4</t>
    </r>
  </si>
  <si>
    <t>8610X7401</t>
  </si>
  <si>
    <r>
      <rPr>
        <sz val="11"/>
        <rFont val="宋体"/>
        <charset val="134"/>
      </rPr>
      <t>尾锥</t>
    </r>
    <r>
      <rPr>
        <sz val="11"/>
        <rFont val="Times New Roman"/>
        <charset val="134"/>
      </rPr>
      <t>5</t>
    </r>
  </si>
  <si>
    <t>8610X7501</t>
  </si>
  <si>
    <r>
      <rPr>
        <sz val="11"/>
        <rFont val="宋体"/>
        <charset val="134"/>
      </rPr>
      <t>尾锥</t>
    </r>
    <r>
      <rPr>
        <sz val="11"/>
        <rFont val="Times New Roman"/>
        <charset val="134"/>
      </rPr>
      <t>6</t>
    </r>
  </si>
  <si>
    <t>8610X7103</t>
  </si>
  <si>
    <r>
      <rPr>
        <sz val="11"/>
        <rFont val="宋体"/>
        <charset val="134"/>
      </rPr>
      <t>尾锥</t>
    </r>
    <r>
      <rPr>
        <sz val="11"/>
        <rFont val="Times New Roman"/>
        <charset val="134"/>
      </rPr>
      <t>7</t>
    </r>
  </si>
  <si>
    <t>8610X7203</t>
  </si>
  <si>
    <r>
      <rPr>
        <sz val="11"/>
        <rFont val="宋体"/>
        <charset val="134"/>
      </rPr>
      <t>尾锥</t>
    </r>
    <r>
      <rPr>
        <sz val="11"/>
        <rFont val="Times New Roman"/>
        <charset val="134"/>
      </rPr>
      <t>8</t>
    </r>
  </si>
  <si>
    <t>8610X7303</t>
  </si>
  <si>
    <r>
      <rPr>
        <sz val="11"/>
        <rFont val="宋体"/>
        <charset val="134"/>
      </rPr>
      <t>尾锥</t>
    </r>
    <r>
      <rPr>
        <sz val="11"/>
        <rFont val="Times New Roman"/>
        <charset val="134"/>
      </rPr>
      <t>9</t>
    </r>
  </si>
  <si>
    <t>8610X7403</t>
  </si>
  <si>
    <r>
      <rPr>
        <sz val="11"/>
        <rFont val="宋体"/>
        <charset val="134"/>
      </rPr>
      <t>尾锥</t>
    </r>
    <r>
      <rPr>
        <sz val="11"/>
        <rFont val="Times New Roman"/>
        <charset val="134"/>
      </rPr>
      <t>10</t>
    </r>
  </si>
  <si>
    <t>8610X7503</t>
  </si>
  <si>
    <r>
      <rPr>
        <sz val="11"/>
        <rFont val="宋体"/>
        <charset val="134"/>
      </rPr>
      <t>线缆盒</t>
    </r>
    <r>
      <rPr>
        <sz val="11"/>
        <rFont val="Times New Roman"/>
        <charset val="134"/>
      </rPr>
      <t>1</t>
    </r>
  </si>
  <si>
    <t>8665E01001G400</t>
  </si>
  <si>
    <t>8605J7101</t>
  </si>
  <si>
    <r>
      <rPr>
        <sz val="11"/>
        <rFont val="宋体"/>
        <charset val="134"/>
      </rPr>
      <t>线缆盒</t>
    </r>
    <r>
      <rPr>
        <sz val="11"/>
        <rFont val="Times New Roman"/>
        <charset val="134"/>
      </rPr>
      <t>2</t>
    </r>
  </si>
  <si>
    <t>8605J7201</t>
  </si>
  <si>
    <r>
      <rPr>
        <sz val="11"/>
        <rFont val="宋体"/>
        <charset val="134"/>
      </rPr>
      <t>线缆盒</t>
    </r>
    <r>
      <rPr>
        <sz val="11"/>
        <rFont val="Times New Roman"/>
        <charset val="134"/>
      </rPr>
      <t>3</t>
    </r>
  </si>
  <si>
    <t>8605J7301</t>
  </si>
  <si>
    <r>
      <rPr>
        <sz val="11"/>
        <rFont val="宋体"/>
        <charset val="134"/>
      </rPr>
      <t>线缆盒</t>
    </r>
    <r>
      <rPr>
        <sz val="11"/>
        <rFont val="Times New Roman"/>
        <charset val="134"/>
      </rPr>
      <t>4</t>
    </r>
  </si>
  <si>
    <t>8605J7401</t>
  </si>
  <si>
    <r>
      <rPr>
        <sz val="11"/>
        <rFont val="宋体"/>
        <charset val="134"/>
      </rPr>
      <t>线缆盒</t>
    </r>
    <r>
      <rPr>
        <sz val="11"/>
        <rFont val="Times New Roman"/>
        <charset val="134"/>
      </rPr>
      <t>5</t>
    </r>
  </si>
  <si>
    <t>8605J7501</t>
  </si>
  <si>
    <r>
      <rPr>
        <sz val="11"/>
        <rFont val="宋体"/>
        <charset val="134"/>
      </rPr>
      <t>线缆盒</t>
    </r>
    <r>
      <rPr>
        <sz val="11"/>
        <rFont val="Times New Roman"/>
        <charset val="134"/>
      </rPr>
      <t>6</t>
    </r>
  </si>
  <si>
    <t>8665E01002G400</t>
  </si>
  <si>
    <t>8605J7102</t>
  </si>
  <si>
    <r>
      <rPr>
        <sz val="11"/>
        <rFont val="宋体"/>
        <charset val="134"/>
      </rPr>
      <t>线缆盒</t>
    </r>
    <r>
      <rPr>
        <sz val="11"/>
        <rFont val="Times New Roman"/>
        <charset val="134"/>
      </rPr>
      <t>7</t>
    </r>
  </si>
  <si>
    <t>8605J7202</t>
  </si>
  <si>
    <r>
      <rPr>
        <sz val="11"/>
        <rFont val="宋体"/>
        <charset val="134"/>
      </rPr>
      <t>线缆盒</t>
    </r>
    <r>
      <rPr>
        <sz val="11"/>
        <rFont val="Times New Roman"/>
        <charset val="134"/>
      </rPr>
      <t>8</t>
    </r>
  </si>
  <si>
    <t>8605J7302</t>
  </si>
  <si>
    <r>
      <rPr>
        <sz val="11"/>
        <rFont val="宋体"/>
        <charset val="134"/>
      </rPr>
      <t>线缆盒</t>
    </r>
    <r>
      <rPr>
        <sz val="11"/>
        <rFont val="Times New Roman"/>
        <charset val="134"/>
      </rPr>
      <t>9</t>
    </r>
  </si>
  <si>
    <t>8605J7402</t>
  </si>
  <si>
    <r>
      <rPr>
        <sz val="11"/>
        <rFont val="宋体"/>
        <charset val="134"/>
      </rPr>
      <t>线缆盒</t>
    </r>
    <r>
      <rPr>
        <sz val="11"/>
        <rFont val="Times New Roman"/>
        <charset val="134"/>
      </rPr>
      <t>10</t>
    </r>
  </si>
  <si>
    <t>8605J7502</t>
  </si>
  <si>
    <r>
      <rPr>
        <sz val="11"/>
        <rFont val="Times New Roman"/>
        <charset val="134"/>
      </rPr>
      <t xml:space="preserve">EATA87 </t>
    </r>
    <r>
      <rPr>
        <sz val="11"/>
        <rFont val="宋体"/>
        <charset val="134"/>
      </rPr>
      <t>试飞改装</t>
    </r>
  </si>
  <si>
    <r>
      <rPr>
        <sz val="11"/>
        <rFont val="宋体"/>
        <charset val="134"/>
      </rPr>
      <t>机载</t>
    </r>
    <r>
      <rPr>
        <sz val="11"/>
        <rFont val="Times New Roman"/>
        <charset val="134"/>
      </rPr>
      <t>GNSS</t>
    </r>
    <r>
      <rPr>
        <sz val="11"/>
        <rFont val="宋体"/>
        <charset val="134"/>
      </rPr>
      <t>天线</t>
    </r>
  </si>
  <si>
    <t>8711E00121T900</t>
  </si>
  <si>
    <t>8700A3201</t>
  </si>
  <si>
    <t>机载数据交换机</t>
  </si>
  <si>
    <t>8711E00511T900</t>
  </si>
  <si>
    <t>8701T3201</t>
  </si>
  <si>
    <r>
      <rPr>
        <sz val="11"/>
        <rFont val="宋体"/>
        <charset val="134"/>
      </rPr>
      <t>采集机箱</t>
    </r>
    <r>
      <rPr>
        <sz val="11"/>
        <rFont val="Times New Roman"/>
        <charset val="134"/>
      </rPr>
      <t>1</t>
    </r>
  </si>
  <si>
    <t>8712E01111T900</t>
  </si>
  <si>
    <t>8702U3201</t>
  </si>
  <si>
    <r>
      <rPr>
        <sz val="11"/>
        <rFont val="宋体"/>
        <charset val="134"/>
      </rPr>
      <t>采集机箱</t>
    </r>
    <r>
      <rPr>
        <sz val="11"/>
        <rFont val="Times New Roman"/>
        <charset val="134"/>
      </rPr>
      <t>2</t>
    </r>
  </si>
  <si>
    <t>8702U3203</t>
  </si>
  <si>
    <t>通用记录器</t>
  </si>
  <si>
    <t>8713E00411T900</t>
  </si>
  <si>
    <t>8701U3201</t>
  </si>
  <si>
    <t>直流稳压器</t>
  </si>
  <si>
    <t>8781E00113T900</t>
  </si>
  <si>
    <t>8701K3201</t>
  </si>
  <si>
    <t>蓄电池组</t>
  </si>
  <si>
    <t>8781E00312T900</t>
  </si>
  <si>
    <t>8701Q3201</t>
  </si>
  <si>
    <r>
      <rPr>
        <sz val="11"/>
        <rFont val="Times New Roman"/>
        <charset val="134"/>
      </rPr>
      <t xml:space="preserve">EATA90 </t>
    </r>
    <r>
      <rPr>
        <sz val="11"/>
        <rFont val="宋体"/>
        <charset val="134"/>
      </rPr>
      <t>自主飞行系统</t>
    </r>
  </si>
  <si>
    <r>
      <rPr>
        <sz val="11"/>
        <rFont val="宋体"/>
        <charset val="134"/>
      </rPr>
      <t>视觉传感器</t>
    </r>
    <r>
      <rPr>
        <sz val="11"/>
        <rFont val="Times New Roman"/>
        <charset val="134"/>
      </rPr>
      <t>/</t>
    </r>
    <r>
      <rPr>
        <sz val="11"/>
        <rFont val="宋体"/>
        <charset val="134"/>
      </rPr>
      <t>相机</t>
    </r>
    <r>
      <rPr>
        <sz val="11"/>
        <rFont val="Times New Roman"/>
        <charset val="134"/>
      </rPr>
      <t>1</t>
    </r>
  </si>
  <si>
    <t>9013E01101G900</t>
  </si>
  <si>
    <t>9002D2101</t>
  </si>
  <si>
    <r>
      <rPr>
        <sz val="11"/>
        <rFont val="宋体"/>
        <charset val="134"/>
      </rPr>
      <t>视觉传感器</t>
    </r>
    <r>
      <rPr>
        <sz val="11"/>
        <rFont val="Times New Roman"/>
        <charset val="134"/>
      </rPr>
      <t>/</t>
    </r>
    <r>
      <rPr>
        <sz val="11"/>
        <rFont val="宋体"/>
        <charset val="134"/>
      </rPr>
      <t>相机</t>
    </r>
    <r>
      <rPr>
        <sz val="11"/>
        <rFont val="Times New Roman"/>
        <charset val="134"/>
      </rPr>
      <t>2</t>
    </r>
  </si>
  <si>
    <t>9013E01103G900</t>
  </si>
  <si>
    <t>9002D2103</t>
  </si>
  <si>
    <r>
      <rPr>
        <sz val="11"/>
        <rFont val="宋体"/>
        <charset val="134"/>
      </rPr>
      <t>视觉传感器</t>
    </r>
    <r>
      <rPr>
        <sz val="11"/>
        <rFont val="Times New Roman"/>
        <charset val="134"/>
      </rPr>
      <t>/</t>
    </r>
    <r>
      <rPr>
        <sz val="11"/>
        <rFont val="宋体"/>
        <charset val="134"/>
      </rPr>
      <t>相机</t>
    </r>
    <r>
      <rPr>
        <sz val="11"/>
        <rFont val="Times New Roman"/>
        <charset val="134"/>
      </rPr>
      <t>3</t>
    </r>
  </si>
  <si>
    <t>9002D2105</t>
  </si>
  <si>
    <r>
      <rPr>
        <sz val="11"/>
        <rFont val="宋体"/>
        <charset val="134"/>
      </rPr>
      <t>视觉传感器</t>
    </r>
    <r>
      <rPr>
        <sz val="11"/>
        <rFont val="Times New Roman"/>
        <charset val="134"/>
      </rPr>
      <t>/</t>
    </r>
    <r>
      <rPr>
        <sz val="11"/>
        <rFont val="宋体"/>
        <charset val="134"/>
      </rPr>
      <t>相机</t>
    </r>
    <r>
      <rPr>
        <sz val="11"/>
        <rFont val="Times New Roman"/>
        <charset val="134"/>
      </rPr>
      <t>4</t>
    </r>
  </si>
  <si>
    <t>9002D2107</t>
  </si>
  <si>
    <t>视觉辅助计算机</t>
  </si>
  <si>
    <t>9011E01001G900</t>
  </si>
  <si>
    <t>9001U2601</t>
  </si>
  <si>
    <r>
      <rPr>
        <sz val="11"/>
        <rFont val="Times New Roman"/>
        <charset val="134"/>
      </rPr>
      <t xml:space="preserve">EATA92 </t>
    </r>
    <r>
      <rPr>
        <sz val="11"/>
        <rFont val="宋体"/>
        <charset val="134"/>
      </rPr>
      <t>地面网联系统</t>
    </r>
  </si>
  <si>
    <r>
      <rPr>
        <sz val="11"/>
        <rFont val="Times New Roman"/>
        <charset val="134"/>
      </rPr>
      <t>U</t>
    </r>
    <r>
      <rPr>
        <sz val="11"/>
        <rFont val="宋体"/>
        <charset val="134"/>
      </rPr>
      <t>波段数据链收发组合</t>
    </r>
  </si>
  <si>
    <t>9260E01001U900</t>
  </si>
  <si>
    <t>9201U4101</t>
  </si>
  <si>
    <t>数据链机腹全向天线</t>
  </si>
  <si>
    <t>9260E01003U900</t>
  </si>
  <si>
    <t>9202A4901</t>
  </si>
  <si>
    <t>数据链机背全向天线</t>
  </si>
  <si>
    <t>9202A3901</t>
  </si>
  <si>
    <r>
      <rPr>
        <sz val="11"/>
        <rFont val="Times New Roman"/>
        <charset val="134"/>
      </rPr>
      <t>C</t>
    </r>
    <r>
      <rPr>
        <sz val="11"/>
        <rFont val="宋体"/>
        <charset val="134"/>
      </rPr>
      <t>波段数据链收发组合</t>
    </r>
  </si>
  <si>
    <t>9260E01005U900</t>
  </si>
  <si>
    <t>9201U4103</t>
  </si>
  <si>
    <r>
      <rPr>
        <sz val="11"/>
        <rFont val="Times New Roman"/>
        <charset val="134"/>
      </rPr>
      <t>C</t>
    </r>
    <r>
      <rPr>
        <sz val="11"/>
        <rFont val="宋体"/>
        <charset val="134"/>
      </rPr>
      <t>波段数据链定向天线</t>
    </r>
  </si>
  <si>
    <t>9260E01007U900</t>
  </si>
  <si>
    <t>9201A4903</t>
  </si>
  <si>
    <t>空地数据管理计算机</t>
  </si>
  <si>
    <t>9260E01009U900</t>
  </si>
  <si>
    <t>9201U4105</t>
  </si>
  <si>
    <t>负载电气特性</t>
  </si>
  <si>
    <t>负载校核</t>
  </si>
  <si>
    <t>负载ID</t>
  </si>
  <si>
    <t>正常工作电压等级（V）</t>
  </si>
  <si>
    <t>正常工作电压范围（V）</t>
  </si>
  <si>
    <t>是否需要软启动</t>
  </si>
  <si>
    <t>峰值功率（kW）</t>
  </si>
  <si>
    <t>峰值功率时间（s）</t>
  </si>
  <si>
    <t>供电路数</t>
  </si>
  <si>
    <t>有无供电非相似需求</t>
  </si>
  <si>
    <t>应急是否可卸载</t>
  </si>
  <si>
    <t>工作功率（kW）</t>
  </si>
  <si>
    <t>实际功率（kW）</t>
  </si>
  <si>
    <t>功率余量</t>
  </si>
  <si>
    <t>实测电流(A)</t>
  </si>
  <si>
    <t>峰值功率/工作功率</t>
  </si>
  <si>
    <t>2301U3101-28V</t>
  </si>
  <si>
    <t>EATA23 通信系统</t>
  </si>
  <si>
    <t>ELT发射器</t>
  </si>
  <si>
    <t>18-32V</t>
  </si>
  <si>
    <t>单通道供电</t>
  </si>
  <si>
    <t>无</t>
  </si>
  <si>
    <t>/</t>
  </si>
  <si>
    <t>2302U2501-28V</t>
  </si>
  <si>
    <t>音频管理单元1</t>
  </si>
  <si>
    <t>双通道供电</t>
  </si>
  <si>
    <t>2302U2603-28V</t>
  </si>
  <si>
    <t>音频管理单元2</t>
  </si>
  <si>
    <t>2301T3401-28V</t>
  </si>
  <si>
    <t>2401G4101-28V</t>
  </si>
  <si>
    <t>EATA24 电源系统</t>
  </si>
  <si>
    <t>E 270V电池（含BMS）</t>
  </si>
  <si>
    <t>有</t>
  </si>
  <si>
    <t>2401G5201-28V-L</t>
  </si>
  <si>
    <t>LR 270V电池（含BMS）</t>
  </si>
  <si>
    <t>2401G5201-28V-R</t>
  </si>
  <si>
    <t>2401G4103-28V</t>
  </si>
  <si>
    <t>应急28V电池（含BMS）</t>
  </si>
  <si>
    <t>2401U3401-28V</t>
  </si>
  <si>
    <t>2401U3403-28V</t>
  </si>
  <si>
    <t>2401U2601-28V</t>
  </si>
  <si>
    <t>2404U2601-28V</t>
  </si>
  <si>
    <t>远程配电装置 RPDU1</t>
  </si>
  <si>
    <t>2404U2503-28V</t>
  </si>
  <si>
    <t>远程配电装置 RPDU2</t>
  </si>
  <si>
    <t>2404U3505-28V</t>
  </si>
  <si>
    <t>远程配电装置 RPDU3</t>
  </si>
  <si>
    <t>2404U3607-28V</t>
  </si>
  <si>
    <t>远程配电装置 RPDU4</t>
  </si>
  <si>
    <t>2501U2401-28V</t>
  </si>
  <si>
    <t>EATA25 设备/装饰</t>
  </si>
  <si>
    <t>2501U2403-28V</t>
  </si>
  <si>
    <t>2501U2405-28V</t>
  </si>
  <si>
    <t>2501U2407-28V</t>
  </si>
  <si>
    <t>2703U3601-28V</t>
  </si>
  <si>
    <t>EATA27 飞行控制系统</t>
  </si>
  <si>
    <t>主飞控计算机1</t>
  </si>
  <si>
    <t>2703U3501-28V</t>
  </si>
  <si>
    <t>主飞控计算机2</t>
  </si>
  <si>
    <t>2703U2603-28V</t>
  </si>
  <si>
    <t>主飞控计算机3</t>
  </si>
  <si>
    <t>2701U2505-28V</t>
  </si>
  <si>
    <t>2702U2601-28V</t>
  </si>
  <si>
    <t>飞控数据记录器1</t>
  </si>
  <si>
    <t>5-28V</t>
  </si>
  <si>
    <t>2702U3203-28V</t>
  </si>
  <si>
    <t>飞控数据记录器2</t>
  </si>
  <si>
    <t>2704U3601-270V-功率</t>
  </si>
  <si>
    <t>马达控制电子1</t>
  </si>
  <si>
    <t>200-300V</t>
  </si>
  <si>
    <t>2704U3601-28V-控制</t>
  </si>
  <si>
    <t>18-33V</t>
  </si>
  <si>
    <t>2704U3603-270V-功率</t>
  </si>
  <si>
    <t>马达控制电子2</t>
  </si>
  <si>
    <t>2704U3603-28V-控制</t>
  </si>
  <si>
    <t>2704U3505-270V-功率</t>
  </si>
  <si>
    <t>马达控制电子3</t>
  </si>
  <si>
    <t>2704U3505-28V-控制</t>
  </si>
  <si>
    <t>2704U3507-270V-功率</t>
  </si>
  <si>
    <t>马达控制电子4</t>
  </si>
  <si>
    <t>2704U3507-28V-控制</t>
  </si>
  <si>
    <t>2702U3609-270V-功率</t>
  </si>
  <si>
    <t>马达控制电子5</t>
  </si>
  <si>
    <t>2702U3609-28V-控制</t>
  </si>
  <si>
    <t>2702U3511-270V-功率</t>
  </si>
  <si>
    <t>马达控制电子6</t>
  </si>
  <si>
    <t>2702U3511-28V-控制</t>
  </si>
  <si>
    <t>2702U6101-270V-功率</t>
  </si>
  <si>
    <t>马达控制电子7</t>
  </si>
  <si>
    <t>2702U6101-28V-控制</t>
  </si>
  <si>
    <t>2702U6103-270V-功率</t>
  </si>
  <si>
    <t>马达控制电子8</t>
  </si>
  <si>
    <t>2702U6103-28V-控制</t>
  </si>
  <si>
    <t>2701D6101-28V</t>
  </si>
  <si>
    <t>直接模式速率传感器（DMRS）</t>
  </si>
  <si>
    <t>3002U4105-270V-功率</t>
  </si>
  <si>
    <t>EATA30 防除冰和除雨</t>
  </si>
  <si>
    <t>风挡加热控制器1</t>
  </si>
  <si>
    <t>200-290V</t>
  </si>
  <si>
    <t>3002U4105-28V-控制</t>
  </si>
  <si>
    <t>3002U4107-270V-功率</t>
  </si>
  <si>
    <t>风挡加热控制器2</t>
  </si>
  <si>
    <t>3002U4107-28V-控制</t>
  </si>
  <si>
    <t>3002M1301-28V</t>
  </si>
  <si>
    <t>风挡雨刷马达1（含控制器）</t>
  </si>
  <si>
    <t>3002M1303-28V</t>
  </si>
  <si>
    <t>风挡雨刷马达2（含控制器）</t>
  </si>
  <si>
    <t>3002U4101-28V</t>
  </si>
  <si>
    <t>结冰探测器1</t>
  </si>
  <si>
    <t>3002U4103-28V</t>
  </si>
  <si>
    <t>结冰探测器2</t>
  </si>
  <si>
    <t>3001U1901-28V</t>
  </si>
  <si>
    <t>3101D2403-28V</t>
  </si>
  <si>
    <t>EATA31 指示记录系统</t>
  </si>
  <si>
    <t>区域麦克风（AMP）</t>
  </si>
  <si>
    <t>3101U6101-28V</t>
  </si>
  <si>
    <t>三轴加速度计（TAA）</t>
  </si>
  <si>
    <t>3101P2401-28V</t>
  </si>
  <si>
    <t>3101P2403-28V</t>
  </si>
  <si>
    <t>3102U2601-28V</t>
  </si>
  <si>
    <t>显控计算机1</t>
  </si>
  <si>
    <t>3102U2503-28V</t>
  </si>
  <si>
    <t>显控计算机2</t>
  </si>
  <si>
    <t>3201U6105-270V-功率</t>
  </si>
  <si>
    <t>EATA32 起落架系统</t>
  </si>
  <si>
    <t>左主起EHM控制器</t>
  </si>
  <si>
    <t>3201U6105-28V-控制</t>
  </si>
  <si>
    <t>3201U6107-270V-功率</t>
  </si>
  <si>
    <t>右主起EHM控制器</t>
  </si>
  <si>
    <t>3201U6107-28V-控制</t>
  </si>
  <si>
    <t>3201U4121-270V-功率</t>
  </si>
  <si>
    <t>前起EHM控制器</t>
  </si>
  <si>
    <t>3201U4121-28V-控制</t>
  </si>
  <si>
    <t>3201U2505-28V</t>
  </si>
  <si>
    <t>3201U3605-28V</t>
  </si>
  <si>
    <t>3204U6101-270V-功率</t>
  </si>
  <si>
    <t>外侧EMA控制器1</t>
  </si>
  <si>
    <t>3204U6101-28V-控制</t>
  </si>
  <si>
    <t>3204U6103-270V-功率</t>
  </si>
  <si>
    <t>外侧EMA控制器2</t>
  </si>
  <si>
    <t>3204U6103-28V-控制</t>
  </si>
  <si>
    <t>3204U6105-270V-功率</t>
  </si>
  <si>
    <t>内侧EMA控制器1</t>
  </si>
  <si>
    <t>3204U6105-28V-控制</t>
  </si>
  <si>
    <t>3204U6107-270V-功率</t>
  </si>
  <si>
    <t>内侧EMA控制器2</t>
  </si>
  <si>
    <t>3204U6107-28V-控制</t>
  </si>
  <si>
    <t>3201U4101-270V-功率</t>
  </si>
  <si>
    <t>3201U4101-28V-控制</t>
  </si>
  <si>
    <t>3201U2501-28V</t>
  </si>
  <si>
    <t>收放控制单元1</t>
  </si>
  <si>
    <t>3201U3603-28V</t>
  </si>
  <si>
    <t>收放控制单元2</t>
  </si>
  <si>
    <t>3303L2101-28V</t>
  </si>
  <si>
    <t>EATA33 照明系统</t>
  </si>
  <si>
    <t>3302L2201-28V</t>
  </si>
  <si>
    <t>地板灯1</t>
  </si>
  <si>
    <t>3302L2202-28V</t>
  </si>
  <si>
    <t>地板灯2</t>
  </si>
  <si>
    <t>3302L2203-28V</t>
  </si>
  <si>
    <t>脚蹬灯1</t>
  </si>
  <si>
    <t>3302L2204-28V</t>
  </si>
  <si>
    <t>脚蹬灯2</t>
  </si>
  <si>
    <t>3305L2201-28V</t>
  </si>
  <si>
    <t>左右操纵台泛光灯1</t>
  </si>
  <si>
    <t>3305L2203-28V</t>
  </si>
  <si>
    <t>左右操纵台泛光灯2</t>
  </si>
  <si>
    <t>3301L2201-28V</t>
  </si>
  <si>
    <t>3302L2101-28V</t>
  </si>
  <si>
    <t>驾驶员阅读灯1</t>
  </si>
  <si>
    <t>3302L2103-28V</t>
  </si>
  <si>
    <t>驾驶员阅读灯2</t>
  </si>
  <si>
    <t>3301L8901-28V</t>
  </si>
  <si>
    <t>18-36V</t>
  </si>
  <si>
    <t>3301L6901-28V-位置</t>
  </si>
  <si>
    <t>9-36V</t>
  </si>
  <si>
    <t>3301L6901-28V-频闪</t>
  </si>
  <si>
    <t>3301L6903-28V-位置</t>
  </si>
  <si>
    <t>3301L6903-28V-频闪</t>
  </si>
  <si>
    <t>3302L3901-28V</t>
  </si>
  <si>
    <t>3302L5901-28V</t>
  </si>
  <si>
    <t>3304L6901-28V</t>
  </si>
  <si>
    <t>3304L6902-28V</t>
  </si>
  <si>
    <t>3304L8901-28V</t>
  </si>
  <si>
    <t>后白光防撞灯1</t>
  </si>
  <si>
    <t>3304L8902-28V</t>
  </si>
  <si>
    <t>后白光防撞灯2</t>
  </si>
  <si>
    <t>3304L6903-28V</t>
  </si>
  <si>
    <t>左翼根着陆灯1</t>
  </si>
  <si>
    <t>3304L6904-28V</t>
  </si>
  <si>
    <t>右翼根着陆灯1</t>
  </si>
  <si>
    <t>3304L6905-28V</t>
  </si>
  <si>
    <t>左翼根着陆灯2</t>
  </si>
  <si>
    <t>3304L6906-28V</t>
  </si>
  <si>
    <t>右翼根着陆灯2</t>
  </si>
  <si>
    <t>3302L1201-28V</t>
  </si>
  <si>
    <t>3302L1202-28V</t>
  </si>
  <si>
    <t>3300L8901-28V</t>
  </si>
  <si>
    <t>3300L8902-28V</t>
  </si>
  <si>
    <t>3300L8903-28V</t>
  </si>
  <si>
    <t>3300L8904-28V</t>
  </si>
  <si>
    <t>3403U2501-28V-加热</t>
  </si>
  <si>
    <t>EATA34 导航系统</t>
  </si>
  <si>
    <t>大气数据计算机1</t>
  </si>
  <si>
    <t>3403U2501-28V-控制</t>
  </si>
  <si>
    <t>3403U2503-28V-加热</t>
  </si>
  <si>
    <t>大气数据计算机2</t>
  </si>
  <si>
    <t>3403U250328V-控制</t>
  </si>
  <si>
    <t>3403U2601-28V-加热</t>
  </si>
  <si>
    <t>大气数据计算机3</t>
  </si>
  <si>
    <t>3403U260128V-控制</t>
  </si>
  <si>
    <t>3401U1105-28V-攻角、侧滑角传感器加热</t>
  </si>
  <si>
    <t>3401U1105-28V-总静压受感器加热</t>
  </si>
  <si>
    <t>3401U1301-28V</t>
  </si>
  <si>
    <t>3401U2403-28V</t>
  </si>
  <si>
    <t>3401U2105-28V</t>
  </si>
  <si>
    <t>12-32V</t>
  </si>
  <si>
    <t>3402U4101-28V</t>
  </si>
  <si>
    <t>无线电高度表（RA）收发机1</t>
  </si>
  <si>
    <t>22V-30.2V</t>
  </si>
  <si>
    <t>3402U4103-28V</t>
  </si>
  <si>
    <t>无线电高度表（RA）收发机2</t>
  </si>
  <si>
    <t>3401U2505-28V</t>
  </si>
  <si>
    <t>惯性基准系统1</t>
  </si>
  <si>
    <t>12-36V</t>
  </si>
  <si>
    <t>3401U2507-28V</t>
  </si>
  <si>
    <t>惯性基准系统2</t>
  </si>
  <si>
    <t>3401U6101-28V</t>
  </si>
  <si>
    <t>惯性基准系统3</t>
  </si>
  <si>
    <t>3401U3601-28V</t>
  </si>
  <si>
    <t>甚高频通信及无线电导航集成设备1</t>
  </si>
  <si>
    <t>3401U3501-28V</t>
  </si>
  <si>
    <t>甚高频通信及无线电导航集成设备2</t>
  </si>
  <si>
    <t>3401U2509-28V</t>
  </si>
  <si>
    <t>3401A1103-28V</t>
  </si>
  <si>
    <t>TBD-TBD</t>
  </si>
  <si>
    <t>3402U3205-28V</t>
  </si>
  <si>
    <t>RTK机载接收机1</t>
  </si>
  <si>
    <t>3402U3207-28V</t>
  </si>
  <si>
    <t>RTK机载接收机2</t>
  </si>
  <si>
    <t>3401U3603-28V</t>
  </si>
  <si>
    <t>4202U2503-28V</t>
  </si>
  <si>
    <t>EATA42 机载处理与网络系统</t>
  </si>
  <si>
    <t>飞机数据网络交换机1</t>
  </si>
  <si>
    <t>4202U2603-28V</t>
  </si>
  <si>
    <t>飞机数据网络交换机2</t>
  </si>
  <si>
    <t>4202U3201-28V</t>
  </si>
  <si>
    <t>TSN数据记录器1</t>
  </si>
  <si>
    <t>4202U3205-28V</t>
  </si>
  <si>
    <t>TSN数据记录器2</t>
  </si>
  <si>
    <t>4206U2601-28V</t>
  </si>
  <si>
    <t>数据接口单元1</t>
  </si>
  <si>
    <t>4206U2603-28V</t>
  </si>
  <si>
    <t>数据接口单元2</t>
  </si>
  <si>
    <t>4206U2501-28V</t>
  </si>
  <si>
    <t>数据接口单元3</t>
  </si>
  <si>
    <t>4206U3501-28V</t>
  </si>
  <si>
    <t>数据接口单元4</t>
  </si>
  <si>
    <t>4206U3503-28V</t>
  </si>
  <si>
    <t>数据接口单元5</t>
  </si>
  <si>
    <t>4206U3601-28V</t>
  </si>
  <si>
    <t>数据接口单元6</t>
  </si>
  <si>
    <t>4501U3603-28V</t>
  </si>
  <si>
    <t>EATA45 维护与健康管理系统</t>
  </si>
  <si>
    <t>4601U3501-28V</t>
  </si>
  <si>
    <t>EATA46 信息系统</t>
  </si>
  <si>
    <t>视频服务单元1</t>
  </si>
  <si>
    <t>4601U3505-28V</t>
  </si>
  <si>
    <t>视频服务单元2</t>
  </si>
  <si>
    <t>4601D4907-28V</t>
  </si>
  <si>
    <t>4601D2101-28V</t>
  </si>
  <si>
    <t>4601U3503-28V</t>
  </si>
  <si>
    <t>4601U2607-28V</t>
  </si>
  <si>
    <t>4601D8201-28V</t>
  </si>
  <si>
    <t>4601D4905-28V</t>
  </si>
  <si>
    <t>4601D5903-28V</t>
  </si>
  <si>
    <t>4601D3901-28V</t>
  </si>
  <si>
    <t>4601D3903-28V</t>
  </si>
  <si>
    <t>4601D2901-28V</t>
  </si>
  <si>
    <t>4601D3905-28V</t>
  </si>
  <si>
    <t>4601D4901-28V</t>
  </si>
  <si>
    <t>4601D4903-28V</t>
  </si>
  <si>
    <t>8610M7105-28V-控制</t>
  </si>
  <si>
    <t>EATA86 电推进系统</t>
  </si>
  <si>
    <t>电驱系统1</t>
  </si>
  <si>
    <t>8610M7105-800V-功率</t>
  </si>
  <si>
    <t>500-850V</t>
  </si>
  <si>
    <t>8610M7205-28V-控制</t>
  </si>
  <si>
    <t>电驱系统2</t>
  </si>
  <si>
    <t>8610M7205-800V-功率</t>
  </si>
  <si>
    <t>8610M7305-28V-控制</t>
  </si>
  <si>
    <t>电驱系统3</t>
  </si>
  <si>
    <t>8610M7305-800V-功率</t>
  </si>
  <si>
    <t>8610M7405-28V-控制</t>
  </si>
  <si>
    <t>电驱系统4</t>
  </si>
  <si>
    <t>8610M7405-800V-功率</t>
  </si>
  <si>
    <t>8610M7505-28V-控制</t>
  </si>
  <si>
    <t>电驱系统5</t>
  </si>
  <si>
    <t>8610M7505-800V-功率</t>
  </si>
  <si>
    <t>8610M7107-28V-控制</t>
  </si>
  <si>
    <t>电驱系统6</t>
  </si>
  <si>
    <t>8610M7107-800V-功率</t>
  </si>
  <si>
    <t>8610M7207-28V-控制</t>
  </si>
  <si>
    <t>电驱系统7</t>
  </si>
  <si>
    <t>8610M7207-800V-功率</t>
  </si>
  <si>
    <t>8610M7307-28V-控制</t>
  </si>
  <si>
    <t>电驱系统8</t>
  </si>
  <si>
    <t>8610M7307-800V-功率</t>
  </si>
  <si>
    <t>8610M7407-28V-控制</t>
  </si>
  <si>
    <t>电驱系统9</t>
  </si>
  <si>
    <t>8610M7407-800V-功率</t>
  </si>
  <si>
    <t>8610M7507-28V-控制</t>
  </si>
  <si>
    <t>电驱系统10</t>
  </si>
  <si>
    <t>8610M7507-800V-功率</t>
  </si>
  <si>
    <t>8605Q4201-28V-1</t>
  </si>
  <si>
    <t>构型A动力电池（含BMS与继电器开关）1</t>
  </si>
  <si>
    <t>8605Q4201-28V-2</t>
  </si>
  <si>
    <t>8605Q4301-28V-1</t>
  </si>
  <si>
    <t>构型A动力电池（含BMS与继电器开关）2</t>
  </si>
  <si>
    <t>8605Q4301-28V-2</t>
  </si>
  <si>
    <t>8605Q4401-28V-1</t>
  </si>
  <si>
    <t>构型A动力电池（含BMS与继电器开关）3</t>
  </si>
  <si>
    <t>8605Q4401-28V-2</t>
  </si>
  <si>
    <t>8605Q5301-28V-1</t>
  </si>
  <si>
    <t>构型A动力电池（含BMS与继电器开关）4</t>
  </si>
  <si>
    <t>8605Q5301-28V-2</t>
  </si>
  <si>
    <t>8605Q5401-28V-1</t>
  </si>
  <si>
    <t>构型A动力电池（含BMS与继电器开关）5</t>
  </si>
  <si>
    <t>8605Q5401-28V-2</t>
  </si>
  <si>
    <t>8600Q5601-TBD</t>
  </si>
  <si>
    <t>构型A动力电池冷却系统</t>
  </si>
  <si>
    <t>9002D2101-28V</t>
  </si>
  <si>
    <t>EATA90 自主飞行系统</t>
  </si>
  <si>
    <t>视觉传感器/相机1</t>
  </si>
  <si>
    <t>9002D2103-28V</t>
  </si>
  <si>
    <t>视觉传感器/相机2</t>
  </si>
  <si>
    <t>9002D2105-28V</t>
  </si>
  <si>
    <t>视觉传感器/相机3</t>
  </si>
  <si>
    <t>9002D2107-28V</t>
  </si>
  <si>
    <t>视觉传感器/相机4</t>
  </si>
  <si>
    <t>9001U2601-28V</t>
  </si>
  <si>
    <t>9201U4101-28V</t>
  </si>
  <si>
    <t>EATA92 地面网联系统</t>
  </si>
  <si>
    <t>U波段数据链收发组合</t>
  </si>
  <si>
    <t>9201U4103-28V</t>
  </si>
  <si>
    <t>C波段数据链收发组合</t>
  </si>
  <si>
    <t>9201U4105-28V</t>
  </si>
  <si>
    <t>运行阶段编号</t>
  </si>
  <si>
    <t>运行阶段</t>
  </si>
  <si>
    <t>原统计的运行阶段</t>
  </si>
  <si>
    <t>时间/min</t>
  </si>
  <si>
    <t>阶段定义</t>
  </si>
  <si>
    <t>舵面情况</t>
  </si>
  <si>
    <t>飞行速度TAS</t>
  </si>
  <si>
    <t>飞行高度</t>
  </si>
  <si>
    <t>G0</t>
  </si>
  <si>
    <t>过站</t>
  </si>
  <si>
    <t>OP00过站</t>
  </si>
  <si>
    <t>外部电源车接入电网，支持地面服务；对飞机电池充电或换电</t>
  </si>
  <si>
    <t>NA</t>
  </si>
  <si>
    <t>G1</t>
  </si>
  <si>
    <t>地面运转-装载</t>
  </si>
  <si>
    <t>OP01飞行计划</t>
  </si>
  <si>
    <t>机组、乘客登上飞机起，同时行李开始装载至飞机准备放行。</t>
  </si>
  <si>
    <t>OP02航前准备</t>
  </si>
  <si>
    <t>G2</t>
  </si>
  <si>
    <t>推出/牵引和起动</t>
  </si>
  <si>
    <t>自飞机不依靠自身动力受牵引力作用从廊桥、机坪或停机位等机场活动区移动起，至飞机开始依靠自身动力移动前。</t>
  </si>
  <si>
    <t>G3</t>
  </si>
  <si>
    <t>滑出</t>
  </si>
  <si>
    <t>OP04滑出</t>
  </si>
  <si>
    <t>该阶段是起落架开始滚动并滑行至跑道，加速，持续到起落架不再被压缩。根据飞机起飞距离不同，所需时间也不同。</t>
  </si>
  <si>
    <t>襟翼0°到35°，其他舵面0°</t>
  </si>
  <si>
    <t>0-10m/s</t>
  </si>
  <si>
    <t>G4</t>
  </si>
  <si>
    <t>起飞和爬升</t>
  </si>
  <si>
    <t>OP05起飞</t>
  </si>
  <si>
    <t>该阶段从起落架不被挤压到刚开始巡航水平结束，包括起飞、初始爬升、航路爬升等子阶段</t>
  </si>
  <si>
    <t>襟翼35°，升降舵-8°</t>
  </si>
  <si>
    <t>0~47m/s</t>
  </si>
  <si>
    <t>~10.7m</t>
  </si>
  <si>
    <t>OP06初始爬升</t>
  </si>
  <si>
    <t>襟翼35°到0°，舵面0°</t>
  </si>
  <si>
    <t>50m/s~75m/s</t>
  </si>
  <si>
    <t>~457m</t>
  </si>
  <si>
    <t>OP07航路爬升</t>
  </si>
  <si>
    <t>襟翼0°，舵面0°</t>
  </si>
  <si>
    <t>75m/s-90m/s</t>
  </si>
  <si>
    <t>~4000m</t>
  </si>
  <si>
    <t>G5</t>
  </si>
  <si>
    <t>巡航</t>
  </si>
  <si>
    <t>OP08巡航</t>
  </si>
  <si>
    <t>该阶段的时间窗口是从爬升结束到开始下降的一段时间。</t>
  </si>
  <si>
    <t>90m/s</t>
  </si>
  <si>
    <t>4000m</t>
  </si>
  <si>
    <t>G6</t>
  </si>
  <si>
    <t>下降</t>
  </si>
  <si>
    <t>OP09下降</t>
  </si>
  <si>
    <t>该阶段是当飞机离开巡航高度，并且在距离地面15米处结束。</t>
  </si>
  <si>
    <t>90m/s~75m/s</t>
  </si>
  <si>
    <t>OP10待机</t>
  </si>
  <si>
    <t>OP11进近</t>
  </si>
  <si>
    <t>襟翼0°到35°，舵面0°</t>
  </si>
  <si>
    <t>75m/s~50m/s</t>
  </si>
  <si>
    <t>~15m</t>
  </si>
  <si>
    <t>G7</t>
  </si>
  <si>
    <t>着陆</t>
  </si>
  <si>
    <t>OP12着陆</t>
  </si>
  <si>
    <t>该阶段始于距离地面15米处，起落架展开，处于向下位置直到起落架全部接触地面，前后起落架完全稳定承受飞机重量。</t>
  </si>
  <si>
    <t>襟翼35°，升降舵-10°</t>
  </si>
  <si>
    <t>50m/s~10m/s</t>
  </si>
  <si>
    <t>G8</t>
  </si>
  <si>
    <t>滑入</t>
  </si>
  <si>
    <t>OP13滑入</t>
  </si>
  <si>
    <t>是从着陆到推进电机关闭且飞机停靠至廊桥。</t>
  </si>
  <si>
    <t>襟翼35°到0度，其他舵面0°</t>
  </si>
  <si>
    <t>0~10m/s</t>
  </si>
  <si>
    <t>负载类型</t>
  </si>
  <si>
    <t>工作模式</t>
  </si>
  <si>
    <t>功率需求（kW）</t>
  </si>
  <si>
    <t>飞行阶段</t>
  </si>
  <si>
    <t>正常功率计算辅助列</t>
  </si>
  <si>
    <t>电量计算辅助列</t>
  </si>
  <si>
    <t>G0
过站</t>
  </si>
  <si>
    <t>G1
地面运转-装载</t>
  </si>
  <si>
    <t>G2
推出/牵引和起动</t>
  </si>
  <si>
    <t>G3
滑出</t>
  </si>
  <si>
    <t>G4
起飞和爬升</t>
  </si>
  <si>
    <t>G5
巡航</t>
  </si>
  <si>
    <t>G6
下降</t>
  </si>
  <si>
    <t>G7
着陆</t>
  </si>
  <si>
    <t>G8
滑入</t>
  </si>
  <si>
    <t>连续负载</t>
  </si>
  <si>
    <t>工作</t>
  </si>
  <si>
    <t>关闭</t>
  </si>
  <si>
    <t>脉冲负载</t>
  </si>
  <si>
    <t>最大功率</t>
  </si>
  <si>
    <t>额定功率</t>
  </si>
  <si>
    <t>待机</t>
  </si>
  <si>
    <t>正常</t>
  </si>
  <si>
    <t>降级</t>
  </si>
  <si>
    <t>应急</t>
  </si>
  <si>
    <t>主动刹车</t>
  </si>
  <si>
    <t>停留刹车</t>
  </si>
  <si>
    <t>打开</t>
  </si>
  <si>
    <t>发射</t>
  </si>
  <si>
    <t>峰值功率</t>
  </si>
  <si>
    <t>应急功率</t>
  </si>
  <si>
    <t>电量统计</t>
  </si>
  <si>
    <t>最大功率同时系数</t>
  </si>
  <si>
    <t>峰值总功率（kW）</t>
  </si>
  <si>
    <t>270V峰值功率（kW）</t>
  </si>
  <si>
    <t>28V峰值功率（kW）</t>
  </si>
  <si>
    <t>270V主要功率来源</t>
  </si>
  <si>
    <t>应急总功率（kW）</t>
  </si>
  <si>
    <t>270V应急功率（kW）</t>
  </si>
  <si>
    <t>28V应急功率（kW）</t>
  </si>
  <si>
    <t>阶段时长
（min）</t>
  </si>
  <si>
    <t>电量需求
（kWh）</t>
  </si>
  <si>
    <t>G0-过站</t>
  </si>
  <si>
    <t>系统检查</t>
  </si>
  <si>
    <t>G1-地面运转-装载</t>
  </si>
  <si>
    <t>操纵面检查</t>
  </si>
  <si>
    <t>G2-推出/牵引和起动</t>
  </si>
  <si>
    <t>前轮转向</t>
  </si>
  <si>
    <t>G3-滑出</t>
  </si>
  <si>
    <t>转弯+轻度刹车</t>
  </si>
  <si>
    <t>G4-起飞和爬升</t>
  </si>
  <si>
    <t>起落架收起 或 襟翼收起</t>
  </si>
  <si>
    <t>G5-巡航</t>
  </si>
  <si>
    <t>操纵面</t>
  </si>
  <si>
    <t>G6-下降</t>
  </si>
  <si>
    <t>襟翼放下 或 起落架放下</t>
  </si>
  <si>
    <t>G7-着陆</t>
  </si>
  <si>
    <t>刹车+少量飞控</t>
  </si>
  <si>
    <t>G8-滑入</t>
  </si>
  <si>
    <t>最大/合计</t>
  </si>
  <si>
    <t>减重建议</t>
  </si>
  <si>
    <t>修改项</t>
  </si>
  <si>
    <t>修改后</t>
  </si>
  <si>
    <t>将28V大功率设备（200W以上）修改为270V，降低28V DCDC功率，可实现DCDC减重，同时降低28V盘箱间线的重量。</t>
  </si>
  <si>
    <t>马达控制电子7、马达控制电子8、结冰探测器1、结冰探测器2、大气数据计算机1、大气数据计算机2、大气数据计算机3、标准空速管、气象雷达</t>
  </si>
  <si>
    <t>1、28V总功率可下降4kW，28V DCDC功率统计值可降低至4.2kW，统计值余量与实测值的余量为70%左右。
2、请电源系统重新基于新的负载统计结果，评估DCDC的功率需求，盘箱28V汇流条间的线规，应急情况下的电源架构、28V电池的电量、270V电池的电量等关键参数信息。</t>
  </si>
  <si>
    <t>建议将安全等级较低且功率较小的负载进行合并供电减少供电通道数</t>
  </si>
  <si>
    <t>驾驶舱照明合并为2路、驾驶舱控制板适当合并、摄像头适当合并</t>
  </si>
  <si>
    <t>1、预计可减少10个通道以上</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</si>
</sst>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34">
    <font>
      <sz val="11"/>
      <color theme="1"/>
      <name val="宋体"/>
      <charset val="134"/>
      <scheme val="minor"/>
    </font>
    <font>
      <sz val="11"/>
      <color rgb="FFFF0000"/>
      <name val="宋体"/>
      <charset val="134"/>
      <scheme val="minor"/>
    </font>
    <font>
      <b/>
      <sz val="11"/>
      <color theme="1"/>
      <name val="宋体"/>
      <charset val="134"/>
      <scheme val="minor"/>
    </font>
    <font>
      <sz val="11"/>
      <name val="宋体"/>
      <charset val="134"/>
      <scheme val="minor"/>
    </font>
    <font>
      <b/>
      <sz val="11"/>
      <name val="宋体"/>
      <charset val="134"/>
      <scheme val="minor"/>
    </font>
    <font>
      <sz val="11"/>
      <name val="宋体"/>
      <charset val="134"/>
    </font>
    <font>
      <sz val="11"/>
      <name val="Times New Roman"/>
      <charset val="134"/>
    </font>
    <font>
      <b/>
      <sz val="10.5"/>
      <color rgb="FF000000"/>
      <name val="宋体"/>
      <charset val="134"/>
    </font>
    <font>
      <sz val="10.5"/>
      <color rgb="FF000000"/>
      <name val="宋体"/>
      <charset val="134"/>
    </font>
    <font>
      <b/>
      <sz val="16"/>
      <name val="宋体"/>
      <charset val="134"/>
      <scheme val="minor"/>
    </font>
    <font>
      <b/>
      <sz val="11"/>
      <name val="宋体"/>
      <charset val="134"/>
    </font>
    <font>
      <b/>
      <sz val="11"/>
      <name val="等线"/>
      <charset val="134"/>
    </font>
    <font>
      <sz val="11"/>
      <name val="汉仪书宋二KW"/>
      <charset val="134"/>
    </font>
    <font>
      <sz val="11"/>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s>
  <fills count="34">
    <fill>
      <patternFill patternType="none"/>
    </fill>
    <fill>
      <patternFill patternType="gray125"/>
    </fill>
    <fill>
      <patternFill patternType="solid">
        <fgColor theme="9"/>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4" borderId="8"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9" applyNumberFormat="0" applyFill="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1" fillId="0" borderId="0" applyNumberFormat="0" applyFill="0" applyBorder="0" applyAlignment="0" applyProtection="0">
      <alignment vertical="center"/>
    </xf>
    <xf numFmtId="0" fontId="22" fillId="5" borderId="11" applyNumberFormat="0" applyAlignment="0" applyProtection="0">
      <alignment vertical="center"/>
    </xf>
    <xf numFmtId="0" fontId="23" fillId="6" borderId="12" applyNumberFormat="0" applyAlignment="0" applyProtection="0">
      <alignment vertical="center"/>
    </xf>
    <xf numFmtId="0" fontId="24" fillId="6" borderId="11" applyNumberFormat="0" applyAlignment="0" applyProtection="0">
      <alignment vertical="center"/>
    </xf>
    <xf numFmtId="0" fontId="25" fillId="7" borderId="13" applyNumberFormat="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2"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57">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0" fillId="0" borderId="0" xfId="0" applyAlignment="1">
      <alignment horizontal="center"/>
    </xf>
    <xf numFmtId="0" fontId="0" fillId="0" borderId="0" xfId="0" applyAlignment="1">
      <alignment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xf numFmtId="0" fontId="0" fillId="0" borderId="1" xfId="0" applyBorder="1" applyAlignment="1">
      <alignment horizontal="left" vertical="center"/>
    </xf>
    <xf numFmtId="0" fontId="0" fillId="0" borderId="1" xfId="0" applyBorder="1"/>
    <xf numFmtId="0" fontId="0" fillId="0" borderId="1" xfId="0" applyBorder="1" applyAlignment="1">
      <alignment horizontal="center" vertical="center"/>
    </xf>
    <xf numFmtId="0" fontId="0" fillId="0" borderId="1" xfId="0" applyBorder="1" applyAlignment="1"/>
    <xf numFmtId="0" fontId="3" fillId="0" borderId="0" xfId="0" applyFont="1" applyAlignment="1">
      <alignment horizontal="center"/>
    </xf>
    <xf numFmtId="0" fontId="4" fillId="2" borderId="1" xfId="0" applyFont="1" applyFill="1" applyBorder="1" applyAlignment="1">
      <alignment horizontal="center" vertical="center"/>
    </xf>
    <xf numFmtId="0" fontId="4" fillId="2" borderId="5" xfId="0" applyFont="1" applyFill="1" applyBorder="1" applyAlignment="1">
      <alignment horizontal="center" vertical="center" wrapText="1"/>
    </xf>
    <xf numFmtId="0" fontId="2" fillId="3" borderId="1" xfId="0" applyFont="1" applyFill="1" applyBorder="1" applyAlignment="1">
      <alignment horizontal="center"/>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Fill="1" applyBorder="1" applyAlignment="1">
      <alignment horizontal="center" vertical="center"/>
    </xf>
    <xf numFmtId="0" fontId="0" fillId="0" borderId="1" xfId="0" applyFont="1" applyBorder="1"/>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3" fillId="0" borderId="0" xfId="0" applyFont="1" applyAlignment="1">
      <alignment horizontal="center" vertical="center"/>
    </xf>
    <xf numFmtId="0" fontId="3" fillId="0" borderId="0" xfId="0" applyFont="1"/>
    <xf numFmtId="176" fontId="3" fillId="0" borderId="0" xfId="0" applyNumberFormat="1" applyFont="1" applyAlignment="1">
      <alignment horizontal="center" vertical="center"/>
    </xf>
    <xf numFmtId="176" fontId="3" fillId="0" borderId="0" xfId="0" applyNumberFormat="1" applyFont="1"/>
    <xf numFmtId="0" fontId="9" fillId="2" borderId="2" xfId="0" applyFont="1" applyFill="1" applyBorder="1" applyAlignment="1">
      <alignment horizontal="center"/>
    </xf>
    <xf numFmtId="0" fontId="9" fillId="2" borderId="3" xfId="0" applyFont="1" applyFill="1" applyBorder="1" applyAlignment="1">
      <alignment horizontal="center"/>
    </xf>
    <xf numFmtId="0" fontId="9" fillId="2" borderId="4" xfId="0" applyFont="1" applyFill="1" applyBorder="1" applyAlignment="1">
      <alignment horizont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176" fontId="10" fillId="2" borderId="1" xfId="0" applyNumberFormat="1" applyFont="1" applyFill="1" applyBorder="1" applyAlignment="1">
      <alignment horizontal="center" vertical="center" wrapText="1"/>
    </xf>
    <xf numFmtId="176" fontId="4" fillId="2" borderId="1" xfId="0" applyNumberFormat="1" applyFont="1" applyFill="1" applyBorder="1" applyAlignment="1">
      <alignment horizontal="center" vertical="center" wrapText="1"/>
    </xf>
    <xf numFmtId="176" fontId="5" fillId="0" borderId="1" xfId="0" applyNumberFormat="1" applyFont="1" applyBorder="1" applyAlignment="1">
      <alignment horizontal="center" vertical="center"/>
    </xf>
    <xf numFmtId="176" fontId="3" fillId="0" borderId="1" xfId="0" applyNumberFormat="1" applyFont="1" applyBorder="1"/>
    <xf numFmtId="0" fontId="5" fillId="0" borderId="1" xfId="0" applyFont="1" applyBorder="1" applyAlignment="1">
      <alignment horizontal="center" vertical="center" wrapText="1"/>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6" fillId="0" borderId="1" xfId="0"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left" vertical="center"/>
    </xf>
    <xf numFmtId="0" fontId="12" fillId="0" borderId="1" xfId="0" applyFont="1" applyBorder="1" applyAlignment="1">
      <alignment vertical="center"/>
    </xf>
    <xf numFmtId="0" fontId="13" fillId="0" borderId="7" xfId="0" applyFont="1" applyBorder="1" applyAlignment="1">
      <alignment horizontal="left" vertical="center"/>
    </xf>
    <xf numFmtId="0" fontId="13"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23"/>
  <sheetViews>
    <sheetView zoomScale="145" zoomScaleNormal="145" workbookViewId="0">
      <pane ySplit="1" topLeftCell="A2" activePane="bottomLeft" state="frozen"/>
      <selection/>
      <selection pane="bottomLeft" activeCell="B26" sqref="B26"/>
    </sheetView>
  </sheetViews>
  <sheetFormatPr defaultColWidth="9" defaultRowHeight="14" outlineLevelCol="2"/>
  <cols>
    <col min="1" max="1" width="9" style="1"/>
    <col min="2" max="2" width="9.81818181818182" style="1" customWidth="1"/>
    <col min="3" max="3" width="26.9090909090909" style="2" customWidth="1"/>
  </cols>
  <sheetData>
    <row r="1" spans="1:3">
      <c r="A1" s="50" t="s">
        <v>0</v>
      </c>
      <c r="B1" s="50" t="s">
        <v>1</v>
      </c>
      <c r="C1" s="50" t="s">
        <v>2</v>
      </c>
    </row>
    <row r="2" spans="1:3">
      <c r="A2" s="15">
        <v>1</v>
      </c>
      <c r="B2" s="15" t="s">
        <v>3</v>
      </c>
      <c r="C2" s="55" t="s">
        <v>4</v>
      </c>
    </row>
    <row r="3" spans="1:3">
      <c r="A3" s="15">
        <v>2</v>
      </c>
      <c r="B3" s="15" t="s">
        <v>5</v>
      </c>
      <c r="C3" s="56" t="s">
        <v>6</v>
      </c>
    </row>
    <row r="4" spans="1:3">
      <c r="A4" s="15">
        <v>3</v>
      </c>
      <c r="B4" s="15" t="s">
        <v>7</v>
      </c>
      <c r="C4" s="56" t="s">
        <v>8</v>
      </c>
    </row>
    <row r="5" spans="1:3">
      <c r="A5" s="15">
        <v>4</v>
      </c>
      <c r="B5" s="15" t="s">
        <v>9</v>
      </c>
      <c r="C5" s="56" t="s">
        <v>10</v>
      </c>
    </row>
    <row r="6" spans="1:3">
      <c r="A6" s="15">
        <v>5</v>
      </c>
      <c r="B6" s="15" t="s">
        <v>11</v>
      </c>
      <c r="C6" s="55" t="s">
        <v>12</v>
      </c>
    </row>
    <row r="7" spans="1:3">
      <c r="A7" s="15">
        <v>6</v>
      </c>
      <c r="B7" s="15" t="s">
        <v>13</v>
      </c>
      <c r="C7" s="56" t="s">
        <v>14</v>
      </c>
    </row>
    <row r="8" spans="1:3">
      <c r="A8" s="15">
        <v>7</v>
      </c>
      <c r="B8" s="15" t="s">
        <v>15</v>
      </c>
      <c r="C8" s="56" t="s">
        <v>16</v>
      </c>
    </row>
    <row r="9" spans="1:3">
      <c r="A9" s="15">
        <v>8</v>
      </c>
      <c r="B9" s="15" t="s">
        <v>17</v>
      </c>
      <c r="C9" s="56" t="s">
        <v>18</v>
      </c>
    </row>
    <row r="10" spans="1:3">
      <c r="A10" s="15">
        <v>9</v>
      </c>
      <c r="B10" s="15" t="s">
        <v>19</v>
      </c>
      <c r="C10" s="56" t="s">
        <v>20</v>
      </c>
    </row>
    <row r="11" spans="1:3">
      <c r="A11" s="15">
        <v>10</v>
      </c>
      <c r="B11" s="15" t="s">
        <v>21</v>
      </c>
      <c r="C11" s="56" t="s">
        <v>22</v>
      </c>
    </row>
    <row r="12" spans="1:3">
      <c r="A12" s="15">
        <v>11</v>
      </c>
      <c r="B12" s="15" t="s">
        <v>23</v>
      </c>
      <c r="C12" s="56" t="s">
        <v>24</v>
      </c>
    </row>
    <row r="13" spans="1:3">
      <c r="A13" s="15">
        <v>12</v>
      </c>
      <c r="B13" s="15" t="s">
        <v>25</v>
      </c>
      <c r="C13" s="56" t="s">
        <v>26</v>
      </c>
    </row>
    <row r="14" spans="1:3">
      <c r="A14" s="15">
        <v>13</v>
      </c>
      <c r="B14" s="15" t="s">
        <v>27</v>
      </c>
      <c r="C14" s="55" t="s">
        <v>28</v>
      </c>
    </row>
    <row r="15" spans="1:3">
      <c r="A15" s="15">
        <v>14</v>
      </c>
      <c r="B15" s="15" t="s">
        <v>29</v>
      </c>
      <c r="C15" s="56" t="s">
        <v>30</v>
      </c>
    </row>
    <row r="16" spans="1:3">
      <c r="A16" s="15">
        <v>15</v>
      </c>
      <c r="B16" s="15" t="s">
        <v>31</v>
      </c>
      <c r="C16" s="55" t="s">
        <v>32</v>
      </c>
    </row>
    <row r="17" spans="1:3">
      <c r="A17" s="15">
        <v>16</v>
      </c>
      <c r="B17" s="15" t="s">
        <v>33</v>
      </c>
      <c r="C17" s="56" t="s">
        <v>34</v>
      </c>
    </row>
    <row r="18" spans="1:3">
      <c r="A18" s="15">
        <v>17</v>
      </c>
      <c r="B18" s="15" t="s">
        <v>35</v>
      </c>
      <c r="C18" s="56" t="s">
        <v>36</v>
      </c>
    </row>
    <row r="19" spans="1:3">
      <c r="A19" s="15">
        <v>18</v>
      </c>
      <c r="B19" s="15" t="s">
        <v>37</v>
      </c>
      <c r="C19" s="55" t="s">
        <v>38</v>
      </c>
    </row>
    <row r="20" spans="1:3">
      <c r="A20" s="15">
        <v>19</v>
      </c>
      <c r="B20" s="15" t="s">
        <v>39</v>
      </c>
      <c r="C20" s="56" t="s">
        <v>40</v>
      </c>
    </row>
    <row r="21" spans="1:3">
      <c r="A21" s="15">
        <v>20</v>
      </c>
      <c r="B21" s="15" t="s">
        <v>41</v>
      </c>
      <c r="C21" s="56" t="s">
        <v>42</v>
      </c>
    </row>
    <row r="22" spans="1:3">
      <c r="A22" s="15">
        <v>21</v>
      </c>
      <c r="B22" s="15" t="s">
        <v>43</v>
      </c>
      <c r="C22" s="56" t="s">
        <v>44</v>
      </c>
    </row>
    <row r="23" spans="1:3">
      <c r="A23" s="15">
        <v>22</v>
      </c>
      <c r="B23" s="15" t="s">
        <v>45</v>
      </c>
      <c r="C23" s="56" t="s">
        <v>46</v>
      </c>
    </row>
  </sheetData>
  <sortState ref="B2:C18">
    <sortCondition ref="B2"/>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I457"/>
  <sheetViews>
    <sheetView topLeftCell="B1" workbookViewId="0">
      <pane ySplit="1" topLeftCell="A26" activePane="bottomLeft" state="frozen"/>
      <selection/>
      <selection pane="bottomLeft" activeCell="D38" sqref="D38:E40"/>
    </sheetView>
  </sheetViews>
  <sheetFormatPr defaultColWidth="9" defaultRowHeight="14"/>
  <cols>
    <col min="1" max="1" width="8.09090909090909" style="1" customWidth="1"/>
    <col min="2" max="2" width="21.5454545454545" customWidth="1"/>
    <col min="3" max="3" width="22.0909090909091" customWidth="1"/>
    <col min="4" max="4" width="20.8181818181818" customWidth="1"/>
    <col min="5" max="5" width="17.4545454545455" customWidth="1"/>
    <col min="6" max="6" width="23.5454545454545" customWidth="1"/>
    <col min="7" max="7" width="17.4545454545455" customWidth="1"/>
    <col min="8" max="8" width="14.8181818181818" customWidth="1"/>
    <col min="9" max="9" width="50.6363636363636" customWidth="1"/>
    <col min="10" max="10" width="17.4545454545455" customWidth="1"/>
  </cols>
  <sheetData>
    <row r="1" ht="28" spans="1:9">
      <c r="A1" s="18" t="s">
        <v>47</v>
      </c>
      <c r="B1" s="18" t="s">
        <v>48</v>
      </c>
      <c r="C1" s="18" t="s">
        <v>49</v>
      </c>
      <c r="D1" s="18" t="s">
        <v>50</v>
      </c>
      <c r="E1" s="18" t="s">
        <v>51</v>
      </c>
      <c r="F1" s="48" t="s">
        <v>52</v>
      </c>
      <c r="G1" s="49" t="s">
        <v>53</v>
      </c>
      <c r="H1" s="49" t="s">
        <v>54</v>
      </c>
      <c r="I1" s="50" t="s">
        <v>55</v>
      </c>
    </row>
    <row r="2" spans="1:9">
      <c r="A2" s="25">
        <v>1</v>
      </c>
      <c r="B2" s="29" t="s">
        <v>56</v>
      </c>
      <c r="C2" s="51" t="s">
        <v>57</v>
      </c>
      <c r="D2" s="29" t="s">
        <v>58</v>
      </c>
      <c r="E2" s="29" t="s">
        <v>59</v>
      </c>
      <c r="F2" s="52" t="s">
        <v>60</v>
      </c>
      <c r="G2" s="28" t="s">
        <v>61</v>
      </c>
      <c r="H2" s="28" t="s">
        <v>61</v>
      </c>
      <c r="I2" s="14"/>
    </row>
    <row r="3" spans="1:9">
      <c r="A3" s="25">
        <v>2</v>
      </c>
      <c r="B3" s="29" t="s">
        <v>56</v>
      </c>
      <c r="C3" s="51" t="s">
        <v>62</v>
      </c>
      <c r="D3" s="29" t="s">
        <v>63</v>
      </c>
      <c r="E3" s="29" t="s">
        <v>64</v>
      </c>
      <c r="F3" s="52" t="s">
        <v>65</v>
      </c>
      <c r="G3" s="28" t="s">
        <v>61</v>
      </c>
      <c r="H3" s="28" t="s">
        <v>66</v>
      </c>
      <c r="I3" s="14"/>
    </row>
    <row r="4" spans="1:9">
      <c r="A4" s="25">
        <v>3</v>
      </c>
      <c r="B4" s="29" t="s">
        <v>56</v>
      </c>
      <c r="C4" s="52" t="s">
        <v>67</v>
      </c>
      <c r="D4" s="29" t="s">
        <v>68</v>
      </c>
      <c r="E4" s="29" t="s">
        <v>69</v>
      </c>
      <c r="F4" s="52" t="s">
        <v>70</v>
      </c>
      <c r="G4" s="28" t="s">
        <v>61</v>
      </c>
      <c r="H4" s="28" t="s">
        <v>61</v>
      </c>
      <c r="I4" s="14"/>
    </row>
    <row r="5" spans="1:9">
      <c r="A5" s="25">
        <v>4</v>
      </c>
      <c r="B5" s="29" t="s">
        <v>56</v>
      </c>
      <c r="C5" s="52" t="s">
        <v>71</v>
      </c>
      <c r="D5" s="29" t="s">
        <v>68</v>
      </c>
      <c r="E5" s="29" t="s">
        <v>72</v>
      </c>
      <c r="F5" s="52" t="s">
        <v>73</v>
      </c>
      <c r="G5" s="28" t="s">
        <v>61</v>
      </c>
      <c r="H5" s="28" t="s">
        <v>61</v>
      </c>
      <c r="I5" s="14"/>
    </row>
    <row r="6" spans="1:9">
      <c r="A6" s="25">
        <v>5</v>
      </c>
      <c r="B6" s="29" t="s">
        <v>56</v>
      </c>
      <c r="C6" s="52" t="s">
        <v>74</v>
      </c>
      <c r="D6" s="29" t="s">
        <v>75</v>
      </c>
      <c r="E6" s="29" t="s">
        <v>76</v>
      </c>
      <c r="F6" s="52" t="s">
        <v>77</v>
      </c>
      <c r="G6" s="28" t="s">
        <v>61</v>
      </c>
      <c r="H6" s="28" t="s">
        <v>66</v>
      </c>
      <c r="I6" s="14"/>
    </row>
    <row r="7" spans="1:9">
      <c r="A7" s="25">
        <v>6</v>
      </c>
      <c r="B7" s="29" t="s">
        <v>56</v>
      </c>
      <c r="C7" s="52" t="s">
        <v>78</v>
      </c>
      <c r="D7" s="29" t="s">
        <v>75</v>
      </c>
      <c r="E7" s="29" t="s">
        <v>79</v>
      </c>
      <c r="F7" s="52" t="s">
        <v>77</v>
      </c>
      <c r="G7" s="28" t="s">
        <v>61</v>
      </c>
      <c r="H7" s="28" t="s">
        <v>66</v>
      </c>
      <c r="I7" s="14"/>
    </row>
    <row r="8" spans="1:9">
      <c r="A8" s="25">
        <v>7</v>
      </c>
      <c r="B8" s="29" t="s">
        <v>56</v>
      </c>
      <c r="C8" s="52" t="s">
        <v>80</v>
      </c>
      <c r="D8" s="29" t="s">
        <v>81</v>
      </c>
      <c r="E8" s="29" t="s">
        <v>82</v>
      </c>
      <c r="F8" s="52" t="s">
        <v>83</v>
      </c>
      <c r="G8" s="28" t="s">
        <v>66</v>
      </c>
      <c r="H8" s="28" t="s">
        <v>66</v>
      </c>
      <c r="I8" s="14"/>
    </row>
    <row r="9" spans="1:9">
      <c r="A9" s="25">
        <v>8</v>
      </c>
      <c r="B9" s="29" t="s">
        <v>56</v>
      </c>
      <c r="C9" s="52" t="s">
        <v>84</v>
      </c>
      <c r="D9" s="29" t="s">
        <v>81</v>
      </c>
      <c r="E9" s="29" t="s">
        <v>85</v>
      </c>
      <c r="F9" s="52" t="s">
        <v>83</v>
      </c>
      <c r="G9" s="28" t="s">
        <v>66</v>
      </c>
      <c r="H9" s="28" t="s">
        <v>66</v>
      </c>
      <c r="I9" s="14"/>
    </row>
    <row r="10" spans="1:9">
      <c r="A10" s="25">
        <v>9</v>
      </c>
      <c r="B10" s="29" t="s">
        <v>56</v>
      </c>
      <c r="C10" s="52" t="s">
        <v>86</v>
      </c>
      <c r="D10" s="29" t="s">
        <v>87</v>
      </c>
      <c r="E10" s="29" t="s">
        <v>88</v>
      </c>
      <c r="F10" s="52" t="s">
        <v>83</v>
      </c>
      <c r="G10" s="28" t="s">
        <v>66</v>
      </c>
      <c r="H10" s="28" t="s">
        <v>66</v>
      </c>
      <c r="I10" s="14"/>
    </row>
    <row r="11" spans="1:9">
      <c r="A11" s="25">
        <v>10</v>
      </c>
      <c r="B11" s="29" t="s">
        <v>56</v>
      </c>
      <c r="C11" s="52" t="s">
        <v>89</v>
      </c>
      <c r="D11" s="29" t="s">
        <v>87</v>
      </c>
      <c r="E11" s="29" t="s">
        <v>90</v>
      </c>
      <c r="F11" s="52" t="s">
        <v>83</v>
      </c>
      <c r="G11" s="28" t="s">
        <v>66</v>
      </c>
      <c r="H11" s="28" t="s">
        <v>66</v>
      </c>
      <c r="I11" s="14"/>
    </row>
    <row r="12" spans="1:9">
      <c r="A12" s="25">
        <v>11</v>
      </c>
      <c r="B12" s="29" t="s">
        <v>56</v>
      </c>
      <c r="C12" s="52" t="s">
        <v>91</v>
      </c>
      <c r="D12" s="29" t="s">
        <v>92</v>
      </c>
      <c r="E12" s="29" t="s">
        <v>93</v>
      </c>
      <c r="F12" s="52" t="s">
        <v>83</v>
      </c>
      <c r="G12" s="28" t="s">
        <v>61</v>
      </c>
      <c r="H12" s="28" t="s">
        <v>66</v>
      </c>
      <c r="I12" s="14"/>
    </row>
    <row r="13" spans="1:9">
      <c r="A13" s="25">
        <v>12</v>
      </c>
      <c r="B13" s="29" t="s">
        <v>56</v>
      </c>
      <c r="C13" s="52" t="s">
        <v>94</v>
      </c>
      <c r="D13" s="29" t="s">
        <v>92</v>
      </c>
      <c r="E13" s="29" t="s">
        <v>95</v>
      </c>
      <c r="F13" s="52" t="s">
        <v>83</v>
      </c>
      <c r="G13" s="28" t="s">
        <v>61</v>
      </c>
      <c r="H13" s="28" t="s">
        <v>66</v>
      </c>
      <c r="I13" s="14"/>
    </row>
    <row r="14" spans="1:9">
      <c r="A14" s="25">
        <v>13</v>
      </c>
      <c r="B14" s="29" t="s">
        <v>56</v>
      </c>
      <c r="C14" s="52" t="s">
        <v>96</v>
      </c>
      <c r="D14" s="29" t="s">
        <v>97</v>
      </c>
      <c r="E14" s="29" t="s">
        <v>98</v>
      </c>
      <c r="F14" s="52" t="s">
        <v>99</v>
      </c>
      <c r="G14" s="28" t="s">
        <v>66</v>
      </c>
      <c r="H14" s="28" t="s">
        <v>66</v>
      </c>
      <c r="I14" s="14"/>
    </row>
    <row r="15" spans="1:9">
      <c r="A15" s="25">
        <v>14</v>
      </c>
      <c r="B15" s="29" t="s">
        <v>56</v>
      </c>
      <c r="C15" s="52" t="s">
        <v>100</v>
      </c>
      <c r="D15" s="29" t="s">
        <v>97</v>
      </c>
      <c r="E15" s="29" t="s">
        <v>101</v>
      </c>
      <c r="F15" s="52" t="s">
        <v>99</v>
      </c>
      <c r="G15" s="28" t="s">
        <v>66</v>
      </c>
      <c r="H15" s="28" t="s">
        <v>66</v>
      </c>
      <c r="I15" s="14"/>
    </row>
    <row r="16" spans="1:9">
      <c r="A16" s="25">
        <v>15</v>
      </c>
      <c r="B16" s="29" t="s">
        <v>56</v>
      </c>
      <c r="C16" s="52" t="s">
        <v>102</v>
      </c>
      <c r="D16" s="29" t="s">
        <v>97</v>
      </c>
      <c r="E16" s="29" t="s">
        <v>103</v>
      </c>
      <c r="F16" s="52" t="s">
        <v>99</v>
      </c>
      <c r="G16" s="28" t="s">
        <v>66</v>
      </c>
      <c r="H16" s="28" t="s">
        <v>66</v>
      </c>
      <c r="I16" s="14"/>
    </row>
    <row r="17" spans="1:9">
      <c r="A17" s="25">
        <v>16</v>
      </c>
      <c r="B17" s="29" t="s">
        <v>56</v>
      </c>
      <c r="C17" s="52" t="s">
        <v>104</v>
      </c>
      <c r="D17" s="29" t="s">
        <v>97</v>
      </c>
      <c r="E17" s="29" t="s">
        <v>105</v>
      </c>
      <c r="F17" s="52" t="s">
        <v>99</v>
      </c>
      <c r="G17" s="28" t="s">
        <v>66</v>
      </c>
      <c r="H17" s="28" t="s">
        <v>66</v>
      </c>
      <c r="I17" s="14"/>
    </row>
    <row r="18" spans="1:9">
      <c r="A18" s="25">
        <v>17</v>
      </c>
      <c r="B18" s="29" t="s">
        <v>56</v>
      </c>
      <c r="C18" s="52" t="s">
        <v>106</v>
      </c>
      <c r="D18" s="29" t="s">
        <v>97</v>
      </c>
      <c r="E18" s="29" t="s">
        <v>107</v>
      </c>
      <c r="F18" s="52" t="s">
        <v>99</v>
      </c>
      <c r="G18" s="28" t="s">
        <v>66</v>
      </c>
      <c r="H18" s="28" t="s">
        <v>66</v>
      </c>
      <c r="I18" s="14"/>
    </row>
    <row r="19" spans="1:9">
      <c r="A19" s="25">
        <v>18</v>
      </c>
      <c r="B19" s="29" t="s">
        <v>56</v>
      </c>
      <c r="C19" s="52" t="s">
        <v>108</v>
      </c>
      <c r="D19" s="29" t="s">
        <v>97</v>
      </c>
      <c r="E19" s="29" t="s">
        <v>109</v>
      </c>
      <c r="F19" s="52" t="s">
        <v>99</v>
      </c>
      <c r="G19" s="28" t="s">
        <v>66</v>
      </c>
      <c r="H19" s="28" t="s">
        <v>66</v>
      </c>
      <c r="I19" s="14"/>
    </row>
    <row r="20" spans="1:9">
      <c r="A20" s="25">
        <v>19</v>
      </c>
      <c r="B20" s="29" t="s">
        <v>56</v>
      </c>
      <c r="C20" s="52" t="s">
        <v>110</v>
      </c>
      <c r="D20" s="29" t="s">
        <v>97</v>
      </c>
      <c r="E20" s="29" t="s">
        <v>111</v>
      </c>
      <c r="F20" s="52" t="s">
        <v>112</v>
      </c>
      <c r="G20" s="28" t="s">
        <v>66</v>
      </c>
      <c r="H20" s="28" t="s">
        <v>66</v>
      </c>
      <c r="I20" s="14"/>
    </row>
    <row r="21" spans="1:9">
      <c r="A21" s="25">
        <v>20</v>
      </c>
      <c r="B21" s="29" t="s">
        <v>56</v>
      </c>
      <c r="C21" s="52" t="s">
        <v>113</v>
      </c>
      <c r="D21" s="29" t="s">
        <v>97</v>
      </c>
      <c r="E21" s="29" t="s">
        <v>114</v>
      </c>
      <c r="F21" s="52" t="s">
        <v>112</v>
      </c>
      <c r="G21" s="28" t="s">
        <v>66</v>
      </c>
      <c r="H21" s="28" t="s">
        <v>66</v>
      </c>
      <c r="I21" s="14"/>
    </row>
    <row r="22" spans="1:9">
      <c r="A22" s="25">
        <v>21</v>
      </c>
      <c r="B22" s="29" t="s">
        <v>56</v>
      </c>
      <c r="C22" s="52" t="s">
        <v>115</v>
      </c>
      <c r="D22" s="29" t="s">
        <v>97</v>
      </c>
      <c r="E22" s="29" t="s">
        <v>116</v>
      </c>
      <c r="F22" s="52" t="s">
        <v>112</v>
      </c>
      <c r="G22" s="28" t="s">
        <v>66</v>
      </c>
      <c r="H22" s="28" t="s">
        <v>66</v>
      </c>
      <c r="I22" s="14"/>
    </row>
    <row r="23" spans="1:9">
      <c r="A23" s="25">
        <v>22</v>
      </c>
      <c r="B23" s="29" t="s">
        <v>56</v>
      </c>
      <c r="C23" s="52" t="s">
        <v>117</v>
      </c>
      <c r="D23" s="29" t="s">
        <v>97</v>
      </c>
      <c r="E23" s="29" t="s">
        <v>118</v>
      </c>
      <c r="F23" s="52" t="s">
        <v>112</v>
      </c>
      <c r="G23" s="28" t="s">
        <v>66</v>
      </c>
      <c r="H23" s="28" t="s">
        <v>66</v>
      </c>
      <c r="I23" s="14"/>
    </row>
    <row r="24" spans="1:9">
      <c r="A24" s="25">
        <v>23</v>
      </c>
      <c r="B24" s="29" t="s">
        <v>56</v>
      </c>
      <c r="C24" s="52" t="s">
        <v>119</v>
      </c>
      <c r="D24" s="29" t="s">
        <v>97</v>
      </c>
      <c r="E24" s="29" t="s">
        <v>120</v>
      </c>
      <c r="F24" s="52" t="s">
        <v>112</v>
      </c>
      <c r="G24" s="28" t="s">
        <v>66</v>
      </c>
      <c r="H24" s="28" t="s">
        <v>66</v>
      </c>
      <c r="I24" s="14"/>
    </row>
    <row r="25" spans="1:9">
      <c r="A25" s="25">
        <v>24</v>
      </c>
      <c r="B25" s="29" t="s">
        <v>56</v>
      </c>
      <c r="C25" s="52" t="s">
        <v>121</v>
      </c>
      <c r="D25" s="29" t="s">
        <v>97</v>
      </c>
      <c r="E25" s="29" t="s">
        <v>122</v>
      </c>
      <c r="F25" s="52" t="s">
        <v>112</v>
      </c>
      <c r="G25" s="28" t="s">
        <v>66</v>
      </c>
      <c r="H25" s="28" t="s">
        <v>66</v>
      </c>
      <c r="I25" s="14"/>
    </row>
    <row r="26" spans="1:9">
      <c r="A26" s="25">
        <v>25</v>
      </c>
      <c r="B26" s="29" t="s">
        <v>56</v>
      </c>
      <c r="C26" s="52" t="s">
        <v>123</v>
      </c>
      <c r="D26" s="29" t="s">
        <v>97</v>
      </c>
      <c r="E26" s="29" t="s">
        <v>124</v>
      </c>
      <c r="F26" s="52" t="s">
        <v>125</v>
      </c>
      <c r="G26" s="28" t="s">
        <v>66</v>
      </c>
      <c r="H26" s="28" t="s">
        <v>66</v>
      </c>
      <c r="I26" s="14"/>
    </row>
    <row r="27" spans="1:9">
      <c r="A27" s="25">
        <v>26</v>
      </c>
      <c r="B27" s="29" t="s">
        <v>56</v>
      </c>
      <c r="C27" s="52" t="s">
        <v>126</v>
      </c>
      <c r="D27" s="29" t="s">
        <v>97</v>
      </c>
      <c r="E27" s="29" t="s">
        <v>127</v>
      </c>
      <c r="F27" s="52" t="s">
        <v>125</v>
      </c>
      <c r="G27" s="28" t="s">
        <v>66</v>
      </c>
      <c r="H27" s="28" t="s">
        <v>66</v>
      </c>
      <c r="I27" s="14"/>
    </row>
    <row r="28" spans="1:9">
      <c r="A28" s="25">
        <v>27</v>
      </c>
      <c r="B28" s="29" t="s">
        <v>56</v>
      </c>
      <c r="C28" s="52" t="s">
        <v>128</v>
      </c>
      <c r="D28" s="29" t="s">
        <v>97</v>
      </c>
      <c r="E28" s="29" t="s">
        <v>129</v>
      </c>
      <c r="F28" s="52" t="s">
        <v>125</v>
      </c>
      <c r="G28" s="28" t="s">
        <v>66</v>
      </c>
      <c r="H28" s="28" t="s">
        <v>66</v>
      </c>
      <c r="I28" s="14"/>
    </row>
    <row r="29" spans="1:9">
      <c r="A29" s="25">
        <v>28</v>
      </c>
      <c r="B29" s="29" t="s">
        <v>56</v>
      </c>
      <c r="C29" s="51" t="s">
        <v>130</v>
      </c>
      <c r="D29" s="29" t="s">
        <v>131</v>
      </c>
      <c r="E29" s="29" t="s">
        <v>132</v>
      </c>
      <c r="F29" s="53" t="s">
        <v>133</v>
      </c>
      <c r="G29" s="28" t="s">
        <v>61</v>
      </c>
      <c r="H29" s="28" t="s">
        <v>66</v>
      </c>
      <c r="I29" s="14"/>
    </row>
    <row r="30" spans="1:9">
      <c r="A30" s="25">
        <v>29</v>
      </c>
      <c r="B30" s="29" t="s">
        <v>56</v>
      </c>
      <c r="C30" s="52" t="s">
        <v>134</v>
      </c>
      <c r="D30" s="29" t="s">
        <v>135</v>
      </c>
      <c r="E30" s="29" t="s">
        <v>136</v>
      </c>
      <c r="F30" s="53" t="s">
        <v>133</v>
      </c>
      <c r="G30" s="28" t="s">
        <v>61</v>
      </c>
      <c r="H30" s="28" t="s">
        <v>66</v>
      </c>
      <c r="I30" s="14"/>
    </row>
    <row r="31" spans="1:9">
      <c r="A31" s="25">
        <v>30</v>
      </c>
      <c r="B31" s="29" t="s">
        <v>56</v>
      </c>
      <c r="C31" s="51" t="s">
        <v>137</v>
      </c>
      <c r="D31" s="29" t="s">
        <v>138</v>
      </c>
      <c r="E31" s="29" t="s">
        <v>139</v>
      </c>
      <c r="F31" s="52" t="s">
        <v>140</v>
      </c>
      <c r="G31" s="28" t="s">
        <v>61</v>
      </c>
      <c r="H31" s="28" t="s">
        <v>66</v>
      </c>
      <c r="I31" s="14"/>
    </row>
    <row r="32" spans="1:9">
      <c r="A32" s="25">
        <v>31</v>
      </c>
      <c r="B32" s="29" t="s">
        <v>56</v>
      </c>
      <c r="C32" s="52" t="s">
        <v>141</v>
      </c>
      <c r="D32" s="29" t="s">
        <v>142</v>
      </c>
      <c r="E32" s="29" t="s">
        <v>143</v>
      </c>
      <c r="F32" s="52" t="s">
        <v>144</v>
      </c>
      <c r="G32" s="28" t="s">
        <v>61</v>
      </c>
      <c r="H32" s="28" t="s">
        <v>61</v>
      </c>
      <c r="I32" s="14"/>
    </row>
    <row r="33" spans="1:9">
      <c r="A33" s="25">
        <v>32</v>
      </c>
      <c r="B33" s="29" t="s">
        <v>145</v>
      </c>
      <c r="C33" s="51" t="s">
        <v>146</v>
      </c>
      <c r="D33" s="29" t="s">
        <v>147</v>
      </c>
      <c r="E33" s="29" t="s">
        <v>148</v>
      </c>
      <c r="F33" s="52" t="s">
        <v>149</v>
      </c>
      <c r="G33" s="28" t="s">
        <v>61</v>
      </c>
      <c r="H33" s="28" t="s">
        <v>61</v>
      </c>
      <c r="I33" s="14"/>
    </row>
    <row r="34" spans="1:9">
      <c r="A34" s="25">
        <v>33</v>
      </c>
      <c r="B34" s="29" t="s">
        <v>145</v>
      </c>
      <c r="C34" s="51" t="s">
        <v>150</v>
      </c>
      <c r="D34" s="29" t="s">
        <v>151</v>
      </c>
      <c r="E34" s="29" t="s">
        <v>152</v>
      </c>
      <c r="F34" s="52" t="s">
        <v>153</v>
      </c>
      <c r="G34" s="28" t="s">
        <v>61</v>
      </c>
      <c r="H34" s="28" t="s">
        <v>61</v>
      </c>
      <c r="I34" s="14"/>
    </row>
    <row r="35" spans="1:9">
      <c r="A35" s="25">
        <v>34</v>
      </c>
      <c r="B35" s="29" t="s">
        <v>145</v>
      </c>
      <c r="C35" s="52" t="s">
        <v>154</v>
      </c>
      <c r="D35" s="29" t="s">
        <v>155</v>
      </c>
      <c r="E35" s="29" t="s">
        <v>156</v>
      </c>
      <c r="F35" s="52" t="s">
        <v>149</v>
      </c>
      <c r="G35" s="28" t="s">
        <v>61</v>
      </c>
      <c r="H35" s="28" t="s">
        <v>61</v>
      </c>
      <c r="I35" s="14"/>
    </row>
    <row r="36" spans="1:9">
      <c r="A36" s="25">
        <v>35</v>
      </c>
      <c r="B36" s="29" t="s">
        <v>145</v>
      </c>
      <c r="C36" s="52" t="s">
        <v>157</v>
      </c>
      <c r="D36" s="29" t="s">
        <v>158</v>
      </c>
      <c r="E36" s="29" t="s">
        <v>159</v>
      </c>
      <c r="F36" s="52" t="s">
        <v>149</v>
      </c>
      <c r="G36" s="28" t="s">
        <v>66</v>
      </c>
      <c r="H36" s="28" t="s">
        <v>66</v>
      </c>
      <c r="I36" s="14"/>
    </row>
    <row r="37" spans="1:9">
      <c r="A37" s="25">
        <v>36</v>
      </c>
      <c r="B37" s="29" t="s">
        <v>145</v>
      </c>
      <c r="C37" s="52" t="s">
        <v>160</v>
      </c>
      <c r="D37" s="29" t="s">
        <v>161</v>
      </c>
      <c r="E37" s="29" t="s">
        <v>162</v>
      </c>
      <c r="F37" s="52" t="s">
        <v>149</v>
      </c>
      <c r="G37" s="28" t="s">
        <v>66</v>
      </c>
      <c r="H37" s="28" t="s">
        <v>66</v>
      </c>
      <c r="I37" s="14"/>
    </row>
    <row r="38" spans="1:9">
      <c r="A38" s="25">
        <v>37</v>
      </c>
      <c r="B38" s="29" t="s">
        <v>145</v>
      </c>
      <c r="C38" s="52" t="s">
        <v>163</v>
      </c>
      <c r="D38" s="29" t="s">
        <v>164</v>
      </c>
      <c r="E38" s="29" t="s">
        <v>165</v>
      </c>
      <c r="F38" s="52" t="s">
        <v>144</v>
      </c>
      <c r="G38" s="28" t="s">
        <v>61</v>
      </c>
      <c r="H38" s="28" t="s">
        <v>61</v>
      </c>
      <c r="I38" s="14"/>
    </row>
    <row r="39" spans="1:9">
      <c r="A39" s="25">
        <v>38</v>
      </c>
      <c r="B39" s="29" t="s">
        <v>145</v>
      </c>
      <c r="C39" s="52" t="s">
        <v>166</v>
      </c>
      <c r="D39" s="29" t="s">
        <v>167</v>
      </c>
      <c r="E39" s="29" t="s">
        <v>168</v>
      </c>
      <c r="F39" s="52" t="s">
        <v>144</v>
      </c>
      <c r="G39" s="28" t="s">
        <v>61</v>
      </c>
      <c r="H39" s="28" t="s">
        <v>61</v>
      </c>
      <c r="I39" s="14"/>
    </row>
    <row r="40" spans="1:9">
      <c r="A40" s="25">
        <v>39</v>
      </c>
      <c r="B40" s="29" t="s">
        <v>145</v>
      </c>
      <c r="C40" s="52" t="s">
        <v>169</v>
      </c>
      <c r="D40" s="29" t="s">
        <v>170</v>
      </c>
      <c r="E40" s="29" t="s">
        <v>171</v>
      </c>
      <c r="F40" s="52" t="s">
        <v>73</v>
      </c>
      <c r="G40" s="28" t="s">
        <v>61</v>
      </c>
      <c r="H40" s="28" t="s">
        <v>61</v>
      </c>
      <c r="I40" s="14"/>
    </row>
    <row r="41" spans="1:9">
      <c r="A41" s="25">
        <v>40</v>
      </c>
      <c r="B41" s="29" t="s">
        <v>145</v>
      </c>
      <c r="C41" s="52" t="s">
        <v>172</v>
      </c>
      <c r="D41" s="29" t="s">
        <v>173</v>
      </c>
      <c r="E41" s="29" t="s">
        <v>174</v>
      </c>
      <c r="F41" s="52" t="s">
        <v>73</v>
      </c>
      <c r="G41" s="28" t="s">
        <v>61</v>
      </c>
      <c r="H41" s="28" t="s">
        <v>61</v>
      </c>
      <c r="I41" s="14"/>
    </row>
    <row r="42" spans="1:9">
      <c r="A42" s="25">
        <v>41</v>
      </c>
      <c r="B42" s="29" t="s">
        <v>145</v>
      </c>
      <c r="C42" s="52" t="s">
        <v>175</v>
      </c>
      <c r="D42" s="29" t="s">
        <v>176</v>
      </c>
      <c r="E42" s="29" t="s">
        <v>177</v>
      </c>
      <c r="F42" s="54" t="s">
        <v>178</v>
      </c>
      <c r="G42" s="28" t="s">
        <v>61</v>
      </c>
      <c r="H42" s="28" t="s">
        <v>61</v>
      </c>
      <c r="I42" s="14"/>
    </row>
    <row r="43" spans="1:9">
      <c r="A43" s="25">
        <v>42</v>
      </c>
      <c r="B43" s="29" t="s">
        <v>145</v>
      </c>
      <c r="C43" s="52" t="s">
        <v>179</v>
      </c>
      <c r="D43" s="29" t="s">
        <v>180</v>
      </c>
      <c r="E43" s="29" t="s">
        <v>181</v>
      </c>
      <c r="F43" s="54" t="s">
        <v>182</v>
      </c>
      <c r="G43" s="28" t="s">
        <v>61</v>
      </c>
      <c r="H43" s="28" t="s">
        <v>61</v>
      </c>
      <c r="I43" s="14"/>
    </row>
    <row r="44" spans="1:9">
      <c r="A44" s="25">
        <v>43</v>
      </c>
      <c r="B44" s="29" t="s">
        <v>145</v>
      </c>
      <c r="C44" s="52" t="s">
        <v>183</v>
      </c>
      <c r="D44" s="29" t="s">
        <v>184</v>
      </c>
      <c r="E44" s="29" t="s">
        <v>185</v>
      </c>
      <c r="F44" s="54" t="s">
        <v>186</v>
      </c>
      <c r="G44" s="28" t="s">
        <v>61</v>
      </c>
      <c r="H44" s="28" t="s">
        <v>61</v>
      </c>
      <c r="I44" s="14"/>
    </row>
    <row r="45" spans="1:9">
      <c r="A45" s="25">
        <v>44</v>
      </c>
      <c r="B45" s="29" t="s">
        <v>145</v>
      </c>
      <c r="C45" s="51" t="s">
        <v>187</v>
      </c>
      <c r="D45" s="29" t="s">
        <v>188</v>
      </c>
      <c r="E45" s="29" t="s">
        <v>189</v>
      </c>
      <c r="F45" s="54" t="s">
        <v>182</v>
      </c>
      <c r="G45" s="28" t="s">
        <v>61</v>
      </c>
      <c r="H45" s="28" t="s">
        <v>66</v>
      </c>
      <c r="I45" s="14"/>
    </row>
    <row r="46" spans="1:9">
      <c r="A46" s="25">
        <v>45</v>
      </c>
      <c r="B46" s="29" t="s">
        <v>145</v>
      </c>
      <c r="C46" s="51" t="s">
        <v>190</v>
      </c>
      <c r="D46" s="29" t="s">
        <v>188</v>
      </c>
      <c r="E46" s="29" t="s">
        <v>191</v>
      </c>
      <c r="F46" s="54" t="s">
        <v>186</v>
      </c>
      <c r="G46" s="28" t="s">
        <v>61</v>
      </c>
      <c r="H46" s="28" t="s">
        <v>66</v>
      </c>
      <c r="I46" s="14"/>
    </row>
    <row r="47" spans="1:9">
      <c r="A47" s="25">
        <v>46</v>
      </c>
      <c r="B47" s="29" t="s">
        <v>145</v>
      </c>
      <c r="C47" s="51" t="s">
        <v>192</v>
      </c>
      <c r="D47" s="29" t="s">
        <v>193</v>
      </c>
      <c r="E47" s="29" t="s">
        <v>194</v>
      </c>
      <c r="F47" s="52" t="s">
        <v>73</v>
      </c>
      <c r="G47" s="28" t="s">
        <v>61</v>
      </c>
      <c r="H47" s="28" t="s">
        <v>66</v>
      </c>
      <c r="I47" s="14"/>
    </row>
    <row r="48" spans="1:9">
      <c r="A48" s="25">
        <v>47</v>
      </c>
      <c r="B48" s="29" t="s">
        <v>195</v>
      </c>
      <c r="C48" s="52" t="s">
        <v>196</v>
      </c>
      <c r="D48" s="29" t="s">
        <v>197</v>
      </c>
      <c r="E48" s="29" t="s">
        <v>198</v>
      </c>
      <c r="F48" s="52" t="s">
        <v>77</v>
      </c>
      <c r="G48" s="28" t="s">
        <v>61</v>
      </c>
      <c r="H48" s="28" t="s">
        <v>61</v>
      </c>
      <c r="I48" s="14"/>
    </row>
    <row r="49" spans="1:9">
      <c r="A49" s="25">
        <v>48</v>
      </c>
      <c r="B49" s="29" t="s">
        <v>195</v>
      </c>
      <c r="C49" s="52" t="s">
        <v>199</v>
      </c>
      <c r="D49" s="29" t="s">
        <v>200</v>
      </c>
      <c r="E49" s="29" t="s">
        <v>201</v>
      </c>
      <c r="F49" s="52" t="s">
        <v>77</v>
      </c>
      <c r="G49" s="28" t="s">
        <v>61</v>
      </c>
      <c r="H49" s="28" t="s">
        <v>61</v>
      </c>
      <c r="I49" s="14"/>
    </row>
    <row r="50" spans="1:9">
      <c r="A50" s="25">
        <v>49</v>
      </c>
      <c r="B50" s="29" t="s">
        <v>195</v>
      </c>
      <c r="C50" s="52" t="s">
        <v>202</v>
      </c>
      <c r="D50" s="29" t="s">
        <v>203</v>
      </c>
      <c r="E50" s="29" t="s">
        <v>204</v>
      </c>
      <c r="F50" s="52" t="s">
        <v>77</v>
      </c>
      <c r="G50" s="28" t="s">
        <v>61</v>
      </c>
      <c r="H50" s="28" t="s">
        <v>61</v>
      </c>
      <c r="I50" s="14"/>
    </row>
    <row r="51" spans="1:9">
      <c r="A51" s="25">
        <v>50</v>
      </c>
      <c r="B51" s="29" t="s">
        <v>195</v>
      </c>
      <c r="C51" s="52" t="s">
        <v>205</v>
      </c>
      <c r="D51" s="29" t="s">
        <v>206</v>
      </c>
      <c r="E51" s="29" t="s">
        <v>207</v>
      </c>
      <c r="F51" s="52" t="s">
        <v>77</v>
      </c>
      <c r="G51" s="28" t="s">
        <v>61</v>
      </c>
      <c r="H51" s="28" t="s">
        <v>61</v>
      </c>
      <c r="I51" s="14"/>
    </row>
    <row r="52" spans="1:9">
      <c r="A52" s="25">
        <v>51</v>
      </c>
      <c r="B52" s="29" t="s">
        <v>195</v>
      </c>
      <c r="C52" s="52" t="s">
        <v>208</v>
      </c>
      <c r="D52" s="29" t="s">
        <v>209</v>
      </c>
      <c r="E52" s="29" t="s">
        <v>210</v>
      </c>
      <c r="F52" s="52" t="s">
        <v>211</v>
      </c>
      <c r="G52" s="28" t="s">
        <v>66</v>
      </c>
      <c r="H52" s="28" t="s">
        <v>66</v>
      </c>
      <c r="I52" s="14"/>
    </row>
    <row r="53" spans="1:9">
      <c r="A53" s="25">
        <v>52</v>
      </c>
      <c r="B53" s="29" t="s">
        <v>195</v>
      </c>
      <c r="C53" s="52" t="s">
        <v>212</v>
      </c>
      <c r="D53" s="29" t="s">
        <v>213</v>
      </c>
      <c r="E53" s="29" t="s">
        <v>214</v>
      </c>
      <c r="F53" s="52" t="s">
        <v>211</v>
      </c>
      <c r="G53" s="28" t="s">
        <v>66</v>
      </c>
      <c r="H53" s="28" t="s">
        <v>66</v>
      </c>
      <c r="I53" s="14"/>
    </row>
    <row r="54" spans="1:9">
      <c r="A54" s="25">
        <v>53</v>
      </c>
      <c r="B54" s="29" t="s">
        <v>195</v>
      </c>
      <c r="C54" s="52" t="s">
        <v>215</v>
      </c>
      <c r="D54" s="29" t="s">
        <v>216</v>
      </c>
      <c r="E54" s="29" t="s">
        <v>217</v>
      </c>
      <c r="F54" s="52" t="s">
        <v>83</v>
      </c>
      <c r="G54" s="28" t="s">
        <v>66</v>
      </c>
      <c r="H54" s="28" t="s">
        <v>66</v>
      </c>
      <c r="I54" s="14"/>
    </row>
    <row r="55" spans="1:9">
      <c r="A55" s="25">
        <v>54</v>
      </c>
      <c r="B55" s="29" t="s">
        <v>195</v>
      </c>
      <c r="C55" s="52" t="s">
        <v>218</v>
      </c>
      <c r="D55" s="29" t="s">
        <v>219</v>
      </c>
      <c r="E55" s="29" t="s">
        <v>220</v>
      </c>
      <c r="F55" s="52" t="s">
        <v>83</v>
      </c>
      <c r="G55" s="28" t="s">
        <v>66</v>
      </c>
      <c r="H55" s="28" t="s">
        <v>66</v>
      </c>
      <c r="I55" s="14"/>
    </row>
    <row r="56" spans="1:9">
      <c r="A56" s="25">
        <v>55</v>
      </c>
      <c r="B56" s="29" t="s">
        <v>195</v>
      </c>
      <c r="C56" s="52" t="s">
        <v>221</v>
      </c>
      <c r="D56" s="29" t="s">
        <v>222</v>
      </c>
      <c r="E56" s="29" t="s">
        <v>223</v>
      </c>
      <c r="F56" s="52" t="s">
        <v>83</v>
      </c>
      <c r="G56" s="28" t="s">
        <v>66</v>
      </c>
      <c r="H56" s="28" t="s">
        <v>66</v>
      </c>
      <c r="I56" s="14"/>
    </row>
    <row r="57" spans="1:9">
      <c r="A57" s="25">
        <v>56</v>
      </c>
      <c r="B57" s="29" t="s">
        <v>195</v>
      </c>
      <c r="C57" s="52" t="s">
        <v>224</v>
      </c>
      <c r="D57" s="29" t="s">
        <v>225</v>
      </c>
      <c r="E57" s="29" t="s">
        <v>226</v>
      </c>
      <c r="F57" s="52" t="s">
        <v>83</v>
      </c>
      <c r="G57" s="28" t="s">
        <v>66</v>
      </c>
      <c r="H57" s="28" t="s">
        <v>66</v>
      </c>
      <c r="I57" s="14"/>
    </row>
    <row r="58" spans="1:9">
      <c r="A58" s="25">
        <v>57</v>
      </c>
      <c r="B58" s="29" t="s">
        <v>195</v>
      </c>
      <c r="C58" s="52" t="s">
        <v>227</v>
      </c>
      <c r="D58" s="29" t="s">
        <v>228</v>
      </c>
      <c r="E58" s="29" t="s">
        <v>229</v>
      </c>
      <c r="F58" s="52" t="s">
        <v>83</v>
      </c>
      <c r="G58" s="28" t="s">
        <v>66</v>
      </c>
      <c r="H58" s="28" t="s">
        <v>66</v>
      </c>
      <c r="I58" s="14"/>
    </row>
    <row r="59" spans="1:9">
      <c r="A59" s="25">
        <v>58</v>
      </c>
      <c r="B59" s="29" t="s">
        <v>195</v>
      </c>
      <c r="C59" s="52" t="s">
        <v>230</v>
      </c>
      <c r="D59" s="29" t="s">
        <v>231</v>
      </c>
      <c r="E59" s="29" t="s">
        <v>232</v>
      </c>
      <c r="F59" s="52" t="s">
        <v>83</v>
      </c>
      <c r="G59" s="28" t="s">
        <v>66</v>
      </c>
      <c r="H59" s="28" t="s">
        <v>66</v>
      </c>
      <c r="I59" s="14"/>
    </row>
    <row r="60" spans="1:9">
      <c r="A60" s="25">
        <v>59</v>
      </c>
      <c r="B60" s="29" t="s">
        <v>195</v>
      </c>
      <c r="C60" s="52" t="s">
        <v>233</v>
      </c>
      <c r="D60" s="29" t="s">
        <v>234</v>
      </c>
      <c r="E60" s="29" t="s">
        <v>235</v>
      </c>
      <c r="F60" s="52" t="s">
        <v>211</v>
      </c>
      <c r="G60" s="28" t="s">
        <v>66</v>
      </c>
      <c r="H60" s="28" t="s">
        <v>66</v>
      </c>
      <c r="I60" s="14"/>
    </row>
    <row r="61" spans="1:9">
      <c r="A61" s="25">
        <v>60</v>
      </c>
      <c r="B61" s="29" t="s">
        <v>195</v>
      </c>
      <c r="C61" s="52" t="s">
        <v>236</v>
      </c>
      <c r="D61" s="29" t="s">
        <v>237</v>
      </c>
      <c r="E61" s="29" t="s">
        <v>238</v>
      </c>
      <c r="F61" s="52" t="s">
        <v>211</v>
      </c>
      <c r="G61" s="28" t="s">
        <v>66</v>
      </c>
      <c r="H61" s="28" t="s">
        <v>66</v>
      </c>
      <c r="I61" s="14"/>
    </row>
    <row r="62" spans="1:9">
      <c r="A62" s="25">
        <v>61</v>
      </c>
      <c r="B62" s="29" t="s">
        <v>195</v>
      </c>
      <c r="C62" s="52" t="s">
        <v>239</v>
      </c>
      <c r="D62" s="29" t="s">
        <v>240</v>
      </c>
      <c r="E62" s="29" t="s">
        <v>241</v>
      </c>
      <c r="F62" s="52" t="s">
        <v>211</v>
      </c>
      <c r="G62" s="28" t="s">
        <v>66</v>
      </c>
      <c r="H62" s="28" t="s">
        <v>66</v>
      </c>
      <c r="I62" s="14"/>
    </row>
    <row r="63" spans="1:9">
      <c r="A63" s="25">
        <v>62</v>
      </c>
      <c r="B63" s="29" t="s">
        <v>195</v>
      </c>
      <c r="C63" s="52" t="s">
        <v>242</v>
      </c>
      <c r="D63" s="29" t="s">
        <v>243</v>
      </c>
      <c r="E63" s="29" t="s">
        <v>244</v>
      </c>
      <c r="F63" s="52" t="s">
        <v>211</v>
      </c>
      <c r="G63" s="28" t="s">
        <v>66</v>
      </c>
      <c r="H63" s="28" t="s">
        <v>66</v>
      </c>
      <c r="I63" s="14"/>
    </row>
    <row r="64" spans="1:9">
      <c r="A64" s="25">
        <v>63</v>
      </c>
      <c r="B64" s="29" t="s">
        <v>195</v>
      </c>
      <c r="C64" s="52" t="s">
        <v>245</v>
      </c>
      <c r="D64" s="29" t="s">
        <v>246</v>
      </c>
      <c r="E64" s="29" t="s">
        <v>247</v>
      </c>
      <c r="F64" s="52" t="s">
        <v>211</v>
      </c>
      <c r="G64" s="28" t="s">
        <v>66</v>
      </c>
      <c r="H64" s="28" t="s">
        <v>66</v>
      </c>
      <c r="I64" s="14"/>
    </row>
    <row r="65" spans="1:9">
      <c r="A65" s="25">
        <v>64</v>
      </c>
      <c r="B65" s="29" t="s">
        <v>195</v>
      </c>
      <c r="C65" s="52" t="s">
        <v>248</v>
      </c>
      <c r="D65" s="29" t="s">
        <v>249</v>
      </c>
      <c r="E65" s="29" t="s">
        <v>250</v>
      </c>
      <c r="F65" s="52" t="s">
        <v>77</v>
      </c>
      <c r="G65" s="28" t="s">
        <v>66</v>
      </c>
      <c r="H65" s="28" t="s">
        <v>66</v>
      </c>
      <c r="I65" s="14"/>
    </row>
    <row r="66" spans="1:9">
      <c r="A66" s="25">
        <v>65</v>
      </c>
      <c r="B66" s="29" t="s">
        <v>195</v>
      </c>
      <c r="C66" s="52" t="s">
        <v>251</v>
      </c>
      <c r="D66" s="29" t="s">
        <v>252</v>
      </c>
      <c r="E66" s="29" t="s">
        <v>253</v>
      </c>
      <c r="F66" s="52" t="s">
        <v>83</v>
      </c>
      <c r="G66" s="28" t="s">
        <v>66</v>
      </c>
      <c r="H66" s="28" t="s">
        <v>66</v>
      </c>
      <c r="I66" s="14"/>
    </row>
    <row r="67" spans="1:9">
      <c r="A67" s="25">
        <v>66</v>
      </c>
      <c r="B67" s="29" t="s">
        <v>195</v>
      </c>
      <c r="C67" s="52" t="s">
        <v>254</v>
      </c>
      <c r="D67" s="29" t="s">
        <v>255</v>
      </c>
      <c r="E67" s="29" t="s">
        <v>256</v>
      </c>
      <c r="F67" s="52" t="s">
        <v>211</v>
      </c>
      <c r="G67" s="28" t="s">
        <v>66</v>
      </c>
      <c r="H67" s="28" t="s">
        <v>66</v>
      </c>
      <c r="I67" s="14"/>
    </row>
    <row r="68" spans="1:9">
      <c r="A68" s="25">
        <v>67</v>
      </c>
      <c r="B68" s="29" t="s">
        <v>195</v>
      </c>
      <c r="C68" s="52" t="s">
        <v>257</v>
      </c>
      <c r="D68" s="29" t="s">
        <v>258</v>
      </c>
      <c r="E68" s="29" t="s">
        <v>259</v>
      </c>
      <c r="F68" s="52" t="s">
        <v>211</v>
      </c>
      <c r="G68" s="28" t="s">
        <v>66</v>
      </c>
      <c r="H68" s="28" t="s">
        <v>66</v>
      </c>
      <c r="I68" s="14"/>
    </row>
    <row r="69" spans="1:9">
      <c r="A69" s="25">
        <v>68</v>
      </c>
      <c r="B69" s="29" t="s">
        <v>195</v>
      </c>
      <c r="C69" s="52" t="s">
        <v>260</v>
      </c>
      <c r="D69" s="29" t="s">
        <v>261</v>
      </c>
      <c r="E69" s="29" t="s">
        <v>262</v>
      </c>
      <c r="F69" s="52" t="s">
        <v>211</v>
      </c>
      <c r="G69" s="28" t="s">
        <v>66</v>
      </c>
      <c r="H69" s="28" t="s">
        <v>66</v>
      </c>
      <c r="I69" s="14"/>
    </row>
    <row r="70" spans="1:9">
      <c r="A70" s="25">
        <v>69</v>
      </c>
      <c r="B70" s="29" t="s">
        <v>195</v>
      </c>
      <c r="C70" s="52" t="s">
        <v>263</v>
      </c>
      <c r="D70" s="29" t="s">
        <v>264</v>
      </c>
      <c r="E70" s="29" t="s">
        <v>265</v>
      </c>
      <c r="F70" s="52" t="s">
        <v>211</v>
      </c>
      <c r="G70" s="28" t="s">
        <v>66</v>
      </c>
      <c r="H70" s="28" t="s">
        <v>66</v>
      </c>
      <c r="I70" s="14"/>
    </row>
    <row r="71" spans="1:9">
      <c r="A71" s="25">
        <v>70</v>
      </c>
      <c r="B71" s="29" t="s">
        <v>266</v>
      </c>
      <c r="C71" s="52" t="s">
        <v>267</v>
      </c>
      <c r="D71" s="29" t="s">
        <v>268</v>
      </c>
      <c r="E71" s="29" t="s">
        <v>269</v>
      </c>
      <c r="F71" s="52" t="s">
        <v>99</v>
      </c>
      <c r="G71" s="28" t="s">
        <v>61</v>
      </c>
      <c r="H71" s="28" t="s">
        <v>66</v>
      </c>
      <c r="I71" s="14"/>
    </row>
    <row r="72" spans="1:9">
      <c r="A72" s="25">
        <v>71</v>
      </c>
      <c r="B72" s="29" t="s">
        <v>266</v>
      </c>
      <c r="C72" s="52" t="s">
        <v>270</v>
      </c>
      <c r="D72" s="29" t="s">
        <v>268</v>
      </c>
      <c r="E72" s="29" t="s">
        <v>271</v>
      </c>
      <c r="F72" s="52" t="s">
        <v>99</v>
      </c>
      <c r="G72" s="28" t="s">
        <v>61</v>
      </c>
      <c r="H72" s="28" t="s">
        <v>66</v>
      </c>
      <c r="I72" s="14"/>
    </row>
    <row r="73" spans="1:9">
      <c r="A73" s="25">
        <v>72</v>
      </c>
      <c r="B73" s="29" t="s">
        <v>266</v>
      </c>
      <c r="C73" s="52" t="s">
        <v>272</v>
      </c>
      <c r="D73" s="29" t="s">
        <v>268</v>
      </c>
      <c r="E73" s="29" t="s">
        <v>273</v>
      </c>
      <c r="F73" s="52" t="s">
        <v>99</v>
      </c>
      <c r="G73" s="28" t="s">
        <v>61</v>
      </c>
      <c r="H73" s="28" t="s">
        <v>66</v>
      </c>
      <c r="I73" s="14"/>
    </row>
    <row r="74" spans="1:9">
      <c r="A74" s="25">
        <v>73</v>
      </c>
      <c r="B74" s="29" t="s">
        <v>266</v>
      </c>
      <c r="C74" s="52" t="s">
        <v>274</v>
      </c>
      <c r="D74" s="29" t="s">
        <v>268</v>
      </c>
      <c r="E74" s="29" t="s">
        <v>275</v>
      </c>
      <c r="F74" s="52" t="s">
        <v>99</v>
      </c>
      <c r="G74" s="28" t="s">
        <v>61</v>
      </c>
      <c r="H74" s="28" t="s">
        <v>66</v>
      </c>
      <c r="I74" s="14"/>
    </row>
    <row r="75" spans="1:9">
      <c r="A75" s="25">
        <v>74</v>
      </c>
      <c r="B75" s="29" t="s">
        <v>266</v>
      </c>
      <c r="C75" s="52" t="s">
        <v>276</v>
      </c>
      <c r="D75" s="29" t="s">
        <v>277</v>
      </c>
      <c r="E75" s="29" t="s">
        <v>278</v>
      </c>
      <c r="F75" s="52" t="s">
        <v>77</v>
      </c>
      <c r="G75" s="28" t="s">
        <v>61</v>
      </c>
      <c r="H75" s="28" t="s">
        <v>66</v>
      </c>
      <c r="I75" s="14"/>
    </row>
    <row r="76" spans="1:9">
      <c r="A76" s="25">
        <v>75</v>
      </c>
      <c r="B76" s="29" t="s">
        <v>266</v>
      </c>
      <c r="C76" s="52" t="s">
        <v>279</v>
      </c>
      <c r="D76" s="29" t="s">
        <v>280</v>
      </c>
      <c r="E76" s="29" t="s">
        <v>281</v>
      </c>
      <c r="F76" s="52" t="s">
        <v>77</v>
      </c>
      <c r="G76" s="28" t="s">
        <v>61</v>
      </c>
      <c r="H76" s="28" t="s">
        <v>66</v>
      </c>
      <c r="I76" s="14"/>
    </row>
    <row r="77" spans="1:9">
      <c r="A77" s="25">
        <v>76</v>
      </c>
      <c r="B77" s="29" t="s">
        <v>266</v>
      </c>
      <c r="C77" s="52" t="s">
        <v>282</v>
      </c>
      <c r="D77" s="29" t="s">
        <v>283</v>
      </c>
      <c r="E77" s="29" t="s">
        <v>284</v>
      </c>
      <c r="F77" s="52" t="s">
        <v>125</v>
      </c>
      <c r="G77" s="28" t="s">
        <v>61</v>
      </c>
      <c r="H77" s="28" t="s">
        <v>66</v>
      </c>
      <c r="I77" s="14"/>
    </row>
    <row r="78" spans="1:9">
      <c r="A78" s="25">
        <v>77</v>
      </c>
      <c r="B78" s="29" t="s">
        <v>266</v>
      </c>
      <c r="C78" s="52" t="s">
        <v>285</v>
      </c>
      <c r="D78" s="29" t="s">
        <v>283</v>
      </c>
      <c r="E78" s="29" t="s">
        <v>286</v>
      </c>
      <c r="F78" s="52" t="s">
        <v>125</v>
      </c>
      <c r="G78" s="28" t="s">
        <v>61</v>
      </c>
      <c r="H78" s="28" t="s">
        <v>66</v>
      </c>
      <c r="I78" s="14"/>
    </row>
    <row r="79" spans="1:9">
      <c r="A79" s="25">
        <v>78</v>
      </c>
      <c r="B79" s="29" t="s">
        <v>266</v>
      </c>
      <c r="C79" s="52" t="s">
        <v>287</v>
      </c>
      <c r="D79" s="29" t="s">
        <v>288</v>
      </c>
      <c r="E79" s="29" t="s">
        <v>289</v>
      </c>
      <c r="F79" s="52" t="s">
        <v>211</v>
      </c>
      <c r="G79" s="28" t="s">
        <v>61</v>
      </c>
      <c r="H79" s="28" t="s">
        <v>66</v>
      </c>
      <c r="I79" s="14"/>
    </row>
    <row r="80" spans="1:9">
      <c r="A80" s="25">
        <v>79</v>
      </c>
      <c r="B80" s="29" t="s">
        <v>266</v>
      </c>
      <c r="C80" s="52" t="s">
        <v>290</v>
      </c>
      <c r="D80" s="29" t="s">
        <v>291</v>
      </c>
      <c r="E80" s="29" t="s">
        <v>292</v>
      </c>
      <c r="F80" s="52" t="s">
        <v>112</v>
      </c>
      <c r="G80" s="28" t="s">
        <v>61</v>
      </c>
      <c r="H80" s="28" t="s">
        <v>66</v>
      </c>
      <c r="I80" s="14"/>
    </row>
    <row r="81" spans="1:9">
      <c r="A81" s="25">
        <v>80</v>
      </c>
      <c r="B81" s="29" t="s">
        <v>266</v>
      </c>
      <c r="C81" s="52" t="s">
        <v>293</v>
      </c>
      <c r="D81" s="29" t="s">
        <v>291</v>
      </c>
      <c r="E81" s="29" t="s">
        <v>294</v>
      </c>
      <c r="F81" s="52" t="s">
        <v>112</v>
      </c>
      <c r="G81" s="28" t="s">
        <v>61</v>
      </c>
      <c r="H81" s="28" t="s">
        <v>66</v>
      </c>
      <c r="I81" s="14"/>
    </row>
    <row r="82" spans="1:9">
      <c r="A82" s="25">
        <v>81</v>
      </c>
      <c r="B82" s="29" t="s">
        <v>266</v>
      </c>
      <c r="C82" s="52" t="s">
        <v>295</v>
      </c>
      <c r="D82" s="29" t="s">
        <v>291</v>
      </c>
      <c r="E82" s="29" t="s">
        <v>296</v>
      </c>
      <c r="F82" s="52" t="s">
        <v>112</v>
      </c>
      <c r="G82" s="28" t="s">
        <v>61</v>
      </c>
      <c r="H82" s="28" t="s">
        <v>66</v>
      </c>
      <c r="I82" s="14"/>
    </row>
    <row r="83" spans="1:9">
      <c r="A83" s="25">
        <v>82</v>
      </c>
      <c r="B83" s="29" t="s">
        <v>266</v>
      </c>
      <c r="C83" s="52" t="s">
        <v>297</v>
      </c>
      <c r="D83" s="29" t="s">
        <v>291</v>
      </c>
      <c r="E83" s="29" t="s">
        <v>298</v>
      </c>
      <c r="F83" s="52" t="s">
        <v>112</v>
      </c>
      <c r="G83" s="28" t="s">
        <v>61</v>
      </c>
      <c r="H83" s="28" t="s">
        <v>66</v>
      </c>
      <c r="I83" s="14"/>
    </row>
    <row r="84" spans="1:9">
      <c r="A84" s="25">
        <v>83</v>
      </c>
      <c r="B84" s="29" t="s">
        <v>266</v>
      </c>
      <c r="C84" s="52" t="s">
        <v>299</v>
      </c>
      <c r="D84" s="29" t="s">
        <v>300</v>
      </c>
      <c r="E84" s="29" t="s">
        <v>301</v>
      </c>
      <c r="F84" s="52" t="s">
        <v>99</v>
      </c>
      <c r="G84" s="28" t="s">
        <v>61</v>
      </c>
      <c r="H84" s="28" t="s">
        <v>66</v>
      </c>
      <c r="I84" s="14"/>
    </row>
    <row r="85" spans="1:9">
      <c r="A85" s="25">
        <v>84</v>
      </c>
      <c r="B85" s="29" t="s">
        <v>266</v>
      </c>
      <c r="C85" s="52" t="s">
        <v>302</v>
      </c>
      <c r="D85" s="29" t="s">
        <v>300</v>
      </c>
      <c r="E85" s="29" t="s">
        <v>303</v>
      </c>
      <c r="F85" s="52" t="s">
        <v>99</v>
      </c>
      <c r="G85" s="28" t="s">
        <v>61</v>
      </c>
      <c r="H85" s="28" t="s">
        <v>66</v>
      </c>
      <c r="I85" s="14"/>
    </row>
    <row r="86" spans="1:9">
      <c r="A86" s="25">
        <v>85</v>
      </c>
      <c r="B86" s="29" t="s">
        <v>266</v>
      </c>
      <c r="C86" s="52" t="s">
        <v>304</v>
      </c>
      <c r="D86" s="29" t="s">
        <v>305</v>
      </c>
      <c r="E86" s="29" t="s">
        <v>306</v>
      </c>
      <c r="F86" s="52" t="s">
        <v>99</v>
      </c>
      <c r="G86" s="28" t="s">
        <v>61</v>
      </c>
      <c r="H86" s="28" t="s">
        <v>66</v>
      </c>
      <c r="I86" s="14"/>
    </row>
    <row r="87" spans="1:9">
      <c r="A87" s="25">
        <v>86</v>
      </c>
      <c r="B87" s="29" t="s">
        <v>266</v>
      </c>
      <c r="C87" s="52" t="s">
        <v>307</v>
      </c>
      <c r="D87" s="29" t="s">
        <v>305</v>
      </c>
      <c r="E87" s="29" t="s">
        <v>308</v>
      </c>
      <c r="F87" s="52" t="s">
        <v>99</v>
      </c>
      <c r="G87" s="28" t="s">
        <v>61</v>
      </c>
      <c r="H87" s="28" t="s">
        <v>66</v>
      </c>
      <c r="I87" s="14"/>
    </row>
    <row r="88" spans="1:9">
      <c r="A88" s="25">
        <v>87</v>
      </c>
      <c r="B88" s="29" t="s">
        <v>266</v>
      </c>
      <c r="C88" s="52" t="s">
        <v>309</v>
      </c>
      <c r="D88" s="29" t="s">
        <v>310</v>
      </c>
      <c r="E88" s="29" t="s">
        <v>311</v>
      </c>
      <c r="F88" s="52" t="s">
        <v>312</v>
      </c>
      <c r="G88" s="28" t="s">
        <v>61</v>
      </c>
      <c r="H88" s="28" t="s">
        <v>61</v>
      </c>
      <c r="I88" s="14"/>
    </row>
    <row r="89" spans="1:9">
      <c r="A89" s="25">
        <v>88</v>
      </c>
      <c r="B89" s="29" t="s">
        <v>266</v>
      </c>
      <c r="C89" s="52" t="s">
        <v>313</v>
      </c>
      <c r="D89" s="29" t="s">
        <v>310</v>
      </c>
      <c r="E89" s="29" t="s">
        <v>314</v>
      </c>
      <c r="F89" s="52" t="s">
        <v>315</v>
      </c>
      <c r="G89" s="28" t="s">
        <v>61</v>
      </c>
      <c r="H89" s="28" t="s">
        <v>61</v>
      </c>
      <c r="I89" s="14"/>
    </row>
    <row r="90" spans="1:9">
      <c r="A90" s="25">
        <v>89</v>
      </c>
      <c r="B90" s="29" t="s">
        <v>266</v>
      </c>
      <c r="C90" s="52" t="s">
        <v>316</v>
      </c>
      <c r="D90" s="29" t="s">
        <v>310</v>
      </c>
      <c r="E90" s="29" t="s">
        <v>317</v>
      </c>
      <c r="F90" s="52" t="s">
        <v>73</v>
      </c>
      <c r="G90" s="28" t="s">
        <v>61</v>
      </c>
      <c r="H90" s="28" t="s">
        <v>61</v>
      </c>
      <c r="I90" s="14"/>
    </row>
    <row r="91" spans="1:9">
      <c r="A91" s="25">
        <v>90</v>
      </c>
      <c r="B91" s="29" t="s">
        <v>266</v>
      </c>
      <c r="C91" s="52" t="s">
        <v>318</v>
      </c>
      <c r="D91" s="29" t="s">
        <v>319</v>
      </c>
      <c r="E91" s="29" t="s">
        <v>320</v>
      </c>
      <c r="F91" s="52" t="s">
        <v>70</v>
      </c>
      <c r="G91" s="28" t="s">
        <v>61</v>
      </c>
      <c r="H91" s="28" t="s">
        <v>61</v>
      </c>
      <c r="I91" s="14"/>
    </row>
    <row r="92" spans="1:9">
      <c r="A92" s="25">
        <v>91</v>
      </c>
      <c r="B92" s="29" t="s">
        <v>266</v>
      </c>
      <c r="C92" s="52" t="s">
        <v>321</v>
      </c>
      <c r="D92" s="29" t="s">
        <v>322</v>
      </c>
      <c r="E92" s="29" t="s">
        <v>323</v>
      </c>
      <c r="F92" s="52" t="s">
        <v>73</v>
      </c>
      <c r="G92" s="28" t="s">
        <v>61</v>
      </c>
      <c r="H92" s="28" t="s">
        <v>61</v>
      </c>
      <c r="I92" s="14" t="s">
        <v>324</v>
      </c>
    </row>
    <row r="93" spans="1:9">
      <c r="A93" s="25">
        <v>92</v>
      </c>
      <c r="B93" s="29" t="s">
        <v>266</v>
      </c>
      <c r="C93" s="52" t="s">
        <v>325</v>
      </c>
      <c r="D93" s="29" t="s">
        <v>322</v>
      </c>
      <c r="E93" s="29" t="s">
        <v>326</v>
      </c>
      <c r="F93" s="52" t="s">
        <v>327</v>
      </c>
      <c r="G93" s="28" t="s">
        <v>61</v>
      </c>
      <c r="H93" s="28" t="s">
        <v>61</v>
      </c>
      <c r="I93" s="14" t="s">
        <v>324</v>
      </c>
    </row>
    <row r="94" spans="1:9">
      <c r="A94" s="25">
        <v>93</v>
      </c>
      <c r="B94" s="29" t="s">
        <v>266</v>
      </c>
      <c r="C94" s="52" t="s">
        <v>328</v>
      </c>
      <c r="D94" s="29" t="s">
        <v>329</v>
      </c>
      <c r="E94" s="29" t="s">
        <v>330</v>
      </c>
      <c r="F94" s="52" t="s">
        <v>312</v>
      </c>
      <c r="G94" s="28" t="s">
        <v>61</v>
      </c>
      <c r="H94" s="28" t="s">
        <v>61</v>
      </c>
      <c r="I94" s="14"/>
    </row>
    <row r="95" spans="1:9">
      <c r="A95" s="25">
        <v>94</v>
      </c>
      <c r="B95" s="29" t="s">
        <v>266</v>
      </c>
      <c r="C95" s="52" t="s">
        <v>331</v>
      </c>
      <c r="D95" s="29" t="s">
        <v>329</v>
      </c>
      <c r="E95" s="29" t="s">
        <v>332</v>
      </c>
      <c r="F95" s="52" t="s">
        <v>312</v>
      </c>
      <c r="G95" s="28" t="s">
        <v>61</v>
      </c>
      <c r="H95" s="28" t="s">
        <v>61</v>
      </c>
      <c r="I95" s="14"/>
    </row>
    <row r="96" spans="1:9">
      <c r="A96" s="25">
        <v>95</v>
      </c>
      <c r="B96" s="29" t="s">
        <v>266</v>
      </c>
      <c r="C96" s="52" t="s">
        <v>333</v>
      </c>
      <c r="D96" s="29" t="s">
        <v>329</v>
      </c>
      <c r="E96" s="29" t="s">
        <v>334</v>
      </c>
      <c r="F96" s="52" t="s">
        <v>315</v>
      </c>
      <c r="G96" s="28" t="s">
        <v>61</v>
      </c>
      <c r="H96" s="28" t="s">
        <v>61</v>
      </c>
      <c r="I96" s="14"/>
    </row>
    <row r="97" spans="1:9">
      <c r="A97" s="25">
        <v>96</v>
      </c>
      <c r="B97" s="29" t="s">
        <v>266</v>
      </c>
      <c r="C97" s="52" t="s">
        <v>335</v>
      </c>
      <c r="D97" s="29" t="s">
        <v>329</v>
      </c>
      <c r="E97" s="29" t="s">
        <v>336</v>
      </c>
      <c r="F97" s="52" t="s">
        <v>315</v>
      </c>
      <c r="G97" s="28" t="s">
        <v>61</v>
      </c>
      <c r="H97" s="28" t="s">
        <v>61</v>
      </c>
      <c r="I97" s="14"/>
    </row>
    <row r="98" spans="1:9">
      <c r="A98" s="25">
        <v>97</v>
      </c>
      <c r="B98" s="29" t="s">
        <v>266</v>
      </c>
      <c r="C98" s="52" t="s">
        <v>337</v>
      </c>
      <c r="D98" s="29" t="s">
        <v>338</v>
      </c>
      <c r="E98" s="29" t="s">
        <v>339</v>
      </c>
      <c r="F98" s="52" t="s">
        <v>312</v>
      </c>
      <c r="G98" s="28" t="s">
        <v>61</v>
      </c>
      <c r="H98" s="28" t="s">
        <v>61</v>
      </c>
      <c r="I98" s="14"/>
    </row>
    <row r="99" spans="1:9">
      <c r="A99" s="25">
        <v>98</v>
      </c>
      <c r="B99" s="29" t="s">
        <v>266</v>
      </c>
      <c r="C99" s="52" t="s">
        <v>340</v>
      </c>
      <c r="D99" s="29" t="s">
        <v>338</v>
      </c>
      <c r="E99" s="29" t="s">
        <v>341</v>
      </c>
      <c r="F99" s="52" t="s">
        <v>315</v>
      </c>
      <c r="G99" s="28" t="s">
        <v>61</v>
      </c>
      <c r="H99" s="28" t="s">
        <v>61</v>
      </c>
      <c r="I99" s="14"/>
    </row>
    <row r="100" spans="1:9">
      <c r="A100" s="25">
        <v>99</v>
      </c>
      <c r="B100" s="29" t="s">
        <v>266</v>
      </c>
      <c r="C100" s="52" t="s">
        <v>342</v>
      </c>
      <c r="D100" s="29" t="s">
        <v>343</v>
      </c>
      <c r="E100" s="29" t="s">
        <v>344</v>
      </c>
      <c r="F100" s="54" t="s">
        <v>345</v>
      </c>
      <c r="G100" s="28" t="s">
        <v>61</v>
      </c>
      <c r="H100" s="28" t="s">
        <v>61</v>
      </c>
      <c r="I100" s="14"/>
    </row>
    <row r="101" spans="1:9">
      <c r="A101" s="25">
        <v>100</v>
      </c>
      <c r="B101" s="29" t="s">
        <v>266</v>
      </c>
      <c r="C101" s="52" t="s">
        <v>346</v>
      </c>
      <c r="D101" s="29" t="s">
        <v>343</v>
      </c>
      <c r="E101" s="29" t="s">
        <v>347</v>
      </c>
      <c r="F101" s="54" t="s">
        <v>345</v>
      </c>
      <c r="G101" s="28" t="s">
        <v>61</v>
      </c>
      <c r="H101" s="28" t="s">
        <v>61</v>
      </c>
      <c r="I101" s="14"/>
    </row>
    <row r="102" spans="1:9">
      <c r="A102" s="25">
        <v>101</v>
      </c>
      <c r="B102" s="29" t="s">
        <v>266</v>
      </c>
      <c r="C102" s="52" t="s">
        <v>348</v>
      </c>
      <c r="D102" s="29" t="s">
        <v>349</v>
      </c>
      <c r="E102" s="29" t="s">
        <v>350</v>
      </c>
      <c r="F102" s="52" t="s">
        <v>99</v>
      </c>
      <c r="G102" s="28" t="s">
        <v>61</v>
      </c>
      <c r="H102" s="28" t="s">
        <v>66</v>
      </c>
      <c r="I102" s="14"/>
    </row>
    <row r="103" spans="1:9">
      <c r="A103" s="25">
        <v>102</v>
      </c>
      <c r="B103" s="29" t="s">
        <v>266</v>
      </c>
      <c r="C103" s="52" t="s">
        <v>351</v>
      </c>
      <c r="D103" s="29" t="s">
        <v>349</v>
      </c>
      <c r="E103" s="29" t="s">
        <v>352</v>
      </c>
      <c r="F103" s="52" t="s">
        <v>99</v>
      </c>
      <c r="G103" s="28" t="s">
        <v>61</v>
      </c>
      <c r="H103" s="28" t="s">
        <v>66</v>
      </c>
      <c r="I103" s="14"/>
    </row>
    <row r="104" spans="1:9">
      <c r="A104" s="25">
        <v>103</v>
      </c>
      <c r="B104" s="29" t="s">
        <v>266</v>
      </c>
      <c r="C104" s="52" t="s">
        <v>353</v>
      </c>
      <c r="D104" s="29" t="s">
        <v>354</v>
      </c>
      <c r="E104" s="29" t="s">
        <v>355</v>
      </c>
      <c r="F104" s="52" t="s">
        <v>99</v>
      </c>
      <c r="G104" s="28" t="s">
        <v>61</v>
      </c>
      <c r="H104" s="28" t="s">
        <v>66</v>
      </c>
      <c r="I104" s="14"/>
    </row>
    <row r="105" spans="1:9">
      <c r="A105" s="25">
        <v>104</v>
      </c>
      <c r="B105" s="29" t="s">
        <v>266</v>
      </c>
      <c r="C105" s="52" t="s">
        <v>356</v>
      </c>
      <c r="D105" s="29" t="s">
        <v>354</v>
      </c>
      <c r="E105" s="29" t="s">
        <v>357</v>
      </c>
      <c r="F105" s="52" t="s">
        <v>99</v>
      </c>
      <c r="G105" s="28" t="s">
        <v>61</v>
      </c>
      <c r="H105" s="28" t="s">
        <v>66</v>
      </c>
      <c r="I105" s="14"/>
    </row>
    <row r="106" spans="1:9">
      <c r="A106" s="25">
        <v>105</v>
      </c>
      <c r="B106" s="29" t="s">
        <v>266</v>
      </c>
      <c r="C106" s="52" t="s">
        <v>358</v>
      </c>
      <c r="D106" s="29" t="s">
        <v>359</v>
      </c>
      <c r="E106" s="29" t="s">
        <v>360</v>
      </c>
      <c r="F106" s="52" t="s">
        <v>99</v>
      </c>
      <c r="G106" s="28" t="s">
        <v>61</v>
      </c>
      <c r="H106" s="28" t="s">
        <v>66</v>
      </c>
      <c r="I106" s="14"/>
    </row>
    <row r="107" spans="1:9">
      <c r="A107" s="25">
        <v>106</v>
      </c>
      <c r="B107" s="29" t="s">
        <v>266</v>
      </c>
      <c r="C107" s="52" t="s">
        <v>361</v>
      </c>
      <c r="D107" s="29" t="s">
        <v>359</v>
      </c>
      <c r="E107" s="29" t="s">
        <v>362</v>
      </c>
      <c r="F107" s="52" t="s">
        <v>99</v>
      </c>
      <c r="G107" s="28" t="s">
        <v>61</v>
      </c>
      <c r="H107" s="28" t="s">
        <v>66</v>
      </c>
      <c r="I107" s="14"/>
    </row>
    <row r="108" spans="1:9">
      <c r="A108" s="25">
        <v>107</v>
      </c>
      <c r="B108" s="29" t="s">
        <v>266</v>
      </c>
      <c r="C108" s="52" t="s">
        <v>363</v>
      </c>
      <c r="D108" s="29" t="s">
        <v>364</v>
      </c>
      <c r="E108" s="29" t="s">
        <v>365</v>
      </c>
      <c r="F108" s="52" t="s">
        <v>99</v>
      </c>
      <c r="G108" s="28" t="s">
        <v>61</v>
      </c>
      <c r="H108" s="28" t="s">
        <v>66</v>
      </c>
      <c r="I108" s="14"/>
    </row>
    <row r="109" spans="1:9">
      <c r="A109" s="25">
        <v>108</v>
      </c>
      <c r="B109" s="29" t="s">
        <v>266</v>
      </c>
      <c r="C109" s="52" t="s">
        <v>366</v>
      </c>
      <c r="D109" s="29" t="s">
        <v>364</v>
      </c>
      <c r="E109" s="29" t="s">
        <v>367</v>
      </c>
      <c r="F109" s="52" t="s">
        <v>99</v>
      </c>
      <c r="G109" s="28" t="s">
        <v>61</v>
      </c>
      <c r="H109" s="28" t="s">
        <v>66</v>
      </c>
      <c r="I109" s="14"/>
    </row>
    <row r="110" spans="1:9">
      <c r="A110" s="25">
        <v>109</v>
      </c>
      <c r="B110" s="29" t="s">
        <v>266</v>
      </c>
      <c r="C110" s="52" t="s">
        <v>368</v>
      </c>
      <c r="D110" s="29" t="s">
        <v>369</v>
      </c>
      <c r="E110" s="29" t="s">
        <v>370</v>
      </c>
      <c r="F110" s="52" t="s">
        <v>371</v>
      </c>
      <c r="G110" s="28" t="s">
        <v>61</v>
      </c>
      <c r="H110" s="28" t="s">
        <v>61</v>
      </c>
      <c r="I110" s="14"/>
    </row>
    <row r="111" spans="1:9">
      <c r="A111" s="25">
        <v>110</v>
      </c>
      <c r="B111" s="29" t="s">
        <v>372</v>
      </c>
      <c r="C111" s="52" t="s">
        <v>373</v>
      </c>
      <c r="D111" s="29" t="s">
        <v>374</v>
      </c>
      <c r="E111" s="29" t="s">
        <v>375</v>
      </c>
      <c r="F111" s="52" t="s">
        <v>149</v>
      </c>
      <c r="G111" s="28" t="s">
        <v>61</v>
      </c>
      <c r="H111" s="28" t="s">
        <v>61</v>
      </c>
      <c r="I111" s="14"/>
    </row>
    <row r="112" spans="1:9">
      <c r="A112" s="25">
        <v>111</v>
      </c>
      <c r="B112" s="29" t="s">
        <v>372</v>
      </c>
      <c r="C112" s="52" t="s">
        <v>376</v>
      </c>
      <c r="D112" s="29" t="s">
        <v>377</v>
      </c>
      <c r="E112" s="29" t="s">
        <v>378</v>
      </c>
      <c r="F112" s="52" t="s">
        <v>149</v>
      </c>
      <c r="G112" s="28" t="s">
        <v>61</v>
      </c>
      <c r="H112" s="28" t="s">
        <v>61</v>
      </c>
      <c r="I112" s="14"/>
    </row>
    <row r="113" spans="1:9">
      <c r="A113" s="25">
        <v>112</v>
      </c>
      <c r="B113" s="29" t="s">
        <v>372</v>
      </c>
      <c r="C113" s="52" t="s">
        <v>379</v>
      </c>
      <c r="D113" s="29" t="s">
        <v>380</v>
      </c>
      <c r="E113" s="29" t="s">
        <v>381</v>
      </c>
      <c r="F113" s="52" t="s">
        <v>382</v>
      </c>
      <c r="G113" s="28" t="s">
        <v>66</v>
      </c>
      <c r="H113" s="28" t="s">
        <v>66</v>
      </c>
      <c r="I113" s="14"/>
    </row>
    <row r="114" spans="1:9">
      <c r="A114" s="25">
        <v>113</v>
      </c>
      <c r="B114" s="29" t="s">
        <v>372</v>
      </c>
      <c r="C114" s="52" t="s">
        <v>383</v>
      </c>
      <c r="D114" s="29" t="s">
        <v>384</v>
      </c>
      <c r="E114" s="29" t="s">
        <v>385</v>
      </c>
      <c r="F114" s="52" t="s">
        <v>382</v>
      </c>
      <c r="G114" s="28" t="s">
        <v>66</v>
      </c>
      <c r="H114" s="28" t="s">
        <v>66</v>
      </c>
      <c r="I114" s="14"/>
    </row>
    <row r="115" spans="1:9">
      <c r="A115" s="25">
        <v>114</v>
      </c>
      <c r="B115" s="29" t="s">
        <v>372</v>
      </c>
      <c r="C115" s="52" t="s">
        <v>386</v>
      </c>
      <c r="D115" s="29" t="s">
        <v>387</v>
      </c>
      <c r="E115" s="29" t="s">
        <v>388</v>
      </c>
      <c r="F115" s="52" t="s">
        <v>389</v>
      </c>
      <c r="G115" s="28" t="s">
        <v>61</v>
      </c>
      <c r="H115" s="28" t="s">
        <v>61</v>
      </c>
      <c r="I115" s="14"/>
    </row>
    <row r="116" spans="1:9">
      <c r="A116" s="25">
        <v>115</v>
      </c>
      <c r="B116" s="29" t="s">
        <v>372</v>
      </c>
      <c r="C116" s="52" t="s">
        <v>390</v>
      </c>
      <c r="D116" s="29" t="s">
        <v>391</v>
      </c>
      <c r="E116" s="29" t="s">
        <v>392</v>
      </c>
      <c r="F116" s="52" t="s">
        <v>389</v>
      </c>
      <c r="G116" s="28" t="s">
        <v>61</v>
      </c>
      <c r="H116" s="28" t="s">
        <v>61</v>
      </c>
      <c r="I116" s="14"/>
    </row>
    <row r="117" spans="1:9">
      <c r="A117" s="25">
        <v>116</v>
      </c>
      <c r="B117" s="29" t="s">
        <v>372</v>
      </c>
      <c r="C117" s="52" t="s">
        <v>393</v>
      </c>
      <c r="D117" s="29" t="s">
        <v>394</v>
      </c>
      <c r="E117" s="29" t="s">
        <v>395</v>
      </c>
      <c r="F117" s="52" t="s">
        <v>382</v>
      </c>
      <c r="G117" s="28" t="s">
        <v>66</v>
      </c>
      <c r="H117" s="28" t="s">
        <v>66</v>
      </c>
      <c r="I117" s="14"/>
    </row>
    <row r="118" spans="1:9">
      <c r="A118" s="25">
        <v>117</v>
      </c>
      <c r="B118" s="29" t="s">
        <v>372</v>
      </c>
      <c r="C118" s="52" t="s">
        <v>396</v>
      </c>
      <c r="D118" s="29" t="s">
        <v>397</v>
      </c>
      <c r="E118" s="29" t="s">
        <v>398</v>
      </c>
      <c r="F118" s="52" t="s">
        <v>382</v>
      </c>
      <c r="G118" s="28" t="s">
        <v>66</v>
      </c>
      <c r="H118" s="28" t="s">
        <v>66</v>
      </c>
      <c r="I118" s="14"/>
    </row>
    <row r="119" spans="1:9">
      <c r="A119" s="25">
        <v>118</v>
      </c>
      <c r="B119" s="29" t="s">
        <v>372</v>
      </c>
      <c r="C119" s="52" t="s">
        <v>399</v>
      </c>
      <c r="D119" s="29" t="s">
        <v>400</v>
      </c>
      <c r="E119" s="29" t="s">
        <v>401</v>
      </c>
      <c r="F119" s="52" t="s">
        <v>382</v>
      </c>
      <c r="G119" s="28" t="s">
        <v>61</v>
      </c>
      <c r="H119" s="28" t="s">
        <v>66</v>
      </c>
      <c r="I119" s="14" t="s">
        <v>402</v>
      </c>
    </row>
    <row r="120" spans="1:9">
      <c r="A120" s="25">
        <v>119</v>
      </c>
      <c r="B120" s="29" t="s">
        <v>372</v>
      </c>
      <c r="C120" s="52" t="s">
        <v>403</v>
      </c>
      <c r="D120" s="29" t="s">
        <v>404</v>
      </c>
      <c r="E120" s="29" t="s">
        <v>405</v>
      </c>
      <c r="F120" s="52" t="s">
        <v>389</v>
      </c>
      <c r="G120" s="28" t="s">
        <v>66</v>
      </c>
      <c r="H120" s="28" t="s">
        <v>66</v>
      </c>
      <c r="I120" s="14"/>
    </row>
    <row r="121" spans="1:9">
      <c r="A121" s="25">
        <v>120</v>
      </c>
      <c r="B121" s="29" t="s">
        <v>372</v>
      </c>
      <c r="C121" s="52" t="s">
        <v>406</v>
      </c>
      <c r="D121" s="29" t="s">
        <v>407</v>
      </c>
      <c r="E121" s="29" t="s">
        <v>408</v>
      </c>
      <c r="F121" s="52" t="s">
        <v>382</v>
      </c>
      <c r="G121" s="28" t="s">
        <v>66</v>
      </c>
      <c r="H121" s="28" t="s">
        <v>66</v>
      </c>
      <c r="I121" s="14"/>
    </row>
    <row r="122" spans="1:9">
      <c r="A122" s="25">
        <v>121</v>
      </c>
      <c r="B122" s="29" t="s">
        <v>372</v>
      </c>
      <c r="C122" s="52" t="s">
        <v>409</v>
      </c>
      <c r="D122" s="29" t="s">
        <v>407</v>
      </c>
      <c r="E122" s="29" t="s">
        <v>410</v>
      </c>
      <c r="F122" s="52" t="s">
        <v>382</v>
      </c>
      <c r="G122" s="28" t="s">
        <v>66</v>
      </c>
      <c r="H122" s="28" t="s">
        <v>66</v>
      </c>
      <c r="I122" s="14"/>
    </row>
    <row r="123" spans="1:9">
      <c r="A123" s="25">
        <v>122</v>
      </c>
      <c r="B123" s="29" t="s">
        <v>372</v>
      </c>
      <c r="C123" s="52" t="s">
        <v>411</v>
      </c>
      <c r="D123" s="29" t="s">
        <v>412</v>
      </c>
      <c r="E123" s="29" t="s">
        <v>413</v>
      </c>
      <c r="F123" s="52" t="s">
        <v>149</v>
      </c>
      <c r="G123" s="28" t="s">
        <v>61</v>
      </c>
      <c r="H123" s="28" t="s">
        <v>61</v>
      </c>
      <c r="I123" s="14"/>
    </row>
    <row r="124" spans="1:9">
      <c r="A124" s="25">
        <v>123</v>
      </c>
      <c r="B124" s="29" t="s">
        <v>372</v>
      </c>
      <c r="C124" s="52" t="s">
        <v>414</v>
      </c>
      <c r="D124" s="29" t="s">
        <v>415</v>
      </c>
      <c r="E124" s="29" t="s">
        <v>416</v>
      </c>
      <c r="F124" s="52" t="s">
        <v>149</v>
      </c>
      <c r="G124" s="28" t="s">
        <v>61</v>
      </c>
      <c r="H124" s="28" t="s">
        <v>61</v>
      </c>
      <c r="I124" s="14"/>
    </row>
    <row r="125" spans="1:9">
      <c r="A125" s="25">
        <v>124</v>
      </c>
      <c r="B125" s="29" t="s">
        <v>372</v>
      </c>
      <c r="C125" s="52" t="s">
        <v>417</v>
      </c>
      <c r="D125" s="29" t="s">
        <v>418</v>
      </c>
      <c r="E125" s="29" t="s">
        <v>419</v>
      </c>
      <c r="F125" s="52" t="s">
        <v>382</v>
      </c>
      <c r="G125" s="28" t="s">
        <v>61</v>
      </c>
      <c r="H125" s="28" t="s">
        <v>61</v>
      </c>
      <c r="I125" s="14"/>
    </row>
    <row r="126" spans="1:9">
      <c r="A126" s="25">
        <v>125</v>
      </c>
      <c r="B126" s="29" t="s">
        <v>372</v>
      </c>
      <c r="C126" s="52" t="s">
        <v>420</v>
      </c>
      <c r="D126" s="29" t="s">
        <v>421</v>
      </c>
      <c r="E126" s="29" t="s">
        <v>422</v>
      </c>
      <c r="F126" s="52" t="s">
        <v>211</v>
      </c>
      <c r="G126" s="28" t="s">
        <v>61</v>
      </c>
      <c r="H126" s="28" t="s">
        <v>66</v>
      </c>
      <c r="I126" s="14"/>
    </row>
    <row r="127" spans="1:9">
      <c r="A127" s="25">
        <v>126</v>
      </c>
      <c r="B127" s="29" t="s">
        <v>372</v>
      </c>
      <c r="C127" s="52" t="s">
        <v>423</v>
      </c>
      <c r="D127" s="29" t="s">
        <v>424</v>
      </c>
      <c r="E127" s="29" t="s">
        <v>425</v>
      </c>
      <c r="F127" s="52" t="s">
        <v>211</v>
      </c>
      <c r="G127" s="28" t="s">
        <v>61</v>
      </c>
      <c r="H127" s="28" t="s">
        <v>66</v>
      </c>
      <c r="I127" s="14"/>
    </row>
    <row r="128" spans="1:9">
      <c r="A128" s="25">
        <v>127</v>
      </c>
      <c r="B128" s="29" t="s">
        <v>426</v>
      </c>
      <c r="C128" s="52" t="s">
        <v>427</v>
      </c>
      <c r="D128" s="29" t="s">
        <v>428</v>
      </c>
      <c r="E128" s="29" t="s">
        <v>429</v>
      </c>
      <c r="F128" s="52" t="s">
        <v>77</v>
      </c>
      <c r="G128" s="28" t="s">
        <v>61</v>
      </c>
      <c r="H128" s="28" t="s">
        <v>61</v>
      </c>
      <c r="I128" s="14" t="s">
        <v>430</v>
      </c>
    </row>
    <row r="129" spans="1:9">
      <c r="A129" s="25">
        <v>128</v>
      </c>
      <c r="B129" s="29" t="s">
        <v>426</v>
      </c>
      <c r="C129" s="52" t="s">
        <v>431</v>
      </c>
      <c r="D129" s="29" t="s">
        <v>432</v>
      </c>
      <c r="E129" s="29" t="s">
        <v>433</v>
      </c>
      <c r="F129" s="52" t="s">
        <v>371</v>
      </c>
      <c r="G129" s="28" t="s">
        <v>61</v>
      </c>
      <c r="H129" s="28" t="s">
        <v>61</v>
      </c>
      <c r="I129" s="14" t="s">
        <v>430</v>
      </c>
    </row>
    <row r="130" spans="1:9">
      <c r="A130" s="25">
        <v>129</v>
      </c>
      <c r="B130" s="29" t="s">
        <v>426</v>
      </c>
      <c r="C130" s="52" t="s">
        <v>434</v>
      </c>
      <c r="D130" s="29" t="s">
        <v>435</v>
      </c>
      <c r="E130" s="29" t="s">
        <v>436</v>
      </c>
      <c r="F130" s="52" t="s">
        <v>77</v>
      </c>
      <c r="G130" s="28" t="s">
        <v>61</v>
      </c>
      <c r="H130" s="28" t="s">
        <v>61</v>
      </c>
      <c r="I130" s="14"/>
    </row>
    <row r="131" spans="1:9">
      <c r="A131" s="25">
        <v>130</v>
      </c>
      <c r="B131" s="29" t="s">
        <v>426</v>
      </c>
      <c r="C131" s="52" t="s">
        <v>437</v>
      </c>
      <c r="D131" s="29" t="s">
        <v>438</v>
      </c>
      <c r="E131" s="29" t="s">
        <v>439</v>
      </c>
      <c r="F131" s="52" t="s">
        <v>77</v>
      </c>
      <c r="G131" s="28" t="s">
        <v>61</v>
      </c>
      <c r="H131" s="28" t="s">
        <v>61</v>
      </c>
      <c r="I131" s="14"/>
    </row>
    <row r="132" spans="1:9">
      <c r="A132" s="25">
        <v>131</v>
      </c>
      <c r="B132" s="29" t="s">
        <v>426</v>
      </c>
      <c r="C132" s="52" t="s">
        <v>440</v>
      </c>
      <c r="D132" s="29" t="s">
        <v>441</v>
      </c>
      <c r="E132" s="29" t="s">
        <v>442</v>
      </c>
      <c r="F132" s="52" t="s">
        <v>73</v>
      </c>
      <c r="G132" s="28" t="s">
        <v>61</v>
      </c>
      <c r="H132" s="28" t="s">
        <v>61</v>
      </c>
      <c r="I132" s="14"/>
    </row>
    <row r="133" spans="1:9">
      <c r="A133" s="25">
        <v>132</v>
      </c>
      <c r="B133" s="29" t="s">
        <v>426</v>
      </c>
      <c r="C133" s="52" t="s">
        <v>443</v>
      </c>
      <c r="D133" s="29" t="s">
        <v>441</v>
      </c>
      <c r="E133" s="29" t="s">
        <v>444</v>
      </c>
      <c r="F133" s="52" t="s">
        <v>70</v>
      </c>
      <c r="G133" s="28" t="s">
        <v>61</v>
      </c>
      <c r="H133" s="28" t="s">
        <v>61</v>
      </c>
      <c r="I133" s="14"/>
    </row>
    <row r="134" spans="1:9">
      <c r="A134" s="25">
        <v>133</v>
      </c>
      <c r="B134" s="29" t="s">
        <v>445</v>
      </c>
      <c r="C134" s="52" t="s">
        <v>446</v>
      </c>
      <c r="D134" s="29" t="s">
        <v>447</v>
      </c>
      <c r="E134" s="29" t="s">
        <v>448</v>
      </c>
      <c r="F134" s="52" t="s">
        <v>449</v>
      </c>
      <c r="G134" s="28" t="s">
        <v>66</v>
      </c>
      <c r="H134" s="28" t="s">
        <v>66</v>
      </c>
      <c r="I134" s="14"/>
    </row>
    <row r="135" spans="1:9">
      <c r="A135" s="25">
        <v>134</v>
      </c>
      <c r="B135" s="29" t="s">
        <v>445</v>
      </c>
      <c r="C135" s="53" t="s">
        <v>450</v>
      </c>
      <c r="D135" s="29" t="s">
        <v>447</v>
      </c>
      <c r="E135" s="29" t="s">
        <v>451</v>
      </c>
      <c r="F135" s="52" t="s">
        <v>449</v>
      </c>
      <c r="G135" s="28" t="s">
        <v>61</v>
      </c>
      <c r="H135" s="28" t="s">
        <v>66</v>
      </c>
      <c r="I135" s="14"/>
    </row>
    <row r="136" spans="1:9">
      <c r="A136" s="25">
        <v>135</v>
      </c>
      <c r="B136" s="29" t="s">
        <v>445</v>
      </c>
      <c r="C136" s="53" t="s">
        <v>452</v>
      </c>
      <c r="D136" s="29" t="s">
        <v>447</v>
      </c>
      <c r="E136" s="29" t="s">
        <v>453</v>
      </c>
      <c r="F136" s="52" t="s">
        <v>449</v>
      </c>
      <c r="G136" s="28" t="s">
        <v>61</v>
      </c>
      <c r="H136" s="28" t="s">
        <v>66</v>
      </c>
      <c r="I136" s="14"/>
    </row>
    <row r="137" spans="1:9">
      <c r="A137" s="25">
        <v>136</v>
      </c>
      <c r="B137" s="29" t="s">
        <v>445</v>
      </c>
      <c r="C137" s="53" t="s">
        <v>454</v>
      </c>
      <c r="D137" s="29" t="s">
        <v>447</v>
      </c>
      <c r="E137" s="29" t="s">
        <v>455</v>
      </c>
      <c r="F137" s="52" t="s">
        <v>449</v>
      </c>
      <c r="G137" s="28" t="s">
        <v>61</v>
      </c>
      <c r="H137" s="28" t="s">
        <v>66</v>
      </c>
      <c r="I137" s="14"/>
    </row>
    <row r="138" spans="1:9">
      <c r="A138" s="25">
        <v>137</v>
      </c>
      <c r="B138" s="29" t="s">
        <v>445</v>
      </c>
      <c r="C138" s="53" t="s">
        <v>456</v>
      </c>
      <c r="D138" s="29" t="s">
        <v>447</v>
      </c>
      <c r="E138" s="29" t="s">
        <v>457</v>
      </c>
      <c r="F138" s="52" t="s">
        <v>449</v>
      </c>
      <c r="G138" s="28" t="s">
        <v>61</v>
      </c>
      <c r="H138" s="28" t="s">
        <v>66</v>
      </c>
      <c r="I138" s="14"/>
    </row>
    <row r="139" spans="1:9">
      <c r="A139" s="25">
        <v>138</v>
      </c>
      <c r="B139" s="29" t="s">
        <v>445</v>
      </c>
      <c r="C139" s="52" t="s">
        <v>458</v>
      </c>
      <c r="D139" s="29" t="s">
        <v>459</v>
      </c>
      <c r="E139" s="29" t="s">
        <v>460</v>
      </c>
      <c r="F139" s="52" t="s">
        <v>449</v>
      </c>
      <c r="G139" s="28" t="s">
        <v>66</v>
      </c>
      <c r="H139" s="28" t="s">
        <v>66</v>
      </c>
      <c r="I139" s="14"/>
    </row>
    <row r="140" spans="1:9">
      <c r="A140" s="25">
        <v>139</v>
      </c>
      <c r="B140" s="29" t="s">
        <v>445</v>
      </c>
      <c r="C140" s="52" t="s">
        <v>461</v>
      </c>
      <c r="D140" s="29" t="s">
        <v>462</v>
      </c>
      <c r="E140" s="29" t="s">
        <v>463</v>
      </c>
      <c r="F140" s="52" t="s">
        <v>449</v>
      </c>
      <c r="G140" s="28" t="s">
        <v>66</v>
      </c>
      <c r="H140" s="28" t="s">
        <v>66</v>
      </c>
      <c r="I140" s="14"/>
    </row>
    <row r="141" spans="1:9">
      <c r="A141" s="25">
        <v>140</v>
      </c>
      <c r="B141" s="29" t="s">
        <v>445</v>
      </c>
      <c r="C141" s="52" t="s">
        <v>464</v>
      </c>
      <c r="D141" s="29" t="s">
        <v>462</v>
      </c>
      <c r="E141" s="29" t="s">
        <v>465</v>
      </c>
      <c r="F141" s="52" t="s">
        <v>449</v>
      </c>
      <c r="G141" s="28" t="s">
        <v>66</v>
      </c>
      <c r="H141" s="28" t="s">
        <v>66</v>
      </c>
      <c r="I141" s="14"/>
    </row>
    <row r="142" spans="1:9">
      <c r="A142" s="25">
        <v>141</v>
      </c>
      <c r="B142" s="29" t="s">
        <v>445</v>
      </c>
      <c r="C142" s="52" t="s">
        <v>466</v>
      </c>
      <c r="D142" s="29" t="s">
        <v>467</v>
      </c>
      <c r="E142" s="29" t="s">
        <v>468</v>
      </c>
      <c r="F142" s="52" t="s">
        <v>449</v>
      </c>
      <c r="G142" s="28" t="s">
        <v>66</v>
      </c>
      <c r="H142" s="28" t="s">
        <v>66</v>
      </c>
      <c r="I142" s="14"/>
    </row>
    <row r="143" spans="1:9">
      <c r="A143" s="25">
        <v>142</v>
      </c>
      <c r="B143" s="29" t="s">
        <v>445</v>
      </c>
      <c r="C143" s="52" t="s">
        <v>469</v>
      </c>
      <c r="D143" s="29" t="s">
        <v>467</v>
      </c>
      <c r="E143" s="29" t="s">
        <v>470</v>
      </c>
      <c r="F143" s="52" t="s">
        <v>449</v>
      </c>
      <c r="G143" s="28" t="s">
        <v>66</v>
      </c>
      <c r="H143" s="28" t="s">
        <v>66</v>
      </c>
      <c r="I143" s="14"/>
    </row>
    <row r="144" spans="1:9">
      <c r="A144" s="25">
        <v>143</v>
      </c>
      <c r="B144" s="29" t="s">
        <v>445</v>
      </c>
      <c r="C144" s="52" t="s">
        <v>471</v>
      </c>
      <c r="D144" s="29" t="s">
        <v>472</v>
      </c>
      <c r="E144" s="29" t="s">
        <v>473</v>
      </c>
      <c r="F144" s="52" t="s">
        <v>449</v>
      </c>
      <c r="G144" s="28" t="s">
        <v>66</v>
      </c>
      <c r="H144" s="28" t="s">
        <v>66</v>
      </c>
      <c r="I144" s="14"/>
    </row>
    <row r="145" spans="1:9">
      <c r="A145" s="25">
        <v>144</v>
      </c>
      <c r="B145" s="29" t="s">
        <v>445</v>
      </c>
      <c r="C145" s="52" t="s">
        <v>474</v>
      </c>
      <c r="D145" s="29" t="s">
        <v>475</v>
      </c>
      <c r="E145" s="29" t="s">
        <v>476</v>
      </c>
      <c r="F145" s="52" t="s">
        <v>449</v>
      </c>
      <c r="G145" s="28" t="s">
        <v>66</v>
      </c>
      <c r="H145" s="28" t="s">
        <v>66</v>
      </c>
      <c r="I145" s="14"/>
    </row>
    <row r="146" spans="1:9">
      <c r="A146" s="25">
        <v>145</v>
      </c>
      <c r="B146" s="29" t="s">
        <v>445</v>
      </c>
      <c r="C146" s="52" t="s">
        <v>477</v>
      </c>
      <c r="D146" s="29" t="s">
        <v>478</v>
      </c>
      <c r="E146" s="29" t="s">
        <v>479</v>
      </c>
      <c r="F146" s="52" t="s">
        <v>449</v>
      </c>
      <c r="G146" s="28" t="s">
        <v>66</v>
      </c>
      <c r="H146" s="28" t="s">
        <v>66</v>
      </c>
      <c r="I146" s="14"/>
    </row>
    <row r="147" spans="1:9">
      <c r="A147" s="25">
        <v>146</v>
      </c>
      <c r="B147" s="29" t="s">
        <v>445</v>
      </c>
      <c r="C147" s="52" t="s">
        <v>480</v>
      </c>
      <c r="D147" s="29" t="s">
        <v>478</v>
      </c>
      <c r="E147" s="29" t="s">
        <v>481</v>
      </c>
      <c r="F147" s="52" t="s">
        <v>449</v>
      </c>
      <c r="G147" s="28" t="s">
        <v>66</v>
      </c>
      <c r="H147" s="28" t="s">
        <v>66</v>
      </c>
      <c r="I147" s="14"/>
    </row>
    <row r="148" spans="1:9">
      <c r="A148" s="25">
        <v>147</v>
      </c>
      <c r="B148" s="29" t="s">
        <v>445</v>
      </c>
      <c r="C148" s="52" t="s">
        <v>482</v>
      </c>
      <c r="D148" s="29" t="s">
        <v>483</v>
      </c>
      <c r="E148" s="29" t="s">
        <v>484</v>
      </c>
      <c r="F148" s="52" t="s">
        <v>449</v>
      </c>
      <c r="G148" s="28" t="s">
        <v>66</v>
      </c>
      <c r="H148" s="28" t="s">
        <v>66</v>
      </c>
      <c r="I148" s="14"/>
    </row>
    <row r="149" spans="1:9">
      <c r="A149" s="25">
        <v>148</v>
      </c>
      <c r="B149" s="29" t="s">
        <v>445</v>
      </c>
      <c r="C149" s="53" t="s">
        <v>485</v>
      </c>
      <c r="D149" s="29" t="s">
        <v>483</v>
      </c>
      <c r="E149" s="29" t="s">
        <v>486</v>
      </c>
      <c r="F149" s="52" t="s">
        <v>449</v>
      </c>
      <c r="G149" s="28" t="s">
        <v>61</v>
      </c>
      <c r="H149" s="28" t="s">
        <v>66</v>
      </c>
      <c r="I149" s="14"/>
    </row>
    <row r="150" spans="1:9">
      <c r="A150" s="25">
        <v>149</v>
      </c>
      <c r="B150" s="29" t="s">
        <v>445</v>
      </c>
      <c r="C150" s="53" t="s">
        <v>487</v>
      </c>
      <c r="D150" s="29" t="s">
        <v>483</v>
      </c>
      <c r="E150" s="29" t="s">
        <v>488</v>
      </c>
      <c r="F150" s="52" t="s">
        <v>449</v>
      </c>
      <c r="G150" s="28" t="s">
        <v>61</v>
      </c>
      <c r="H150" s="28" t="s">
        <v>66</v>
      </c>
      <c r="I150" s="14"/>
    </row>
    <row r="151" spans="1:9">
      <c r="A151" s="25">
        <v>150</v>
      </c>
      <c r="B151" s="29" t="s">
        <v>445</v>
      </c>
      <c r="C151" s="52" t="s">
        <v>489</v>
      </c>
      <c r="D151" s="29" t="s">
        <v>490</v>
      </c>
      <c r="E151" s="29" t="s">
        <v>491</v>
      </c>
      <c r="F151" s="52" t="s">
        <v>449</v>
      </c>
      <c r="G151" s="28" t="s">
        <v>66</v>
      </c>
      <c r="H151" s="28" t="s">
        <v>66</v>
      </c>
      <c r="I151" s="14"/>
    </row>
    <row r="152" spans="1:9">
      <c r="A152" s="25">
        <v>151</v>
      </c>
      <c r="B152" s="29" t="s">
        <v>445</v>
      </c>
      <c r="C152" s="53" t="s">
        <v>492</v>
      </c>
      <c r="D152" s="29" t="s">
        <v>490</v>
      </c>
      <c r="E152" s="29" t="s">
        <v>493</v>
      </c>
      <c r="F152" s="52" t="s">
        <v>449</v>
      </c>
      <c r="G152" s="28" t="s">
        <v>61</v>
      </c>
      <c r="H152" s="28" t="s">
        <v>66</v>
      </c>
      <c r="I152" s="14"/>
    </row>
    <row r="153" spans="1:9">
      <c r="A153" s="25">
        <v>152</v>
      </c>
      <c r="B153" s="29" t="s">
        <v>445</v>
      </c>
      <c r="C153" s="53" t="s">
        <v>494</v>
      </c>
      <c r="D153" s="29" t="s">
        <v>490</v>
      </c>
      <c r="E153" s="29" t="s">
        <v>495</v>
      </c>
      <c r="F153" s="52" t="s">
        <v>449</v>
      </c>
      <c r="G153" s="28" t="s">
        <v>61</v>
      </c>
      <c r="H153" s="28" t="s">
        <v>66</v>
      </c>
      <c r="I153" s="14"/>
    </row>
    <row r="154" spans="1:9">
      <c r="A154" s="25">
        <v>153</v>
      </c>
      <c r="B154" s="29" t="s">
        <v>445</v>
      </c>
      <c r="C154" s="52" t="s">
        <v>496</v>
      </c>
      <c r="D154" s="29" t="s">
        <v>497</v>
      </c>
      <c r="E154" s="29" t="s">
        <v>498</v>
      </c>
      <c r="F154" s="52" t="s">
        <v>449</v>
      </c>
      <c r="G154" s="28" t="s">
        <v>66</v>
      </c>
      <c r="H154" s="28" t="s">
        <v>66</v>
      </c>
      <c r="I154" s="14"/>
    </row>
    <row r="155" spans="1:9">
      <c r="A155" s="25">
        <v>154</v>
      </c>
      <c r="B155" s="29" t="s">
        <v>445</v>
      </c>
      <c r="C155" s="52" t="s">
        <v>499</v>
      </c>
      <c r="D155" s="29" t="s">
        <v>497</v>
      </c>
      <c r="E155" s="29" t="s">
        <v>500</v>
      </c>
      <c r="F155" s="52" t="s">
        <v>449</v>
      </c>
      <c r="G155" s="28" t="s">
        <v>66</v>
      </c>
      <c r="H155" s="28" t="s">
        <v>66</v>
      </c>
      <c r="I155" s="14"/>
    </row>
    <row r="156" spans="1:9">
      <c r="A156" s="25">
        <v>155</v>
      </c>
      <c r="B156" s="29" t="s">
        <v>445</v>
      </c>
      <c r="C156" s="52" t="s">
        <v>501</v>
      </c>
      <c r="D156" s="29" t="s">
        <v>497</v>
      </c>
      <c r="E156" s="29" t="s">
        <v>502</v>
      </c>
      <c r="F156" s="52" t="s">
        <v>449</v>
      </c>
      <c r="G156" s="28" t="s">
        <v>66</v>
      </c>
      <c r="H156" s="28" t="s">
        <v>66</v>
      </c>
      <c r="I156" s="14"/>
    </row>
    <row r="157" spans="1:9">
      <c r="A157" s="25">
        <v>156</v>
      </c>
      <c r="B157" s="29" t="s">
        <v>445</v>
      </c>
      <c r="C157" s="52" t="s">
        <v>503</v>
      </c>
      <c r="D157" s="29" t="s">
        <v>497</v>
      </c>
      <c r="E157" s="29" t="s">
        <v>504</v>
      </c>
      <c r="F157" s="52" t="s">
        <v>449</v>
      </c>
      <c r="G157" s="28" t="s">
        <v>66</v>
      </c>
      <c r="H157" s="28" t="s">
        <v>66</v>
      </c>
      <c r="I157" s="14"/>
    </row>
    <row r="158" spans="1:9">
      <c r="A158" s="25">
        <v>157</v>
      </c>
      <c r="B158" s="29" t="s">
        <v>445</v>
      </c>
      <c r="C158" s="52" t="s">
        <v>505</v>
      </c>
      <c r="D158" s="29" t="s">
        <v>506</v>
      </c>
      <c r="E158" s="29" t="s">
        <v>507</v>
      </c>
      <c r="F158" s="52" t="s">
        <v>449</v>
      </c>
      <c r="G158" s="28" t="s">
        <v>66</v>
      </c>
      <c r="H158" s="28" t="s">
        <v>66</v>
      </c>
      <c r="I158" s="14"/>
    </row>
    <row r="159" spans="1:9">
      <c r="A159" s="25">
        <v>158</v>
      </c>
      <c r="B159" s="29" t="s">
        <v>445</v>
      </c>
      <c r="C159" s="52" t="s">
        <v>508</v>
      </c>
      <c r="D159" s="29" t="s">
        <v>506</v>
      </c>
      <c r="E159" s="29" t="s">
        <v>509</v>
      </c>
      <c r="F159" s="52" t="s">
        <v>449</v>
      </c>
      <c r="G159" s="28" t="s">
        <v>66</v>
      </c>
      <c r="H159" s="28" t="s">
        <v>66</v>
      </c>
      <c r="I159" s="14"/>
    </row>
    <row r="160" spans="1:9">
      <c r="A160" s="25">
        <v>159</v>
      </c>
      <c r="B160" s="29" t="s">
        <v>445</v>
      </c>
      <c r="C160" s="52" t="s">
        <v>510</v>
      </c>
      <c r="D160" s="29" t="s">
        <v>511</v>
      </c>
      <c r="E160" s="29" t="s">
        <v>512</v>
      </c>
      <c r="F160" s="52" t="s">
        <v>449</v>
      </c>
      <c r="G160" s="28" t="s">
        <v>66</v>
      </c>
      <c r="H160" s="28" t="s">
        <v>66</v>
      </c>
      <c r="I160" s="14"/>
    </row>
    <row r="161" spans="1:9">
      <c r="A161" s="25">
        <v>160</v>
      </c>
      <c r="B161" s="29" t="s">
        <v>445</v>
      </c>
      <c r="C161" s="52" t="s">
        <v>513</v>
      </c>
      <c r="D161" s="29" t="s">
        <v>511</v>
      </c>
      <c r="E161" s="29" t="s">
        <v>514</v>
      </c>
      <c r="F161" s="52" t="s">
        <v>449</v>
      </c>
      <c r="G161" s="28" t="s">
        <v>66</v>
      </c>
      <c r="H161" s="28" t="s">
        <v>66</v>
      </c>
      <c r="I161" s="14"/>
    </row>
    <row r="162" spans="1:9">
      <c r="A162" s="25">
        <v>161</v>
      </c>
      <c r="B162" s="29" t="s">
        <v>445</v>
      </c>
      <c r="C162" s="52" t="s">
        <v>515</v>
      </c>
      <c r="D162" s="29" t="s">
        <v>516</v>
      </c>
      <c r="E162" s="29" t="s">
        <v>517</v>
      </c>
      <c r="F162" s="52" t="s">
        <v>449</v>
      </c>
      <c r="G162" s="28" t="s">
        <v>61</v>
      </c>
      <c r="H162" s="28" t="s">
        <v>66</v>
      </c>
      <c r="I162" s="14"/>
    </row>
    <row r="163" spans="1:9">
      <c r="A163" s="25">
        <v>162</v>
      </c>
      <c r="B163" s="29" t="s">
        <v>445</v>
      </c>
      <c r="C163" s="52" t="s">
        <v>518</v>
      </c>
      <c r="D163" s="29" t="s">
        <v>519</v>
      </c>
      <c r="E163" s="29" t="s">
        <v>520</v>
      </c>
      <c r="F163" s="52" t="s">
        <v>449</v>
      </c>
      <c r="G163" s="28" t="s">
        <v>61</v>
      </c>
      <c r="H163" s="28" t="s">
        <v>66</v>
      </c>
      <c r="I163" s="14"/>
    </row>
    <row r="164" spans="1:9">
      <c r="A164" s="25">
        <v>163</v>
      </c>
      <c r="B164" s="29" t="s">
        <v>445</v>
      </c>
      <c r="C164" s="52" t="s">
        <v>521</v>
      </c>
      <c r="D164" s="29" t="s">
        <v>522</v>
      </c>
      <c r="E164" s="29" t="s">
        <v>523</v>
      </c>
      <c r="F164" s="52" t="s">
        <v>524</v>
      </c>
      <c r="G164" s="28" t="s">
        <v>66</v>
      </c>
      <c r="H164" s="28" t="s">
        <v>66</v>
      </c>
      <c r="I164" s="14"/>
    </row>
    <row r="165" spans="1:9">
      <c r="A165" s="25">
        <v>164</v>
      </c>
      <c r="B165" s="29" t="s">
        <v>445</v>
      </c>
      <c r="C165" s="53" t="s">
        <v>525</v>
      </c>
      <c r="D165" s="29" t="s">
        <v>522</v>
      </c>
      <c r="E165" s="29" t="s">
        <v>526</v>
      </c>
      <c r="F165" s="52" t="s">
        <v>524</v>
      </c>
      <c r="G165" s="28" t="s">
        <v>61</v>
      </c>
      <c r="H165" s="28" t="s">
        <v>66</v>
      </c>
      <c r="I165" s="14"/>
    </row>
    <row r="166" spans="1:9">
      <c r="A166" s="25">
        <v>165</v>
      </c>
      <c r="B166" s="29" t="s">
        <v>445</v>
      </c>
      <c r="C166" s="53" t="s">
        <v>527</v>
      </c>
      <c r="D166" s="29" t="s">
        <v>522</v>
      </c>
      <c r="E166" s="29" t="s">
        <v>528</v>
      </c>
      <c r="F166" s="52" t="s">
        <v>524</v>
      </c>
      <c r="G166" s="28" t="s">
        <v>61</v>
      </c>
      <c r="H166" s="28" t="s">
        <v>66</v>
      </c>
      <c r="I166" s="14"/>
    </row>
    <row r="167" spans="1:9">
      <c r="A167" s="25">
        <v>166</v>
      </c>
      <c r="B167" s="29" t="s">
        <v>445</v>
      </c>
      <c r="C167" s="53" t="s">
        <v>529</v>
      </c>
      <c r="D167" s="29" t="s">
        <v>530</v>
      </c>
      <c r="E167" s="29" t="s">
        <v>531</v>
      </c>
      <c r="F167" s="52" t="s">
        <v>524</v>
      </c>
      <c r="G167" s="28" t="s">
        <v>66</v>
      </c>
      <c r="H167" s="28" t="s">
        <v>66</v>
      </c>
      <c r="I167" s="14"/>
    </row>
    <row r="168" spans="1:9">
      <c r="A168" s="25">
        <v>167</v>
      </c>
      <c r="B168" s="29" t="s">
        <v>445</v>
      </c>
      <c r="C168" s="53" t="s">
        <v>532</v>
      </c>
      <c r="D168" s="29" t="s">
        <v>533</v>
      </c>
      <c r="E168" s="29" t="s">
        <v>534</v>
      </c>
      <c r="F168" s="52" t="s">
        <v>524</v>
      </c>
      <c r="G168" s="28" t="s">
        <v>66</v>
      </c>
      <c r="H168" s="28" t="s">
        <v>66</v>
      </c>
      <c r="I168" s="14"/>
    </row>
    <row r="169" spans="1:9">
      <c r="A169" s="25">
        <v>168</v>
      </c>
      <c r="B169" s="29" t="s">
        <v>445</v>
      </c>
      <c r="C169" s="53" t="s">
        <v>535</v>
      </c>
      <c r="D169" s="29" t="s">
        <v>533</v>
      </c>
      <c r="E169" s="29" t="s">
        <v>536</v>
      </c>
      <c r="F169" s="52" t="s">
        <v>524</v>
      </c>
      <c r="G169" s="28" t="s">
        <v>61</v>
      </c>
      <c r="H169" s="28" t="s">
        <v>66</v>
      </c>
      <c r="I169" s="14"/>
    </row>
    <row r="170" spans="1:9">
      <c r="A170" s="25">
        <v>169</v>
      </c>
      <c r="B170" s="29" t="s">
        <v>445</v>
      </c>
      <c r="C170" s="53" t="s">
        <v>537</v>
      </c>
      <c r="D170" s="29" t="s">
        <v>533</v>
      </c>
      <c r="E170" s="29" t="s">
        <v>538</v>
      </c>
      <c r="F170" s="52" t="s">
        <v>524</v>
      </c>
      <c r="G170" s="28" t="s">
        <v>61</v>
      </c>
      <c r="H170" s="28" t="s">
        <v>66</v>
      </c>
      <c r="I170" s="14"/>
    </row>
    <row r="171" spans="1:9">
      <c r="A171" s="25">
        <v>170</v>
      </c>
      <c r="B171" s="29" t="s">
        <v>445</v>
      </c>
      <c r="C171" s="53" t="s">
        <v>539</v>
      </c>
      <c r="D171" s="29" t="s">
        <v>540</v>
      </c>
      <c r="E171" s="29" t="s">
        <v>541</v>
      </c>
      <c r="F171" s="52" t="s">
        <v>524</v>
      </c>
      <c r="G171" s="28" t="s">
        <v>66</v>
      </c>
      <c r="H171" s="28" t="s">
        <v>66</v>
      </c>
      <c r="I171" s="14"/>
    </row>
    <row r="172" spans="1:9">
      <c r="A172" s="25">
        <v>171</v>
      </c>
      <c r="B172" s="29" t="s">
        <v>445</v>
      </c>
      <c r="C172" s="52" t="s">
        <v>542</v>
      </c>
      <c r="D172" s="29" t="s">
        <v>543</v>
      </c>
      <c r="E172" s="29" t="s">
        <v>544</v>
      </c>
      <c r="F172" s="52" t="s">
        <v>524</v>
      </c>
      <c r="G172" s="28" t="s">
        <v>66</v>
      </c>
      <c r="H172" s="28" t="s">
        <v>66</v>
      </c>
      <c r="I172" s="14"/>
    </row>
    <row r="173" spans="1:9">
      <c r="A173" s="25">
        <v>172</v>
      </c>
      <c r="B173" s="29" t="s">
        <v>445</v>
      </c>
      <c r="C173" s="52" t="s">
        <v>545</v>
      </c>
      <c r="D173" s="29" t="s">
        <v>546</v>
      </c>
      <c r="E173" s="29" t="s">
        <v>547</v>
      </c>
      <c r="F173" s="52" t="s">
        <v>524</v>
      </c>
      <c r="G173" s="28" t="s">
        <v>66</v>
      </c>
      <c r="H173" s="28" t="s">
        <v>66</v>
      </c>
      <c r="I173" s="14"/>
    </row>
    <row r="174" spans="1:9">
      <c r="A174" s="25">
        <v>173</v>
      </c>
      <c r="B174" s="29" t="s">
        <v>445</v>
      </c>
      <c r="C174" s="53" t="s">
        <v>548</v>
      </c>
      <c r="D174" s="29" t="s">
        <v>549</v>
      </c>
      <c r="E174" s="29" t="s">
        <v>550</v>
      </c>
      <c r="F174" s="52" t="s">
        <v>524</v>
      </c>
      <c r="G174" s="28" t="s">
        <v>61</v>
      </c>
      <c r="H174" s="28" t="s">
        <v>66</v>
      </c>
      <c r="I174" s="14"/>
    </row>
    <row r="175" spans="1:9">
      <c r="A175" s="25">
        <v>174</v>
      </c>
      <c r="B175" s="29" t="s">
        <v>445</v>
      </c>
      <c r="C175" s="52" t="s">
        <v>551</v>
      </c>
      <c r="D175" s="29" t="s">
        <v>552</v>
      </c>
      <c r="E175" s="29" t="s">
        <v>553</v>
      </c>
      <c r="F175" s="52" t="s">
        <v>371</v>
      </c>
      <c r="G175" s="28" t="s">
        <v>61</v>
      </c>
      <c r="H175" s="28" t="s">
        <v>61</v>
      </c>
      <c r="I175" s="14"/>
    </row>
    <row r="176" spans="1:9">
      <c r="A176" s="25">
        <v>175</v>
      </c>
      <c r="B176" s="29" t="s">
        <v>445</v>
      </c>
      <c r="C176" s="52" t="s">
        <v>554</v>
      </c>
      <c r="D176" s="29" t="s">
        <v>552</v>
      </c>
      <c r="E176" s="29" t="s">
        <v>555</v>
      </c>
      <c r="F176" s="52" t="s">
        <v>371</v>
      </c>
      <c r="G176" s="28" t="s">
        <v>61</v>
      </c>
      <c r="H176" s="28" t="s">
        <v>61</v>
      </c>
      <c r="I176" s="14"/>
    </row>
    <row r="177" spans="1:9">
      <c r="A177" s="25">
        <v>176</v>
      </c>
      <c r="B177" s="29" t="s">
        <v>445</v>
      </c>
      <c r="C177" s="52" t="s">
        <v>556</v>
      </c>
      <c r="D177" s="29" t="s">
        <v>557</v>
      </c>
      <c r="E177" s="29" t="s">
        <v>558</v>
      </c>
      <c r="F177" s="52" t="s">
        <v>149</v>
      </c>
      <c r="G177" s="28" t="s">
        <v>61</v>
      </c>
      <c r="H177" s="28" t="s">
        <v>61</v>
      </c>
      <c r="I177" s="14"/>
    </row>
    <row r="178" spans="1:9">
      <c r="A178" s="25">
        <v>177</v>
      </c>
      <c r="B178" s="29" t="s">
        <v>445</v>
      </c>
      <c r="C178" s="52" t="s">
        <v>559</v>
      </c>
      <c r="D178" s="29" t="s">
        <v>560</v>
      </c>
      <c r="E178" s="29" t="s">
        <v>561</v>
      </c>
      <c r="F178" s="52" t="s">
        <v>449</v>
      </c>
      <c r="G178" s="28" t="s">
        <v>61</v>
      </c>
      <c r="H178" s="28" t="s">
        <v>66</v>
      </c>
      <c r="I178" s="14"/>
    </row>
    <row r="179" spans="1:9">
      <c r="A179" s="25">
        <v>178</v>
      </c>
      <c r="B179" s="29" t="s">
        <v>445</v>
      </c>
      <c r="C179" s="52" t="s">
        <v>562</v>
      </c>
      <c r="D179" s="29" t="s">
        <v>560</v>
      </c>
      <c r="E179" s="29" t="s">
        <v>563</v>
      </c>
      <c r="F179" s="52" t="s">
        <v>449</v>
      </c>
      <c r="G179" s="28" t="s">
        <v>61</v>
      </c>
      <c r="H179" s="28" t="s">
        <v>66</v>
      </c>
      <c r="I179" s="14"/>
    </row>
    <row r="180" spans="1:9">
      <c r="A180" s="25">
        <v>179</v>
      </c>
      <c r="B180" s="29" t="s">
        <v>445</v>
      </c>
      <c r="C180" s="52" t="s">
        <v>564</v>
      </c>
      <c r="D180" s="29" t="s">
        <v>565</v>
      </c>
      <c r="E180" s="29" t="s">
        <v>566</v>
      </c>
      <c r="F180" s="52" t="s">
        <v>149</v>
      </c>
      <c r="G180" s="28" t="s">
        <v>61</v>
      </c>
      <c r="H180" s="28" t="s">
        <v>66</v>
      </c>
      <c r="I180" s="14"/>
    </row>
    <row r="181" spans="1:9">
      <c r="A181" s="25">
        <v>180</v>
      </c>
      <c r="B181" s="29" t="s">
        <v>445</v>
      </c>
      <c r="C181" s="52" t="s">
        <v>567</v>
      </c>
      <c r="D181" s="29" t="s">
        <v>568</v>
      </c>
      <c r="E181" s="29" t="s">
        <v>569</v>
      </c>
      <c r="F181" s="52" t="s">
        <v>70</v>
      </c>
      <c r="G181" s="28" t="s">
        <v>61</v>
      </c>
      <c r="H181" s="28" t="s">
        <v>66</v>
      </c>
      <c r="I181" s="14"/>
    </row>
    <row r="182" spans="1:9">
      <c r="A182" s="25">
        <v>181</v>
      </c>
      <c r="B182" s="29" t="s">
        <v>445</v>
      </c>
      <c r="C182" s="52" t="s">
        <v>570</v>
      </c>
      <c r="D182" s="29" t="s">
        <v>571</v>
      </c>
      <c r="E182" s="29" t="s">
        <v>572</v>
      </c>
      <c r="F182" s="52" t="s">
        <v>70</v>
      </c>
      <c r="G182" s="28" t="s">
        <v>61</v>
      </c>
      <c r="H182" s="28" t="s">
        <v>66</v>
      </c>
      <c r="I182" s="14"/>
    </row>
    <row r="183" spans="1:9">
      <c r="A183" s="25">
        <v>182</v>
      </c>
      <c r="B183" s="29" t="s">
        <v>445</v>
      </c>
      <c r="C183" s="52" t="s">
        <v>573</v>
      </c>
      <c r="D183" s="29" t="s">
        <v>571</v>
      </c>
      <c r="E183" s="29" t="s">
        <v>574</v>
      </c>
      <c r="F183" s="52" t="s">
        <v>70</v>
      </c>
      <c r="G183" s="28" t="s">
        <v>61</v>
      </c>
      <c r="H183" s="28" t="s">
        <v>66</v>
      </c>
      <c r="I183" s="14"/>
    </row>
    <row r="184" spans="1:9">
      <c r="A184" s="25">
        <v>183</v>
      </c>
      <c r="B184" s="29" t="s">
        <v>445</v>
      </c>
      <c r="C184" s="52" t="s">
        <v>575</v>
      </c>
      <c r="D184" s="29" t="s">
        <v>576</v>
      </c>
      <c r="E184" s="29" t="s">
        <v>577</v>
      </c>
      <c r="F184" s="52" t="s">
        <v>211</v>
      </c>
      <c r="G184" s="28" t="s">
        <v>61</v>
      </c>
      <c r="H184" s="28" t="s">
        <v>66</v>
      </c>
      <c r="I184" s="14"/>
    </row>
    <row r="185" spans="1:9">
      <c r="A185" s="25">
        <v>184</v>
      </c>
      <c r="B185" s="29" t="s">
        <v>445</v>
      </c>
      <c r="C185" s="52" t="s">
        <v>578</v>
      </c>
      <c r="D185" s="29" t="s">
        <v>576</v>
      </c>
      <c r="E185" s="29" t="s">
        <v>579</v>
      </c>
      <c r="F185" s="52" t="s">
        <v>211</v>
      </c>
      <c r="G185" s="28" t="s">
        <v>61</v>
      </c>
      <c r="H185" s="28" t="s">
        <v>66</v>
      </c>
      <c r="I185" s="14"/>
    </row>
    <row r="186" spans="1:9">
      <c r="A186" s="25">
        <v>185</v>
      </c>
      <c r="B186" s="29" t="s">
        <v>445</v>
      </c>
      <c r="C186" s="52" t="s">
        <v>580</v>
      </c>
      <c r="D186" s="29" t="s">
        <v>576</v>
      </c>
      <c r="E186" s="29" t="s">
        <v>581</v>
      </c>
      <c r="F186" s="52" t="s">
        <v>211</v>
      </c>
      <c r="G186" s="28" t="s">
        <v>61</v>
      </c>
      <c r="H186" s="28" t="s">
        <v>66</v>
      </c>
      <c r="I186" s="14"/>
    </row>
    <row r="187" spans="1:9">
      <c r="A187" s="25">
        <v>186</v>
      </c>
      <c r="B187" s="29" t="s">
        <v>445</v>
      </c>
      <c r="C187" s="52" t="s">
        <v>582</v>
      </c>
      <c r="D187" s="29" t="s">
        <v>576</v>
      </c>
      <c r="E187" s="29" t="s">
        <v>583</v>
      </c>
      <c r="F187" s="52" t="s">
        <v>211</v>
      </c>
      <c r="G187" s="28" t="s">
        <v>61</v>
      </c>
      <c r="H187" s="28" t="s">
        <v>66</v>
      </c>
      <c r="I187" s="14"/>
    </row>
    <row r="188" spans="1:9">
      <c r="A188" s="25">
        <v>187</v>
      </c>
      <c r="B188" s="29" t="s">
        <v>445</v>
      </c>
      <c r="C188" s="53" t="s">
        <v>584</v>
      </c>
      <c r="D188" s="29" t="s">
        <v>585</v>
      </c>
      <c r="E188" s="29" t="s">
        <v>586</v>
      </c>
      <c r="F188" s="52" t="s">
        <v>70</v>
      </c>
      <c r="G188" s="28" t="s">
        <v>61</v>
      </c>
      <c r="H188" s="28" t="s">
        <v>61</v>
      </c>
      <c r="I188" s="14"/>
    </row>
    <row r="189" spans="1:9">
      <c r="A189" s="25">
        <v>188</v>
      </c>
      <c r="B189" s="29" t="s">
        <v>445</v>
      </c>
      <c r="C189" s="52" t="s">
        <v>587</v>
      </c>
      <c r="D189" s="29" t="s">
        <v>588</v>
      </c>
      <c r="E189" s="29" t="s">
        <v>589</v>
      </c>
      <c r="F189" s="52" t="s">
        <v>312</v>
      </c>
      <c r="G189" s="28" t="s">
        <v>61</v>
      </c>
      <c r="H189" s="28" t="s">
        <v>61</v>
      </c>
      <c r="I189" s="14"/>
    </row>
    <row r="190" spans="1:9">
      <c r="A190" s="25">
        <v>189</v>
      </c>
      <c r="B190" s="29" t="s">
        <v>445</v>
      </c>
      <c r="C190" s="52" t="s">
        <v>590</v>
      </c>
      <c r="D190" s="29" t="s">
        <v>591</v>
      </c>
      <c r="E190" s="29" t="s">
        <v>592</v>
      </c>
      <c r="F190" s="52" t="s">
        <v>371</v>
      </c>
      <c r="G190" s="28" t="s">
        <v>61</v>
      </c>
      <c r="H190" s="28" t="s">
        <v>61</v>
      </c>
      <c r="I190" s="14"/>
    </row>
    <row r="191" spans="1:9">
      <c r="A191" s="25">
        <v>190</v>
      </c>
      <c r="B191" s="29" t="s">
        <v>445</v>
      </c>
      <c r="C191" s="52" t="s">
        <v>593</v>
      </c>
      <c r="D191" s="29" t="s">
        <v>591</v>
      </c>
      <c r="E191" s="29" t="s">
        <v>594</v>
      </c>
      <c r="F191" s="52" t="s">
        <v>371</v>
      </c>
      <c r="G191" s="28" t="s">
        <v>61</v>
      </c>
      <c r="H191" s="28" t="s">
        <v>61</v>
      </c>
      <c r="I191" s="14"/>
    </row>
    <row r="192" spans="1:9">
      <c r="A192" s="25">
        <v>191</v>
      </c>
      <c r="B192" s="29" t="s">
        <v>445</v>
      </c>
      <c r="C192" s="52" t="s">
        <v>595</v>
      </c>
      <c r="D192" s="29" t="s">
        <v>591</v>
      </c>
      <c r="E192" s="29" t="s">
        <v>596</v>
      </c>
      <c r="F192" s="52" t="s">
        <v>371</v>
      </c>
      <c r="G192" s="28" t="s">
        <v>61</v>
      </c>
      <c r="H192" s="28" t="s">
        <v>61</v>
      </c>
      <c r="I192" s="14"/>
    </row>
    <row r="193" spans="1:9">
      <c r="A193" s="25">
        <v>192</v>
      </c>
      <c r="B193" s="29" t="s">
        <v>445</v>
      </c>
      <c r="C193" s="52" t="s">
        <v>597</v>
      </c>
      <c r="D193" s="29" t="s">
        <v>591</v>
      </c>
      <c r="E193" s="29" t="s">
        <v>598</v>
      </c>
      <c r="F193" s="52" t="s">
        <v>371</v>
      </c>
      <c r="G193" s="28" t="s">
        <v>61</v>
      </c>
      <c r="H193" s="28" t="s">
        <v>61</v>
      </c>
      <c r="I193" s="14"/>
    </row>
    <row r="194" spans="1:9">
      <c r="A194" s="25">
        <v>193</v>
      </c>
      <c r="B194" s="29" t="s">
        <v>445</v>
      </c>
      <c r="C194" s="52" t="s">
        <v>599</v>
      </c>
      <c r="D194" s="29" t="s">
        <v>600</v>
      </c>
      <c r="E194" s="29" t="s">
        <v>601</v>
      </c>
      <c r="F194" s="52" t="s">
        <v>449</v>
      </c>
      <c r="G194" s="28" t="s">
        <v>61</v>
      </c>
      <c r="H194" s="28" t="s">
        <v>66</v>
      </c>
      <c r="I194" s="14"/>
    </row>
    <row r="195" spans="1:9">
      <c r="A195" s="25">
        <v>194</v>
      </c>
      <c r="B195" s="29" t="s">
        <v>445</v>
      </c>
      <c r="C195" s="52" t="s">
        <v>602</v>
      </c>
      <c r="D195" s="29" t="s">
        <v>600</v>
      </c>
      <c r="E195" s="29" t="s">
        <v>603</v>
      </c>
      <c r="F195" s="52" t="s">
        <v>449</v>
      </c>
      <c r="G195" s="28" t="s">
        <v>61</v>
      </c>
      <c r="H195" s="28" t="s">
        <v>66</v>
      </c>
      <c r="I195" s="14"/>
    </row>
    <row r="196" spans="1:9">
      <c r="A196" s="25">
        <v>195</v>
      </c>
      <c r="B196" s="29" t="s">
        <v>445</v>
      </c>
      <c r="C196" s="52" t="s">
        <v>604</v>
      </c>
      <c r="D196" s="29" t="s">
        <v>600</v>
      </c>
      <c r="E196" s="29" t="s">
        <v>605</v>
      </c>
      <c r="F196" s="52" t="s">
        <v>449</v>
      </c>
      <c r="G196" s="28" t="s">
        <v>61</v>
      </c>
      <c r="H196" s="28" t="s">
        <v>66</v>
      </c>
      <c r="I196" s="14"/>
    </row>
    <row r="197" spans="1:9">
      <c r="A197" s="25">
        <v>196</v>
      </c>
      <c r="B197" s="29" t="s">
        <v>445</v>
      </c>
      <c r="C197" s="52" t="s">
        <v>606</v>
      </c>
      <c r="D197" s="29" t="s">
        <v>600</v>
      </c>
      <c r="E197" s="29" t="s">
        <v>607</v>
      </c>
      <c r="F197" s="52" t="s">
        <v>449</v>
      </c>
      <c r="G197" s="28" t="s">
        <v>61</v>
      </c>
      <c r="H197" s="28" t="s">
        <v>66</v>
      </c>
      <c r="I197" s="14"/>
    </row>
    <row r="198" spans="1:9">
      <c r="A198" s="25">
        <v>197</v>
      </c>
      <c r="B198" s="29" t="s">
        <v>445</v>
      </c>
      <c r="C198" s="52" t="s">
        <v>608</v>
      </c>
      <c r="D198" s="29" t="s">
        <v>609</v>
      </c>
      <c r="E198" s="29" t="s">
        <v>610</v>
      </c>
      <c r="F198" s="52" t="s">
        <v>449</v>
      </c>
      <c r="G198" s="28" t="s">
        <v>61</v>
      </c>
      <c r="H198" s="28" t="s">
        <v>66</v>
      </c>
      <c r="I198" s="14"/>
    </row>
    <row r="199" spans="1:9">
      <c r="A199" s="25">
        <v>198</v>
      </c>
      <c r="B199" s="29" t="s">
        <v>445</v>
      </c>
      <c r="C199" s="52" t="s">
        <v>611</v>
      </c>
      <c r="D199" s="29" t="s">
        <v>609</v>
      </c>
      <c r="E199" s="29" t="s">
        <v>612</v>
      </c>
      <c r="F199" s="52" t="s">
        <v>449</v>
      </c>
      <c r="G199" s="28" t="s">
        <v>61</v>
      </c>
      <c r="H199" s="28" t="s">
        <v>66</v>
      </c>
      <c r="I199" s="14"/>
    </row>
    <row r="200" spans="1:9">
      <c r="A200" s="25">
        <v>199</v>
      </c>
      <c r="B200" s="29" t="s">
        <v>445</v>
      </c>
      <c r="C200" s="52" t="s">
        <v>613</v>
      </c>
      <c r="D200" s="29" t="s">
        <v>609</v>
      </c>
      <c r="E200" s="29" t="s">
        <v>614</v>
      </c>
      <c r="F200" s="52" t="s">
        <v>449</v>
      </c>
      <c r="G200" s="28" t="s">
        <v>61</v>
      </c>
      <c r="H200" s="28" t="s">
        <v>66</v>
      </c>
      <c r="I200" s="14"/>
    </row>
    <row r="201" spans="1:9">
      <c r="A201" s="25">
        <v>200</v>
      </c>
      <c r="B201" s="29" t="s">
        <v>445</v>
      </c>
      <c r="C201" s="52" t="s">
        <v>615</v>
      </c>
      <c r="D201" s="29" t="s">
        <v>609</v>
      </c>
      <c r="E201" s="29" t="s">
        <v>616</v>
      </c>
      <c r="F201" s="52" t="s">
        <v>449</v>
      </c>
      <c r="G201" s="28" t="s">
        <v>61</v>
      </c>
      <c r="H201" s="28" t="s">
        <v>66</v>
      </c>
      <c r="I201" s="14"/>
    </row>
    <row r="202" spans="1:9">
      <c r="A202" s="25">
        <v>201</v>
      </c>
      <c r="B202" s="29" t="s">
        <v>445</v>
      </c>
      <c r="C202" s="52" t="s">
        <v>617</v>
      </c>
      <c r="D202" s="29" t="s">
        <v>618</v>
      </c>
      <c r="E202" s="29" t="s">
        <v>619</v>
      </c>
      <c r="F202" s="52" t="s">
        <v>449</v>
      </c>
      <c r="G202" s="28" t="s">
        <v>66</v>
      </c>
      <c r="H202" s="28" t="s">
        <v>66</v>
      </c>
      <c r="I202" s="14"/>
    </row>
    <row r="203" spans="1:9">
      <c r="A203" s="25">
        <v>202</v>
      </c>
      <c r="B203" s="29" t="s">
        <v>445</v>
      </c>
      <c r="C203" s="52" t="s">
        <v>620</v>
      </c>
      <c r="D203" s="29" t="s">
        <v>618</v>
      </c>
      <c r="E203" s="29" t="s">
        <v>621</v>
      </c>
      <c r="F203" s="52" t="s">
        <v>449</v>
      </c>
      <c r="G203" s="28" t="s">
        <v>66</v>
      </c>
      <c r="H203" s="28" t="s">
        <v>66</v>
      </c>
      <c r="I203" s="14"/>
    </row>
    <row r="204" spans="1:9">
      <c r="A204" s="25">
        <v>203</v>
      </c>
      <c r="B204" s="29" t="s">
        <v>445</v>
      </c>
      <c r="C204" s="52" t="s">
        <v>622</v>
      </c>
      <c r="D204" s="29" t="s">
        <v>618</v>
      </c>
      <c r="E204" s="29" t="s">
        <v>623</v>
      </c>
      <c r="F204" s="52" t="s">
        <v>449</v>
      </c>
      <c r="G204" s="28" t="s">
        <v>66</v>
      </c>
      <c r="H204" s="28" t="s">
        <v>66</v>
      </c>
      <c r="I204" s="14"/>
    </row>
    <row r="205" spans="1:9">
      <c r="A205" s="25">
        <v>204</v>
      </c>
      <c r="B205" s="29" t="s">
        <v>445</v>
      </c>
      <c r="C205" s="52" t="s">
        <v>624</v>
      </c>
      <c r="D205" s="29" t="s">
        <v>618</v>
      </c>
      <c r="E205" s="29" t="s">
        <v>625</v>
      </c>
      <c r="F205" s="52" t="s">
        <v>449</v>
      </c>
      <c r="G205" s="28" t="s">
        <v>66</v>
      </c>
      <c r="H205" s="28" t="s">
        <v>66</v>
      </c>
      <c r="I205" s="14"/>
    </row>
    <row r="206" spans="1:9">
      <c r="A206" s="25">
        <v>205</v>
      </c>
      <c r="B206" s="29" t="s">
        <v>445</v>
      </c>
      <c r="C206" s="52" t="s">
        <v>626</v>
      </c>
      <c r="D206" s="29" t="s">
        <v>627</v>
      </c>
      <c r="E206" s="29" t="s">
        <v>628</v>
      </c>
      <c r="F206" s="52" t="s">
        <v>524</v>
      </c>
      <c r="G206" s="28" t="s">
        <v>66</v>
      </c>
      <c r="H206" s="28" t="s">
        <v>66</v>
      </c>
      <c r="I206" s="14"/>
    </row>
    <row r="207" spans="1:9">
      <c r="A207" s="25">
        <v>206</v>
      </c>
      <c r="B207" s="29" t="s">
        <v>445</v>
      </c>
      <c r="C207" s="52" t="s">
        <v>629</v>
      </c>
      <c r="D207" s="29" t="s">
        <v>627</v>
      </c>
      <c r="E207" s="29" t="s">
        <v>630</v>
      </c>
      <c r="F207" s="52" t="s">
        <v>524</v>
      </c>
      <c r="G207" s="28" t="s">
        <v>66</v>
      </c>
      <c r="H207" s="28" t="s">
        <v>66</v>
      </c>
      <c r="I207" s="14"/>
    </row>
    <row r="208" spans="1:9">
      <c r="A208" s="25">
        <v>207</v>
      </c>
      <c r="B208" s="29" t="s">
        <v>445</v>
      </c>
      <c r="C208" s="52" t="s">
        <v>631</v>
      </c>
      <c r="D208" s="29" t="s">
        <v>632</v>
      </c>
      <c r="E208" s="29" t="s">
        <v>633</v>
      </c>
      <c r="F208" s="52" t="s">
        <v>524</v>
      </c>
      <c r="G208" s="28" t="s">
        <v>66</v>
      </c>
      <c r="H208" s="28" t="s">
        <v>66</v>
      </c>
      <c r="I208" s="14"/>
    </row>
    <row r="209" spans="1:9">
      <c r="A209" s="25">
        <v>208</v>
      </c>
      <c r="B209" s="29" t="s">
        <v>445</v>
      </c>
      <c r="C209" s="52" t="s">
        <v>634</v>
      </c>
      <c r="D209" s="29" t="s">
        <v>632</v>
      </c>
      <c r="E209" s="29" t="s">
        <v>635</v>
      </c>
      <c r="F209" s="52" t="s">
        <v>524</v>
      </c>
      <c r="G209" s="28" t="s">
        <v>66</v>
      </c>
      <c r="H209" s="28" t="s">
        <v>66</v>
      </c>
      <c r="I209" s="14"/>
    </row>
    <row r="210" spans="1:9">
      <c r="A210" s="25">
        <v>209</v>
      </c>
      <c r="B210" s="29" t="s">
        <v>445</v>
      </c>
      <c r="C210" s="52" t="s">
        <v>636</v>
      </c>
      <c r="D210" s="29" t="s">
        <v>637</v>
      </c>
      <c r="E210" s="29" t="s">
        <v>638</v>
      </c>
      <c r="F210" s="52" t="s">
        <v>449</v>
      </c>
      <c r="G210" s="28" t="s">
        <v>66</v>
      </c>
      <c r="H210" s="28" t="s">
        <v>66</v>
      </c>
      <c r="I210" s="14"/>
    </row>
    <row r="211" spans="1:9">
      <c r="A211" s="25">
        <v>210</v>
      </c>
      <c r="B211" s="29" t="s">
        <v>445</v>
      </c>
      <c r="C211" s="52" t="s">
        <v>639</v>
      </c>
      <c r="D211" s="29" t="s">
        <v>637</v>
      </c>
      <c r="E211" s="29" t="s">
        <v>640</v>
      </c>
      <c r="F211" s="52" t="s">
        <v>449</v>
      </c>
      <c r="G211" s="28" t="s">
        <v>66</v>
      </c>
      <c r="H211" s="28" t="s">
        <v>66</v>
      </c>
      <c r="I211" s="14"/>
    </row>
    <row r="212" spans="1:9">
      <c r="A212" s="25">
        <v>211</v>
      </c>
      <c r="B212" s="29" t="s">
        <v>445</v>
      </c>
      <c r="C212" s="52" t="s">
        <v>641</v>
      </c>
      <c r="D212" s="29" t="s">
        <v>637</v>
      </c>
      <c r="E212" s="29" t="s">
        <v>642</v>
      </c>
      <c r="F212" s="52" t="s">
        <v>449</v>
      </c>
      <c r="G212" s="28" t="s">
        <v>66</v>
      </c>
      <c r="H212" s="28" t="s">
        <v>66</v>
      </c>
      <c r="I212" s="14"/>
    </row>
    <row r="213" spans="1:9">
      <c r="A213" s="25">
        <v>212</v>
      </c>
      <c r="B213" s="29" t="s">
        <v>445</v>
      </c>
      <c r="C213" s="52" t="s">
        <v>643</v>
      </c>
      <c r="D213" s="29" t="s">
        <v>637</v>
      </c>
      <c r="E213" s="29" t="s">
        <v>644</v>
      </c>
      <c r="F213" s="52" t="s">
        <v>449</v>
      </c>
      <c r="G213" s="28" t="s">
        <v>66</v>
      </c>
      <c r="H213" s="28" t="s">
        <v>66</v>
      </c>
      <c r="I213" s="14"/>
    </row>
    <row r="214" spans="1:9">
      <c r="A214" s="25">
        <v>213</v>
      </c>
      <c r="B214" s="29" t="s">
        <v>445</v>
      </c>
      <c r="C214" s="52" t="s">
        <v>645</v>
      </c>
      <c r="D214" s="29" t="s">
        <v>646</v>
      </c>
      <c r="E214" s="29" t="s">
        <v>647</v>
      </c>
      <c r="F214" s="52" t="s">
        <v>449</v>
      </c>
      <c r="G214" s="28" t="s">
        <v>66</v>
      </c>
      <c r="H214" s="28" t="s">
        <v>66</v>
      </c>
      <c r="I214" s="14"/>
    </row>
    <row r="215" spans="1:9">
      <c r="A215" s="25">
        <v>214</v>
      </c>
      <c r="B215" s="29" t="s">
        <v>445</v>
      </c>
      <c r="C215" s="52" t="s">
        <v>648</v>
      </c>
      <c r="D215" s="29" t="s">
        <v>646</v>
      </c>
      <c r="E215" s="29" t="s">
        <v>649</v>
      </c>
      <c r="F215" s="52" t="s">
        <v>449</v>
      </c>
      <c r="G215" s="28" t="s">
        <v>66</v>
      </c>
      <c r="H215" s="28" t="s">
        <v>66</v>
      </c>
      <c r="I215" s="14"/>
    </row>
    <row r="216" spans="1:9">
      <c r="A216" s="25">
        <v>215</v>
      </c>
      <c r="B216" s="29" t="s">
        <v>445</v>
      </c>
      <c r="C216" s="52" t="s">
        <v>650</v>
      </c>
      <c r="D216" s="29" t="s">
        <v>646</v>
      </c>
      <c r="E216" s="29" t="s">
        <v>651</v>
      </c>
      <c r="F216" s="52" t="s">
        <v>449</v>
      </c>
      <c r="G216" s="28" t="s">
        <v>66</v>
      </c>
      <c r="H216" s="28" t="s">
        <v>66</v>
      </c>
      <c r="I216" s="14"/>
    </row>
    <row r="217" spans="1:9">
      <c r="A217" s="25">
        <v>216</v>
      </c>
      <c r="B217" s="29" t="s">
        <v>445</v>
      </c>
      <c r="C217" s="52" t="s">
        <v>652</v>
      </c>
      <c r="D217" s="29" t="s">
        <v>646</v>
      </c>
      <c r="E217" s="29" t="s">
        <v>653</v>
      </c>
      <c r="F217" s="52" t="s">
        <v>449</v>
      </c>
      <c r="G217" s="28" t="s">
        <v>66</v>
      </c>
      <c r="H217" s="28" t="s">
        <v>66</v>
      </c>
      <c r="I217" s="14"/>
    </row>
    <row r="218" spans="1:9">
      <c r="A218" s="25">
        <v>217</v>
      </c>
      <c r="B218" s="29" t="s">
        <v>445</v>
      </c>
      <c r="C218" s="52" t="s">
        <v>654</v>
      </c>
      <c r="D218" s="29" t="s">
        <v>655</v>
      </c>
      <c r="E218" s="29" t="s">
        <v>656</v>
      </c>
      <c r="F218" s="52" t="s">
        <v>449</v>
      </c>
      <c r="G218" s="28" t="s">
        <v>66</v>
      </c>
      <c r="H218" s="28" t="s">
        <v>66</v>
      </c>
      <c r="I218" s="14"/>
    </row>
    <row r="219" spans="1:9">
      <c r="A219" s="25">
        <v>218</v>
      </c>
      <c r="B219" s="29" t="s">
        <v>445</v>
      </c>
      <c r="C219" s="52" t="s">
        <v>657</v>
      </c>
      <c r="D219" s="29" t="s">
        <v>655</v>
      </c>
      <c r="E219" s="29" t="s">
        <v>658</v>
      </c>
      <c r="F219" s="52" t="s">
        <v>449</v>
      </c>
      <c r="G219" s="28" t="s">
        <v>66</v>
      </c>
      <c r="H219" s="28" t="s">
        <v>66</v>
      </c>
      <c r="I219" s="14"/>
    </row>
    <row r="220" spans="1:9">
      <c r="A220" s="25">
        <v>219</v>
      </c>
      <c r="B220" s="29" t="s">
        <v>445</v>
      </c>
      <c r="C220" s="52" t="s">
        <v>659</v>
      </c>
      <c r="D220" s="29" t="s">
        <v>655</v>
      </c>
      <c r="E220" s="29" t="s">
        <v>660</v>
      </c>
      <c r="F220" s="52" t="s">
        <v>449</v>
      </c>
      <c r="G220" s="28" t="s">
        <v>66</v>
      </c>
      <c r="H220" s="28" t="s">
        <v>66</v>
      </c>
      <c r="I220" s="14"/>
    </row>
    <row r="221" spans="1:9">
      <c r="A221" s="25">
        <v>220</v>
      </c>
      <c r="B221" s="29" t="s">
        <v>445</v>
      </c>
      <c r="C221" s="52" t="s">
        <v>661</v>
      </c>
      <c r="D221" s="29" t="s">
        <v>655</v>
      </c>
      <c r="E221" s="29" t="s">
        <v>662</v>
      </c>
      <c r="F221" s="52" t="s">
        <v>449</v>
      </c>
      <c r="G221" s="28" t="s">
        <v>66</v>
      </c>
      <c r="H221" s="28" t="s">
        <v>66</v>
      </c>
      <c r="I221" s="14"/>
    </row>
    <row r="222" spans="1:9">
      <c r="A222" s="25">
        <v>221</v>
      </c>
      <c r="B222" s="29" t="s">
        <v>445</v>
      </c>
      <c r="C222" s="52" t="s">
        <v>663</v>
      </c>
      <c r="D222" s="29" t="s">
        <v>664</v>
      </c>
      <c r="E222" s="29" t="s">
        <v>665</v>
      </c>
      <c r="F222" s="52" t="s">
        <v>77</v>
      </c>
      <c r="G222" s="28" t="s">
        <v>61</v>
      </c>
      <c r="H222" s="28" t="s">
        <v>66</v>
      </c>
      <c r="I222" s="14"/>
    </row>
    <row r="223" spans="1:9">
      <c r="A223" s="25">
        <v>222</v>
      </c>
      <c r="B223" s="29" t="s">
        <v>445</v>
      </c>
      <c r="C223" s="52" t="s">
        <v>666</v>
      </c>
      <c r="D223" s="29" t="s">
        <v>667</v>
      </c>
      <c r="E223" s="29" t="s">
        <v>668</v>
      </c>
      <c r="F223" s="52" t="s">
        <v>77</v>
      </c>
      <c r="G223" s="28" t="s">
        <v>61</v>
      </c>
      <c r="H223" s="28" t="s">
        <v>66</v>
      </c>
      <c r="I223" s="14"/>
    </row>
    <row r="224" spans="1:9">
      <c r="A224" s="25">
        <v>223</v>
      </c>
      <c r="B224" s="29" t="s">
        <v>445</v>
      </c>
      <c r="C224" s="52" t="s">
        <v>669</v>
      </c>
      <c r="D224" s="29" t="s">
        <v>670</v>
      </c>
      <c r="E224" s="29" t="s">
        <v>671</v>
      </c>
      <c r="F224" s="52" t="s">
        <v>149</v>
      </c>
      <c r="G224" s="28" t="s">
        <v>61</v>
      </c>
      <c r="H224" s="28" t="s">
        <v>61</v>
      </c>
      <c r="I224" s="14"/>
    </row>
    <row r="225" spans="1:9">
      <c r="A225" s="25">
        <v>224</v>
      </c>
      <c r="B225" s="29" t="s">
        <v>445</v>
      </c>
      <c r="C225" s="52" t="s">
        <v>672</v>
      </c>
      <c r="D225" s="29" t="s">
        <v>673</v>
      </c>
      <c r="E225" s="29" t="s">
        <v>674</v>
      </c>
      <c r="F225" s="52" t="s">
        <v>524</v>
      </c>
      <c r="G225" s="28" t="s">
        <v>61</v>
      </c>
      <c r="H225" s="28" t="s">
        <v>66</v>
      </c>
      <c r="I225" s="14"/>
    </row>
    <row r="226" spans="1:9">
      <c r="A226" s="25">
        <v>225</v>
      </c>
      <c r="B226" s="29" t="s">
        <v>445</v>
      </c>
      <c r="C226" s="52" t="s">
        <v>675</v>
      </c>
      <c r="D226" s="29" t="s">
        <v>676</v>
      </c>
      <c r="E226" s="29" t="s">
        <v>677</v>
      </c>
      <c r="F226" s="52" t="s">
        <v>524</v>
      </c>
      <c r="G226" s="28" t="s">
        <v>61</v>
      </c>
      <c r="H226" s="28" t="s">
        <v>66</v>
      </c>
      <c r="I226" s="14"/>
    </row>
    <row r="227" spans="1:9">
      <c r="A227" s="25">
        <v>226</v>
      </c>
      <c r="B227" s="29" t="s">
        <v>445</v>
      </c>
      <c r="C227" s="52" t="s">
        <v>678</v>
      </c>
      <c r="D227" s="29" t="s">
        <v>679</v>
      </c>
      <c r="E227" s="29" t="s">
        <v>680</v>
      </c>
      <c r="F227" s="52" t="s">
        <v>524</v>
      </c>
      <c r="G227" s="28" t="s">
        <v>61</v>
      </c>
      <c r="H227" s="28" t="s">
        <v>66</v>
      </c>
      <c r="I227" s="14"/>
    </row>
    <row r="228" spans="1:9">
      <c r="A228" s="25">
        <v>227</v>
      </c>
      <c r="B228" s="29" t="s">
        <v>445</v>
      </c>
      <c r="C228" s="52" t="s">
        <v>681</v>
      </c>
      <c r="D228" s="29" t="s">
        <v>679</v>
      </c>
      <c r="E228" s="29" t="s">
        <v>682</v>
      </c>
      <c r="F228" s="52" t="s">
        <v>524</v>
      </c>
      <c r="G228" s="28" t="s">
        <v>61</v>
      </c>
      <c r="H228" s="28" t="s">
        <v>66</v>
      </c>
      <c r="I228" s="14"/>
    </row>
    <row r="229" spans="1:9">
      <c r="A229" s="25">
        <v>228</v>
      </c>
      <c r="B229" s="29" t="s">
        <v>445</v>
      </c>
      <c r="C229" s="52" t="s">
        <v>683</v>
      </c>
      <c r="D229" s="29" t="s">
        <v>684</v>
      </c>
      <c r="E229" s="29" t="s">
        <v>685</v>
      </c>
      <c r="F229" s="52" t="s">
        <v>70</v>
      </c>
      <c r="G229" s="28" t="s">
        <v>61</v>
      </c>
      <c r="H229" s="28" t="s">
        <v>61</v>
      </c>
      <c r="I229" s="14"/>
    </row>
    <row r="230" spans="1:9">
      <c r="A230" s="25">
        <v>229</v>
      </c>
      <c r="B230" s="29" t="s">
        <v>445</v>
      </c>
      <c r="C230" s="52" t="s">
        <v>686</v>
      </c>
      <c r="D230" s="29" t="s">
        <v>684</v>
      </c>
      <c r="E230" s="29" t="s">
        <v>687</v>
      </c>
      <c r="F230" s="52" t="s">
        <v>312</v>
      </c>
      <c r="G230" s="28" t="s">
        <v>61</v>
      </c>
      <c r="H230" s="28" t="s">
        <v>61</v>
      </c>
      <c r="I230" s="14"/>
    </row>
    <row r="231" spans="1:9">
      <c r="A231" s="25">
        <v>230</v>
      </c>
      <c r="B231" s="29" t="s">
        <v>445</v>
      </c>
      <c r="C231" s="52" t="s">
        <v>688</v>
      </c>
      <c r="D231" s="29" t="s">
        <v>689</v>
      </c>
      <c r="E231" s="51" t="s">
        <v>689</v>
      </c>
      <c r="F231" s="51" t="s">
        <v>689</v>
      </c>
      <c r="G231" s="28" t="s">
        <v>66</v>
      </c>
      <c r="H231" s="28" t="s">
        <v>66</v>
      </c>
      <c r="I231" s="14"/>
    </row>
    <row r="232" spans="1:9">
      <c r="A232" s="25">
        <v>231</v>
      </c>
      <c r="B232" s="29" t="s">
        <v>690</v>
      </c>
      <c r="C232" s="52" t="s">
        <v>691</v>
      </c>
      <c r="D232" s="29" t="s">
        <v>692</v>
      </c>
      <c r="E232" s="29" t="s">
        <v>693</v>
      </c>
      <c r="F232" s="52" t="s">
        <v>83</v>
      </c>
      <c r="G232" s="28" t="s">
        <v>61</v>
      </c>
      <c r="H232" s="28" t="s">
        <v>61</v>
      </c>
      <c r="I232" s="14"/>
    </row>
    <row r="233" spans="1:9">
      <c r="A233" s="25">
        <v>232</v>
      </c>
      <c r="B233" s="29" t="s">
        <v>690</v>
      </c>
      <c r="C233" s="52" t="s">
        <v>694</v>
      </c>
      <c r="D233" s="29" t="s">
        <v>695</v>
      </c>
      <c r="E233" s="29" t="s">
        <v>696</v>
      </c>
      <c r="F233" s="52" t="s">
        <v>211</v>
      </c>
      <c r="G233" s="28" t="s">
        <v>61</v>
      </c>
      <c r="H233" s="28" t="s">
        <v>61</v>
      </c>
      <c r="I233" s="14"/>
    </row>
    <row r="234" spans="1:9">
      <c r="A234" s="25">
        <v>233</v>
      </c>
      <c r="B234" s="29" t="s">
        <v>690</v>
      </c>
      <c r="C234" s="52" t="s">
        <v>697</v>
      </c>
      <c r="D234" s="29" t="s">
        <v>695</v>
      </c>
      <c r="E234" s="29" t="s">
        <v>698</v>
      </c>
      <c r="F234" s="52" t="s">
        <v>211</v>
      </c>
      <c r="G234" s="28" t="s">
        <v>61</v>
      </c>
      <c r="H234" s="28" t="s">
        <v>61</v>
      </c>
      <c r="I234" s="14"/>
    </row>
    <row r="235" spans="1:9">
      <c r="A235" s="25">
        <v>234</v>
      </c>
      <c r="B235" s="29" t="s">
        <v>690</v>
      </c>
      <c r="C235" s="52" t="s">
        <v>699</v>
      </c>
      <c r="D235" s="29" t="s">
        <v>700</v>
      </c>
      <c r="E235" s="29" t="s">
        <v>701</v>
      </c>
      <c r="F235" s="52" t="s">
        <v>211</v>
      </c>
      <c r="G235" s="28" t="s">
        <v>61</v>
      </c>
      <c r="H235" s="28" t="s">
        <v>61</v>
      </c>
      <c r="I235" s="14"/>
    </row>
    <row r="236" spans="1:9">
      <c r="A236" s="25">
        <v>235</v>
      </c>
      <c r="B236" s="29" t="s">
        <v>690</v>
      </c>
      <c r="C236" s="52" t="s">
        <v>702</v>
      </c>
      <c r="D236" s="29" t="s">
        <v>700</v>
      </c>
      <c r="E236" s="29" t="s">
        <v>703</v>
      </c>
      <c r="F236" s="52" t="s">
        <v>211</v>
      </c>
      <c r="G236" s="28" t="s">
        <v>61</v>
      </c>
      <c r="H236" s="28" t="s">
        <v>61</v>
      </c>
      <c r="I236" s="14"/>
    </row>
    <row r="237" spans="1:9">
      <c r="A237" s="25">
        <v>236</v>
      </c>
      <c r="B237" s="29" t="s">
        <v>690</v>
      </c>
      <c r="C237" s="52" t="s">
        <v>704</v>
      </c>
      <c r="D237" s="29" t="s">
        <v>705</v>
      </c>
      <c r="E237" s="29" t="s">
        <v>706</v>
      </c>
      <c r="F237" s="52" t="s">
        <v>211</v>
      </c>
      <c r="G237" s="28" t="s">
        <v>61</v>
      </c>
      <c r="H237" s="28" t="s">
        <v>61</v>
      </c>
      <c r="I237" s="14"/>
    </row>
    <row r="238" spans="1:9">
      <c r="A238" s="25">
        <v>237</v>
      </c>
      <c r="B238" s="29" t="s">
        <v>690</v>
      </c>
      <c r="C238" s="52" t="s">
        <v>707</v>
      </c>
      <c r="D238" s="29" t="s">
        <v>705</v>
      </c>
      <c r="E238" s="29" t="s">
        <v>708</v>
      </c>
      <c r="F238" s="52" t="s">
        <v>211</v>
      </c>
      <c r="G238" s="28" t="s">
        <v>61</v>
      </c>
      <c r="H238" s="28" t="s">
        <v>61</v>
      </c>
      <c r="I238" s="14"/>
    </row>
    <row r="239" spans="1:9">
      <c r="A239" s="25">
        <v>238</v>
      </c>
      <c r="B239" s="29" t="s">
        <v>690</v>
      </c>
      <c r="C239" s="52" t="s">
        <v>709</v>
      </c>
      <c r="D239" s="29" t="s">
        <v>710</v>
      </c>
      <c r="E239" s="29" t="s">
        <v>711</v>
      </c>
      <c r="F239" s="52" t="s">
        <v>712</v>
      </c>
      <c r="G239" s="28" t="s">
        <v>61</v>
      </c>
      <c r="H239" s="28" t="s">
        <v>61</v>
      </c>
      <c r="I239" s="14"/>
    </row>
    <row r="240" spans="1:9">
      <c r="A240" s="25">
        <v>239</v>
      </c>
      <c r="B240" s="29" t="s">
        <v>690</v>
      </c>
      <c r="C240" s="52" t="s">
        <v>713</v>
      </c>
      <c r="D240" s="29" t="s">
        <v>714</v>
      </c>
      <c r="E240" s="29" t="s">
        <v>715</v>
      </c>
      <c r="F240" s="52" t="s">
        <v>83</v>
      </c>
      <c r="G240" s="28" t="s">
        <v>61</v>
      </c>
      <c r="H240" s="28" t="s">
        <v>61</v>
      </c>
      <c r="I240" s="14"/>
    </row>
    <row r="241" spans="1:9">
      <c r="A241" s="25">
        <v>240</v>
      </c>
      <c r="B241" s="29" t="s">
        <v>690</v>
      </c>
      <c r="C241" s="52" t="s">
        <v>716</v>
      </c>
      <c r="D241" s="29" t="s">
        <v>714</v>
      </c>
      <c r="E241" s="29" t="s">
        <v>717</v>
      </c>
      <c r="F241" s="52" t="s">
        <v>83</v>
      </c>
      <c r="G241" s="28" t="s">
        <v>61</v>
      </c>
      <c r="H241" s="28" t="s">
        <v>61</v>
      </c>
      <c r="I241" s="14"/>
    </row>
    <row r="242" spans="1:9">
      <c r="A242" s="25">
        <v>241</v>
      </c>
      <c r="B242" s="29" t="s">
        <v>690</v>
      </c>
      <c r="C242" s="52" t="s">
        <v>718</v>
      </c>
      <c r="D242" s="29" t="s">
        <v>719</v>
      </c>
      <c r="E242" s="29" t="s">
        <v>720</v>
      </c>
      <c r="F242" s="52" t="s">
        <v>721</v>
      </c>
      <c r="G242" s="28" t="s">
        <v>61</v>
      </c>
      <c r="H242" s="28" t="s">
        <v>61</v>
      </c>
      <c r="I242" s="14"/>
    </row>
    <row r="243" spans="1:9">
      <c r="A243" s="25">
        <v>242</v>
      </c>
      <c r="B243" s="29" t="s">
        <v>690</v>
      </c>
      <c r="C243" s="52" t="s">
        <v>722</v>
      </c>
      <c r="D243" s="29" t="s">
        <v>723</v>
      </c>
      <c r="E243" s="29" t="s">
        <v>724</v>
      </c>
      <c r="F243" s="52" t="s">
        <v>725</v>
      </c>
      <c r="G243" s="28" t="s">
        <v>61</v>
      </c>
      <c r="H243" s="28" t="s">
        <v>61</v>
      </c>
      <c r="I243" s="14"/>
    </row>
    <row r="244" spans="1:9">
      <c r="A244" s="25">
        <v>243</v>
      </c>
      <c r="B244" s="29" t="s">
        <v>690</v>
      </c>
      <c r="C244" s="52" t="s">
        <v>726</v>
      </c>
      <c r="D244" s="29" t="s">
        <v>727</v>
      </c>
      <c r="E244" s="29" t="s">
        <v>728</v>
      </c>
      <c r="F244" s="52" t="s">
        <v>725</v>
      </c>
      <c r="G244" s="28" t="s">
        <v>61</v>
      </c>
      <c r="H244" s="28" t="s">
        <v>61</v>
      </c>
      <c r="I244" s="14"/>
    </row>
    <row r="245" spans="1:9">
      <c r="A245" s="25">
        <v>244</v>
      </c>
      <c r="B245" s="29" t="s">
        <v>690</v>
      </c>
      <c r="C245" s="52" t="s">
        <v>729</v>
      </c>
      <c r="D245" s="29" t="s">
        <v>730</v>
      </c>
      <c r="E245" s="29" t="s">
        <v>731</v>
      </c>
      <c r="F245" s="52" t="s">
        <v>725</v>
      </c>
      <c r="G245" s="28" t="s">
        <v>61</v>
      </c>
      <c r="H245" s="28" t="s">
        <v>66</v>
      </c>
      <c r="I245" s="14"/>
    </row>
    <row r="246" spans="1:9">
      <c r="A246" s="25">
        <v>245</v>
      </c>
      <c r="B246" s="29" t="s">
        <v>690</v>
      </c>
      <c r="C246" s="52" t="s">
        <v>732</v>
      </c>
      <c r="D246" s="29" t="s">
        <v>733</v>
      </c>
      <c r="E246" s="29" t="s">
        <v>734</v>
      </c>
      <c r="F246" s="52" t="s">
        <v>725</v>
      </c>
      <c r="G246" s="28" t="s">
        <v>61</v>
      </c>
      <c r="H246" s="28" t="s">
        <v>66</v>
      </c>
      <c r="I246" s="14"/>
    </row>
    <row r="247" spans="1:9">
      <c r="A247" s="25">
        <v>246</v>
      </c>
      <c r="B247" s="29" t="s">
        <v>690</v>
      </c>
      <c r="C247" s="52" t="s">
        <v>735</v>
      </c>
      <c r="D247" s="29" t="s">
        <v>736</v>
      </c>
      <c r="E247" s="29" t="s">
        <v>737</v>
      </c>
      <c r="F247" s="52" t="s">
        <v>65</v>
      </c>
      <c r="G247" s="28" t="s">
        <v>61</v>
      </c>
      <c r="H247" s="28" t="s">
        <v>61</v>
      </c>
      <c r="I247" s="14"/>
    </row>
    <row r="248" spans="1:9">
      <c r="A248" s="25">
        <v>247</v>
      </c>
      <c r="B248" s="29" t="s">
        <v>690</v>
      </c>
      <c r="C248" s="52" t="s">
        <v>738</v>
      </c>
      <c r="D248" s="29" t="s">
        <v>736</v>
      </c>
      <c r="E248" s="29" t="s">
        <v>739</v>
      </c>
      <c r="F248" s="52" t="s">
        <v>740</v>
      </c>
      <c r="G248" s="28" t="s">
        <v>61</v>
      </c>
      <c r="H248" s="28" t="s">
        <v>61</v>
      </c>
      <c r="I248" s="14"/>
    </row>
    <row r="249" spans="1:9">
      <c r="A249" s="25">
        <v>248</v>
      </c>
      <c r="B249" s="29" t="s">
        <v>690</v>
      </c>
      <c r="C249" s="52" t="s">
        <v>741</v>
      </c>
      <c r="D249" s="29" t="s">
        <v>742</v>
      </c>
      <c r="E249" s="29" t="s">
        <v>743</v>
      </c>
      <c r="F249" s="52" t="s">
        <v>725</v>
      </c>
      <c r="G249" s="28" t="s">
        <v>61</v>
      </c>
      <c r="H249" s="28" t="s">
        <v>61</v>
      </c>
      <c r="I249" s="14"/>
    </row>
    <row r="250" spans="1:9">
      <c r="A250" s="25">
        <v>249</v>
      </c>
      <c r="B250" s="29" t="s">
        <v>690</v>
      </c>
      <c r="C250" s="52" t="s">
        <v>744</v>
      </c>
      <c r="D250" s="29" t="s">
        <v>742</v>
      </c>
      <c r="E250" s="29" t="s">
        <v>745</v>
      </c>
      <c r="F250" s="52" t="s">
        <v>725</v>
      </c>
      <c r="G250" s="28" t="s">
        <v>61</v>
      </c>
      <c r="H250" s="28" t="s">
        <v>61</v>
      </c>
      <c r="I250" s="14"/>
    </row>
    <row r="251" spans="1:9">
      <c r="A251" s="25">
        <v>250</v>
      </c>
      <c r="B251" s="29" t="s">
        <v>690</v>
      </c>
      <c r="C251" s="52" t="s">
        <v>746</v>
      </c>
      <c r="D251" s="29" t="s">
        <v>742</v>
      </c>
      <c r="E251" s="29" t="s">
        <v>747</v>
      </c>
      <c r="F251" s="52" t="s">
        <v>721</v>
      </c>
      <c r="G251" s="28" t="s">
        <v>61</v>
      </c>
      <c r="H251" s="28" t="s">
        <v>61</v>
      </c>
      <c r="I251" s="14"/>
    </row>
    <row r="252" spans="1:9">
      <c r="A252" s="25">
        <v>251</v>
      </c>
      <c r="B252" s="29" t="s">
        <v>690</v>
      </c>
      <c r="C252" s="52" t="s">
        <v>748</v>
      </c>
      <c r="D252" s="29" t="s">
        <v>742</v>
      </c>
      <c r="E252" s="29" t="s">
        <v>749</v>
      </c>
      <c r="F252" s="52" t="s">
        <v>721</v>
      </c>
      <c r="G252" s="28" t="s">
        <v>61</v>
      </c>
      <c r="H252" s="28" t="s">
        <v>61</v>
      </c>
      <c r="I252" s="14"/>
    </row>
    <row r="253" spans="1:9">
      <c r="A253" s="25">
        <v>252</v>
      </c>
      <c r="B253" s="29" t="s">
        <v>690</v>
      </c>
      <c r="C253" s="52" t="s">
        <v>750</v>
      </c>
      <c r="D253" s="29" t="s">
        <v>751</v>
      </c>
      <c r="E253" s="29" t="s">
        <v>752</v>
      </c>
      <c r="F253" s="52" t="s">
        <v>725</v>
      </c>
      <c r="G253" s="28" t="s">
        <v>61</v>
      </c>
      <c r="H253" s="28" t="s">
        <v>61</v>
      </c>
      <c r="I253" s="14"/>
    </row>
    <row r="254" spans="1:9">
      <c r="A254" s="25">
        <v>253</v>
      </c>
      <c r="B254" s="29" t="s">
        <v>690</v>
      </c>
      <c r="C254" s="52" t="s">
        <v>753</v>
      </c>
      <c r="D254" s="29" t="s">
        <v>751</v>
      </c>
      <c r="E254" s="29" t="s">
        <v>754</v>
      </c>
      <c r="F254" s="52" t="s">
        <v>725</v>
      </c>
      <c r="G254" s="28" t="s">
        <v>61</v>
      </c>
      <c r="H254" s="28" t="s">
        <v>61</v>
      </c>
      <c r="I254" s="14"/>
    </row>
    <row r="255" spans="1:9">
      <c r="A255" s="25">
        <v>254</v>
      </c>
      <c r="B255" s="29" t="s">
        <v>690</v>
      </c>
      <c r="C255" s="52" t="s">
        <v>755</v>
      </c>
      <c r="D255" s="29" t="s">
        <v>751</v>
      </c>
      <c r="E255" s="29" t="s">
        <v>756</v>
      </c>
      <c r="F255" s="52" t="s">
        <v>725</v>
      </c>
      <c r="G255" s="28" t="s">
        <v>61</v>
      </c>
      <c r="H255" s="28" t="s">
        <v>61</v>
      </c>
      <c r="I255" s="14"/>
    </row>
    <row r="256" spans="1:9">
      <c r="A256" s="25">
        <v>255</v>
      </c>
      <c r="B256" s="29" t="s">
        <v>690</v>
      </c>
      <c r="C256" s="52" t="s">
        <v>757</v>
      </c>
      <c r="D256" s="29" t="s">
        <v>751</v>
      </c>
      <c r="E256" s="29" t="s">
        <v>758</v>
      </c>
      <c r="F256" s="52" t="s">
        <v>725</v>
      </c>
      <c r="G256" s="28" t="s">
        <v>61</v>
      </c>
      <c r="H256" s="28" t="s">
        <v>61</v>
      </c>
      <c r="I256" s="14"/>
    </row>
    <row r="257" spans="1:9">
      <c r="A257" s="25">
        <v>256</v>
      </c>
      <c r="B257" s="29" t="s">
        <v>690</v>
      </c>
      <c r="C257" s="52" t="s">
        <v>759</v>
      </c>
      <c r="D257" s="29" t="s">
        <v>760</v>
      </c>
      <c r="E257" s="29" t="s">
        <v>761</v>
      </c>
      <c r="F257" s="52" t="s">
        <v>725</v>
      </c>
      <c r="G257" s="28" t="s">
        <v>61</v>
      </c>
      <c r="H257" s="28" t="s">
        <v>66</v>
      </c>
      <c r="I257" s="14"/>
    </row>
    <row r="258" spans="1:9">
      <c r="A258" s="25">
        <v>257</v>
      </c>
      <c r="B258" s="29" t="s">
        <v>690</v>
      </c>
      <c r="C258" s="52" t="s">
        <v>762</v>
      </c>
      <c r="D258" s="29" t="s">
        <v>763</v>
      </c>
      <c r="E258" s="29" t="s">
        <v>764</v>
      </c>
      <c r="F258" s="52" t="s">
        <v>725</v>
      </c>
      <c r="G258" s="28" t="s">
        <v>61</v>
      </c>
      <c r="H258" s="28" t="s">
        <v>66</v>
      </c>
      <c r="I258" s="14"/>
    </row>
    <row r="259" spans="1:9">
      <c r="A259" s="25">
        <v>258</v>
      </c>
      <c r="B259" s="29" t="s">
        <v>690</v>
      </c>
      <c r="C259" s="52" t="s">
        <v>765</v>
      </c>
      <c r="D259" s="29" t="s">
        <v>766</v>
      </c>
      <c r="E259" s="29" t="s">
        <v>767</v>
      </c>
      <c r="F259" s="52" t="s">
        <v>524</v>
      </c>
      <c r="G259" s="28" t="s">
        <v>61</v>
      </c>
      <c r="H259" s="28" t="s">
        <v>61</v>
      </c>
      <c r="I259" s="14"/>
    </row>
    <row r="260" spans="1:9">
      <c r="A260" s="25">
        <v>259</v>
      </c>
      <c r="B260" s="29" t="s">
        <v>690</v>
      </c>
      <c r="C260" s="52" t="s">
        <v>768</v>
      </c>
      <c r="D260" s="29" t="s">
        <v>766</v>
      </c>
      <c r="E260" s="29" t="s">
        <v>769</v>
      </c>
      <c r="F260" s="52" t="s">
        <v>524</v>
      </c>
      <c r="G260" s="28" t="s">
        <v>61</v>
      </c>
      <c r="H260" s="28" t="s">
        <v>61</v>
      </c>
      <c r="I260" s="14"/>
    </row>
    <row r="261" spans="1:9">
      <c r="A261" s="25">
        <v>260</v>
      </c>
      <c r="B261" s="29" t="s">
        <v>690</v>
      </c>
      <c r="C261" s="52" t="s">
        <v>770</v>
      </c>
      <c r="D261" s="29"/>
      <c r="E261" s="29" t="s">
        <v>771</v>
      </c>
      <c r="F261" s="52" t="s">
        <v>721</v>
      </c>
      <c r="G261" s="28" t="s">
        <v>61</v>
      </c>
      <c r="H261" s="28" t="s">
        <v>61</v>
      </c>
      <c r="I261" s="14"/>
    </row>
    <row r="262" spans="1:9">
      <c r="A262" s="25">
        <v>261</v>
      </c>
      <c r="B262" s="29" t="s">
        <v>690</v>
      </c>
      <c r="C262" s="52" t="s">
        <v>772</v>
      </c>
      <c r="D262" s="29"/>
      <c r="E262" s="29" t="s">
        <v>773</v>
      </c>
      <c r="F262" s="52" t="s">
        <v>721</v>
      </c>
      <c r="G262" s="28" t="s">
        <v>61</v>
      </c>
      <c r="H262" s="28" t="s">
        <v>61</v>
      </c>
      <c r="I262" s="14"/>
    </row>
    <row r="263" spans="1:9">
      <c r="A263" s="25">
        <v>262</v>
      </c>
      <c r="B263" s="29" t="s">
        <v>690</v>
      </c>
      <c r="C263" s="52" t="s">
        <v>774</v>
      </c>
      <c r="D263" s="29"/>
      <c r="E263" s="29" t="s">
        <v>775</v>
      </c>
      <c r="F263" s="52" t="s">
        <v>776</v>
      </c>
      <c r="G263" s="28" t="s">
        <v>61</v>
      </c>
      <c r="H263" s="28" t="s">
        <v>61</v>
      </c>
      <c r="I263" s="14"/>
    </row>
    <row r="264" spans="1:9">
      <c r="A264" s="25">
        <v>263</v>
      </c>
      <c r="B264" s="29" t="s">
        <v>690</v>
      </c>
      <c r="C264" s="52" t="s">
        <v>777</v>
      </c>
      <c r="D264" s="29"/>
      <c r="E264" s="29" t="s">
        <v>778</v>
      </c>
      <c r="F264" s="52" t="s">
        <v>779</v>
      </c>
      <c r="G264" s="28" t="s">
        <v>61</v>
      </c>
      <c r="H264" s="28" t="s">
        <v>61</v>
      </c>
      <c r="I264" s="14"/>
    </row>
    <row r="265" spans="1:9">
      <c r="A265" s="25">
        <v>264</v>
      </c>
      <c r="B265" s="29" t="s">
        <v>780</v>
      </c>
      <c r="C265" s="52" t="s">
        <v>781</v>
      </c>
      <c r="D265" s="29" t="s">
        <v>782</v>
      </c>
      <c r="E265" s="29" t="s">
        <v>783</v>
      </c>
      <c r="F265" s="52" t="s">
        <v>784</v>
      </c>
      <c r="G265" s="28" t="s">
        <v>61</v>
      </c>
      <c r="H265" s="28" t="s">
        <v>66</v>
      </c>
      <c r="I265" s="14"/>
    </row>
    <row r="266" spans="1:9">
      <c r="A266" s="25">
        <v>265</v>
      </c>
      <c r="B266" s="29" t="s">
        <v>780</v>
      </c>
      <c r="C266" s="52" t="s">
        <v>785</v>
      </c>
      <c r="D266" s="29" t="s">
        <v>782</v>
      </c>
      <c r="E266" s="29" t="s">
        <v>786</v>
      </c>
      <c r="F266" s="52" t="s">
        <v>784</v>
      </c>
      <c r="G266" s="28" t="s">
        <v>61</v>
      </c>
      <c r="H266" s="28" t="s">
        <v>66</v>
      </c>
      <c r="I266" s="14"/>
    </row>
    <row r="267" spans="1:9">
      <c r="A267" s="25">
        <v>266</v>
      </c>
      <c r="B267" s="29" t="s">
        <v>780</v>
      </c>
      <c r="C267" s="52" t="s">
        <v>787</v>
      </c>
      <c r="D267" s="29" t="s">
        <v>782</v>
      </c>
      <c r="E267" s="29" t="s">
        <v>788</v>
      </c>
      <c r="F267" s="52" t="s">
        <v>784</v>
      </c>
      <c r="G267" s="28" t="s">
        <v>61</v>
      </c>
      <c r="H267" s="28" t="s">
        <v>66</v>
      </c>
      <c r="I267" s="14"/>
    </row>
    <row r="268" spans="1:9">
      <c r="A268" s="25">
        <v>267</v>
      </c>
      <c r="B268" s="29" t="s">
        <v>780</v>
      </c>
      <c r="C268" s="52" t="s">
        <v>789</v>
      </c>
      <c r="D268" s="29" t="s">
        <v>790</v>
      </c>
      <c r="E268" s="29" t="s">
        <v>791</v>
      </c>
      <c r="F268" s="52" t="s">
        <v>784</v>
      </c>
      <c r="G268" s="28" t="s">
        <v>61</v>
      </c>
      <c r="H268" s="28" t="s">
        <v>66</v>
      </c>
      <c r="I268" s="14"/>
    </row>
    <row r="269" spans="1:9">
      <c r="A269" s="25">
        <v>268</v>
      </c>
      <c r="B269" s="29" t="s">
        <v>780</v>
      </c>
      <c r="C269" s="52" t="s">
        <v>792</v>
      </c>
      <c r="D269" s="29" t="s">
        <v>790</v>
      </c>
      <c r="E269" s="29" t="s">
        <v>793</v>
      </c>
      <c r="F269" s="52" t="s">
        <v>784</v>
      </c>
      <c r="G269" s="28" t="s">
        <v>61</v>
      </c>
      <c r="H269" s="28" t="s">
        <v>66</v>
      </c>
      <c r="I269" s="14"/>
    </row>
    <row r="270" spans="1:9">
      <c r="A270" s="25">
        <v>269</v>
      </c>
      <c r="B270" s="29" t="s">
        <v>780</v>
      </c>
      <c r="C270" s="52" t="s">
        <v>794</v>
      </c>
      <c r="D270" s="29" t="s">
        <v>795</v>
      </c>
      <c r="E270" s="29" t="s">
        <v>796</v>
      </c>
      <c r="F270" s="52" t="s">
        <v>784</v>
      </c>
      <c r="G270" s="28" t="s">
        <v>61</v>
      </c>
      <c r="H270" s="28" t="s">
        <v>66</v>
      </c>
      <c r="I270" s="14"/>
    </row>
    <row r="271" spans="1:9">
      <c r="A271" s="25">
        <v>270</v>
      </c>
      <c r="B271" s="29" t="s">
        <v>780</v>
      </c>
      <c r="C271" s="52" t="s">
        <v>797</v>
      </c>
      <c r="D271" s="29" t="s">
        <v>795</v>
      </c>
      <c r="E271" s="29" t="s">
        <v>798</v>
      </c>
      <c r="F271" s="52" t="s">
        <v>784</v>
      </c>
      <c r="G271" s="28" t="s">
        <v>61</v>
      </c>
      <c r="H271" s="28" t="s">
        <v>66</v>
      </c>
      <c r="I271" s="14"/>
    </row>
    <row r="272" spans="1:9">
      <c r="A272" s="25">
        <v>271</v>
      </c>
      <c r="B272" s="29" t="s">
        <v>780</v>
      </c>
      <c r="C272" s="52" t="s">
        <v>799</v>
      </c>
      <c r="D272" s="29" t="s">
        <v>795</v>
      </c>
      <c r="E272" s="29" t="s">
        <v>800</v>
      </c>
      <c r="F272" s="52" t="s">
        <v>784</v>
      </c>
      <c r="G272" s="28" t="s">
        <v>61</v>
      </c>
      <c r="H272" s="28" t="s">
        <v>66</v>
      </c>
      <c r="I272" s="14"/>
    </row>
    <row r="273" spans="1:9">
      <c r="A273" s="25">
        <v>272</v>
      </c>
      <c r="B273" s="29" t="s">
        <v>780</v>
      </c>
      <c r="C273" s="52" t="s">
        <v>801</v>
      </c>
      <c r="D273" s="29" t="s">
        <v>802</v>
      </c>
      <c r="E273" s="29" t="s">
        <v>803</v>
      </c>
      <c r="F273" s="52" t="s">
        <v>382</v>
      </c>
      <c r="G273" s="28" t="s">
        <v>61</v>
      </c>
      <c r="H273" s="28" t="s">
        <v>66</v>
      </c>
      <c r="I273" s="14"/>
    </row>
    <row r="274" spans="1:9">
      <c r="A274" s="25">
        <v>273</v>
      </c>
      <c r="B274" s="29" t="s">
        <v>780</v>
      </c>
      <c r="C274" s="52" t="s">
        <v>804</v>
      </c>
      <c r="D274" s="29" t="s">
        <v>805</v>
      </c>
      <c r="E274" s="29" t="s">
        <v>806</v>
      </c>
      <c r="F274" s="52" t="s">
        <v>382</v>
      </c>
      <c r="G274" s="28" t="s">
        <v>61</v>
      </c>
      <c r="H274" s="28" t="s">
        <v>66</v>
      </c>
      <c r="I274" s="14"/>
    </row>
    <row r="275" spans="1:9">
      <c r="A275" s="25">
        <v>274</v>
      </c>
      <c r="B275" s="29" t="s">
        <v>780</v>
      </c>
      <c r="C275" s="52" t="s">
        <v>807</v>
      </c>
      <c r="D275" s="29" t="s">
        <v>808</v>
      </c>
      <c r="E275" s="29" t="s">
        <v>809</v>
      </c>
      <c r="F275" s="52" t="s">
        <v>382</v>
      </c>
      <c r="G275" s="28" t="s">
        <v>61</v>
      </c>
      <c r="H275" s="28" t="s">
        <v>66</v>
      </c>
      <c r="I275" s="14"/>
    </row>
    <row r="276" spans="1:9">
      <c r="A276" s="25">
        <v>275</v>
      </c>
      <c r="B276" s="29" t="s">
        <v>780</v>
      </c>
      <c r="C276" s="52" t="s">
        <v>810</v>
      </c>
      <c r="D276" s="29" t="s">
        <v>811</v>
      </c>
      <c r="E276" s="29" t="s">
        <v>812</v>
      </c>
      <c r="F276" s="52" t="s">
        <v>382</v>
      </c>
      <c r="G276" s="28" t="s">
        <v>61</v>
      </c>
      <c r="H276" s="28" t="s">
        <v>66</v>
      </c>
      <c r="I276" s="14"/>
    </row>
    <row r="277" spans="1:9">
      <c r="A277" s="25">
        <v>276</v>
      </c>
      <c r="B277" s="29" t="s">
        <v>780</v>
      </c>
      <c r="C277" s="52" t="s">
        <v>813</v>
      </c>
      <c r="D277" s="29" t="s">
        <v>814</v>
      </c>
      <c r="E277" s="29" t="s">
        <v>815</v>
      </c>
      <c r="F277" s="52" t="s">
        <v>382</v>
      </c>
      <c r="G277" s="28" t="s">
        <v>61</v>
      </c>
      <c r="H277" s="28" t="s">
        <v>66</v>
      </c>
      <c r="I277" s="14"/>
    </row>
    <row r="278" spans="1:9">
      <c r="A278" s="25">
        <v>277</v>
      </c>
      <c r="B278" s="29" t="s">
        <v>780</v>
      </c>
      <c r="C278" s="52" t="s">
        <v>816</v>
      </c>
      <c r="D278" s="29" t="s">
        <v>817</v>
      </c>
      <c r="E278" s="29" t="s">
        <v>818</v>
      </c>
      <c r="F278" s="52" t="s">
        <v>382</v>
      </c>
      <c r="G278" s="28" t="s">
        <v>61</v>
      </c>
      <c r="H278" s="28" t="s">
        <v>66</v>
      </c>
      <c r="I278" s="14"/>
    </row>
    <row r="279" spans="1:9">
      <c r="A279" s="25">
        <v>278</v>
      </c>
      <c r="B279" s="29" t="s">
        <v>780</v>
      </c>
      <c r="C279" s="52" t="s">
        <v>819</v>
      </c>
      <c r="D279" s="29" t="s">
        <v>820</v>
      </c>
      <c r="E279" s="29" t="s">
        <v>821</v>
      </c>
      <c r="F279" s="52" t="s">
        <v>382</v>
      </c>
      <c r="G279" s="28" t="s">
        <v>61</v>
      </c>
      <c r="H279" s="28" t="s">
        <v>66</v>
      </c>
      <c r="I279" s="14"/>
    </row>
    <row r="280" spans="1:9">
      <c r="A280" s="25">
        <v>279</v>
      </c>
      <c r="B280" s="29" t="s">
        <v>780</v>
      </c>
      <c r="C280" s="52" t="s">
        <v>822</v>
      </c>
      <c r="D280" s="29" t="s">
        <v>823</v>
      </c>
      <c r="E280" s="29" t="s">
        <v>824</v>
      </c>
      <c r="F280" s="52" t="s">
        <v>389</v>
      </c>
      <c r="G280" s="28" t="s">
        <v>61</v>
      </c>
      <c r="H280" s="28" t="s">
        <v>66</v>
      </c>
      <c r="I280" s="14"/>
    </row>
    <row r="281" spans="1:9">
      <c r="A281" s="25">
        <v>280</v>
      </c>
      <c r="B281" s="29" t="s">
        <v>780</v>
      </c>
      <c r="C281" s="52" t="s">
        <v>825</v>
      </c>
      <c r="D281" s="29" t="s">
        <v>823</v>
      </c>
      <c r="E281" s="29" t="s">
        <v>826</v>
      </c>
      <c r="F281" s="52" t="s">
        <v>389</v>
      </c>
      <c r="G281" s="28" t="s">
        <v>61</v>
      </c>
      <c r="H281" s="28" t="s">
        <v>66</v>
      </c>
      <c r="I281" s="14"/>
    </row>
    <row r="282" spans="1:9">
      <c r="A282" s="25">
        <v>281</v>
      </c>
      <c r="B282" s="29" t="s">
        <v>780</v>
      </c>
      <c r="C282" s="52" t="s">
        <v>827</v>
      </c>
      <c r="D282" s="29" t="s">
        <v>823</v>
      </c>
      <c r="E282" s="29" t="s">
        <v>828</v>
      </c>
      <c r="F282" s="52" t="s">
        <v>389</v>
      </c>
      <c r="G282" s="28" t="s">
        <v>61</v>
      </c>
      <c r="H282" s="28" t="s">
        <v>66</v>
      </c>
      <c r="I282" s="14"/>
    </row>
    <row r="283" spans="1:9">
      <c r="A283" s="25">
        <v>282</v>
      </c>
      <c r="B283" s="29" t="s">
        <v>780</v>
      </c>
      <c r="C283" s="52" t="s">
        <v>829</v>
      </c>
      <c r="D283" s="29" t="s">
        <v>823</v>
      </c>
      <c r="E283" s="29" t="s">
        <v>830</v>
      </c>
      <c r="F283" s="52" t="s">
        <v>389</v>
      </c>
      <c r="G283" s="28" t="s">
        <v>61</v>
      </c>
      <c r="H283" s="28" t="s">
        <v>66</v>
      </c>
      <c r="I283" s="14"/>
    </row>
    <row r="284" spans="1:9">
      <c r="A284" s="25">
        <v>283</v>
      </c>
      <c r="B284" s="29" t="s">
        <v>780</v>
      </c>
      <c r="C284" s="52" t="s">
        <v>831</v>
      </c>
      <c r="D284" s="29" t="s">
        <v>823</v>
      </c>
      <c r="E284" s="29" t="s">
        <v>832</v>
      </c>
      <c r="F284" s="52" t="s">
        <v>389</v>
      </c>
      <c r="G284" s="28" t="s">
        <v>61</v>
      </c>
      <c r="H284" s="28" t="s">
        <v>66</v>
      </c>
      <c r="I284" s="14"/>
    </row>
    <row r="285" spans="1:9">
      <c r="A285" s="25">
        <v>284</v>
      </c>
      <c r="B285" s="29" t="s">
        <v>780</v>
      </c>
      <c r="C285" s="52" t="s">
        <v>833</v>
      </c>
      <c r="D285" s="29" t="s">
        <v>823</v>
      </c>
      <c r="E285" s="29" t="s">
        <v>834</v>
      </c>
      <c r="F285" s="52" t="s">
        <v>389</v>
      </c>
      <c r="G285" s="28" t="s">
        <v>61</v>
      </c>
      <c r="H285" s="28" t="s">
        <v>66</v>
      </c>
      <c r="I285" s="14"/>
    </row>
    <row r="286" spans="1:9">
      <c r="A286" s="25">
        <v>285</v>
      </c>
      <c r="B286" s="29" t="s">
        <v>780</v>
      </c>
      <c r="C286" s="52" t="s">
        <v>835</v>
      </c>
      <c r="D286" s="29" t="s">
        <v>823</v>
      </c>
      <c r="E286" s="29" t="s">
        <v>836</v>
      </c>
      <c r="F286" s="52" t="s">
        <v>211</v>
      </c>
      <c r="G286" s="28" t="s">
        <v>61</v>
      </c>
      <c r="H286" s="28" t="s">
        <v>66</v>
      </c>
      <c r="I286" s="14"/>
    </row>
    <row r="287" spans="1:9">
      <c r="A287" s="25">
        <v>286</v>
      </c>
      <c r="B287" s="29" t="s">
        <v>780</v>
      </c>
      <c r="C287" s="52" t="s">
        <v>837</v>
      </c>
      <c r="D287" s="29" t="s">
        <v>823</v>
      </c>
      <c r="E287" s="29" t="s">
        <v>838</v>
      </c>
      <c r="F287" s="52" t="s">
        <v>211</v>
      </c>
      <c r="G287" s="28" t="s">
        <v>61</v>
      </c>
      <c r="H287" s="28" t="s">
        <v>66</v>
      </c>
      <c r="I287" s="14"/>
    </row>
    <row r="288" spans="1:9">
      <c r="A288" s="25">
        <v>287</v>
      </c>
      <c r="B288" s="29" t="s">
        <v>780</v>
      </c>
      <c r="C288" s="52" t="s">
        <v>839</v>
      </c>
      <c r="D288" s="29" t="s">
        <v>823</v>
      </c>
      <c r="E288" s="29" t="s">
        <v>840</v>
      </c>
      <c r="F288" s="52" t="s">
        <v>211</v>
      </c>
      <c r="G288" s="28" t="s">
        <v>61</v>
      </c>
      <c r="H288" s="28" t="s">
        <v>66</v>
      </c>
      <c r="I288" s="14"/>
    </row>
    <row r="289" spans="1:9">
      <c r="A289" s="25">
        <v>288</v>
      </c>
      <c r="B289" s="29" t="s">
        <v>780</v>
      </c>
      <c r="C289" s="52" t="s">
        <v>841</v>
      </c>
      <c r="D289" s="29" t="s">
        <v>842</v>
      </c>
      <c r="E289" s="29" t="s">
        <v>843</v>
      </c>
      <c r="F289" s="52" t="s">
        <v>70</v>
      </c>
      <c r="G289" s="28" t="s">
        <v>61</v>
      </c>
      <c r="H289" s="28" t="s">
        <v>61</v>
      </c>
      <c r="I289" s="14"/>
    </row>
    <row r="290" spans="1:9">
      <c r="A290" s="25">
        <v>289</v>
      </c>
      <c r="B290" s="29" t="s">
        <v>780</v>
      </c>
      <c r="C290" s="52" t="s">
        <v>844</v>
      </c>
      <c r="D290" s="29" t="s">
        <v>842</v>
      </c>
      <c r="E290" s="29" t="s">
        <v>845</v>
      </c>
      <c r="F290" s="52" t="s">
        <v>70</v>
      </c>
      <c r="G290" s="28" t="s">
        <v>61</v>
      </c>
      <c r="H290" s="28" t="s">
        <v>61</v>
      </c>
      <c r="I290" s="14"/>
    </row>
    <row r="291" spans="1:9">
      <c r="A291" s="25">
        <v>290</v>
      </c>
      <c r="B291" s="29" t="s">
        <v>780</v>
      </c>
      <c r="C291" s="52" t="s">
        <v>846</v>
      </c>
      <c r="D291" s="29" t="s">
        <v>842</v>
      </c>
      <c r="E291" s="29" t="s">
        <v>847</v>
      </c>
      <c r="F291" s="52" t="s">
        <v>73</v>
      </c>
      <c r="G291" s="28" t="s">
        <v>61</v>
      </c>
      <c r="H291" s="28" t="s">
        <v>61</v>
      </c>
      <c r="I291" s="14"/>
    </row>
    <row r="292" spans="1:9">
      <c r="A292" s="25">
        <v>291</v>
      </c>
      <c r="B292" s="29" t="s">
        <v>780</v>
      </c>
      <c r="C292" s="52" t="s">
        <v>848</v>
      </c>
      <c r="D292" s="29" t="s">
        <v>849</v>
      </c>
      <c r="E292" s="29" t="s">
        <v>850</v>
      </c>
      <c r="F292" s="52" t="s">
        <v>851</v>
      </c>
      <c r="G292" s="28" t="s">
        <v>61</v>
      </c>
      <c r="H292" s="28" t="s">
        <v>61</v>
      </c>
      <c r="I292" s="14"/>
    </row>
    <row r="293" spans="1:9">
      <c r="A293" s="25">
        <v>292</v>
      </c>
      <c r="B293" s="29" t="s">
        <v>780</v>
      </c>
      <c r="C293" s="52" t="s">
        <v>852</v>
      </c>
      <c r="D293" s="29" t="s">
        <v>853</v>
      </c>
      <c r="E293" s="29" t="s">
        <v>854</v>
      </c>
      <c r="F293" s="52" t="s">
        <v>389</v>
      </c>
      <c r="G293" s="28" t="s">
        <v>61</v>
      </c>
      <c r="H293" s="28" t="s">
        <v>61</v>
      </c>
      <c r="I293" s="14"/>
    </row>
    <row r="294" spans="1:9">
      <c r="A294" s="25">
        <v>293</v>
      </c>
      <c r="B294" s="29" t="s">
        <v>780</v>
      </c>
      <c r="C294" s="52" t="s">
        <v>855</v>
      </c>
      <c r="D294" s="29" t="s">
        <v>856</v>
      </c>
      <c r="E294" s="29" t="s">
        <v>857</v>
      </c>
      <c r="F294" s="52" t="s">
        <v>77</v>
      </c>
      <c r="G294" s="28" t="s">
        <v>61</v>
      </c>
      <c r="H294" s="28" t="s">
        <v>61</v>
      </c>
      <c r="I294" s="14"/>
    </row>
    <row r="295" spans="1:9">
      <c r="A295" s="25">
        <v>294</v>
      </c>
      <c r="B295" s="29" t="s">
        <v>780</v>
      </c>
      <c r="C295" s="52" t="s">
        <v>858</v>
      </c>
      <c r="D295" s="29" t="s">
        <v>859</v>
      </c>
      <c r="E295" s="29" t="s">
        <v>860</v>
      </c>
      <c r="F295" s="52" t="s">
        <v>83</v>
      </c>
      <c r="G295" s="28" t="s">
        <v>61</v>
      </c>
      <c r="H295" s="28" t="s">
        <v>61</v>
      </c>
      <c r="I295" s="14"/>
    </row>
    <row r="296" spans="1:9">
      <c r="A296" s="25">
        <v>295</v>
      </c>
      <c r="B296" s="29" t="s">
        <v>780</v>
      </c>
      <c r="C296" s="52" t="s">
        <v>861</v>
      </c>
      <c r="D296" s="29" t="s">
        <v>862</v>
      </c>
      <c r="E296" s="29" t="s">
        <v>863</v>
      </c>
      <c r="F296" s="52" t="s">
        <v>125</v>
      </c>
      <c r="G296" s="28" t="s">
        <v>61</v>
      </c>
      <c r="H296" s="28" t="s">
        <v>66</v>
      </c>
      <c r="I296" s="14"/>
    </row>
    <row r="297" spans="1:9">
      <c r="A297" s="25">
        <v>296</v>
      </c>
      <c r="B297" s="29" t="s">
        <v>780</v>
      </c>
      <c r="C297" s="52" t="s">
        <v>864</v>
      </c>
      <c r="D297" s="29" t="s">
        <v>862</v>
      </c>
      <c r="E297" s="29" t="s">
        <v>865</v>
      </c>
      <c r="F297" s="52" t="s">
        <v>125</v>
      </c>
      <c r="G297" s="28" t="s">
        <v>61</v>
      </c>
      <c r="H297" s="28" t="s">
        <v>66</v>
      </c>
      <c r="I297" s="14"/>
    </row>
    <row r="298" spans="1:9">
      <c r="A298" s="25">
        <v>297</v>
      </c>
      <c r="B298" s="29" t="s">
        <v>780</v>
      </c>
      <c r="C298" s="51" t="s">
        <v>866</v>
      </c>
      <c r="D298" s="29" t="s">
        <v>867</v>
      </c>
      <c r="E298" s="29" t="s">
        <v>868</v>
      </c>
      <c r="F298" s="52" t="s">
        <v>125</v>
      </c>
      <c r="G298" s="28" t="s">
        <v>61</v>
      </c>
      <c r="H298" s="28" t="s">
        <v>66</v>
      </c>
      <c r="I298" s="14"/>
    </row>
    <row r="299" spans="1:9">
      <c r="A299" s="25">
        <v>298</v>
      </c>
      <c r="B299" s="29" t="s">
        <v>780</v>
      </c>
      <c r="C299" s="51" t="s">
        <v>869</v>
      </c>
      <c r="D299" s="29" t="s">
        <v>870</v>
      </c>
      <c r="E299" s="29" t="s">
        <v>871</v>
      </c>
      <c r="F299" s="52" t="s">
        <v>312</v>
      </c>
      <c r="G299" s="28" t="s">
        <v>61</v>
      </c>
      <c r="H299" s="28" t="s">
        <v>66</v>
      </c>
      <c r="I299" s="14"/>
    </row>
    <row r="300" spans="1:9">
      <c r="A300" s="25">
        <v>299</v>
      </c>
      <c r="B300" s="29" t="s">
        <v>780</v>
      </c>
      <c r="C300" s="51" t="s">
        <v>872</v>
      </c>
      <c r="D300" s="29" t="s">
        <v>870</v>
      </c>
      <c r="E300" s="29" t="s">
        <v>873</v>
      </c>
      <c r="F300" s="52" t="s">
        <v>315</v>
      </c>
      <c r="G300" s="28" t="s">
        <v>61</v>
      </c>
      <c r="H300" s="28" t="s">
        <v>66</v>
      </c>
      <c r="I300" s="14"/>
    </row>
    <row r="301" spans="1:9">
      <c r="A301" s="25">
        <v>300</v>
      </c>
      <c r="B301" s="29" t="s">
        <v>780</v>
      </c>
      <c r="C301" s="52" t="s">
        <v>874</v>
      </c>
      <c r="D301" s="29" t="s">
        <v>875</v>
      </c>
      <c r="E301" s="29" t="s">
        <v>876</v>
      </c>
      <c r="F301" s="52" t="s">
        <v>140</v>
      </c>
      <c r="G301" s="28" t="s">
        <v>61</v>
      </c>
      <c r="H301" s="28" t="s">
        <v>66</v>
      </c>
      <c r="I301" s="14"/>
    </row>
    <row r="302" spans="1:9">
      <c r="A302" s="25">
        <v>301</v>
      </c>
      <c r="B302" s="29" t="s">
        <v>780</v>
      </c>
      <c r="C302" s="52" t="s">
        <v>877</v>
      </c>
      <c r="D302" s="29" t="s">
        <v>875</v>
      </c>
      <c r="E302" s="29" t="s">
        <v>878</v>
      </c>
      <c r="F302" s="52" t="s">
        <v>140</v>
      </c>
      <c r="G302" s="28" t="s">
        <v>61</v>
      </c>
      <c r="H302" s="28" t="s">
        <v>66</v>
      </c>
      <c r="I302" s="14"/>
    </row>
    <row r="303" spans="1:9">
      <c r="A303" s="25">
        <v>302</v>
      </c>
      <c r="B303" s="29" t="s">
        <v>780</v>
      </c>
      <c r="C303" s="52" t="s">
        <v>879</v>
      </c>
      <c r="D303" s="29" t="s">
        <v>875</v>
      </c>
      <c r="E303" s="29" t="s">
        <v>880</v>
      </c>
      <c r="F303" s="52" t="s">
        <v>140</v>
      </c>
      <c r="G303" s="28" t="s">
        <v>61</v>
      </c>
      <c r="H303" s="28" t="s">
        <v>66</v>
      </c>
      <c r="I303" s="14"/>
    </row>
    <row r="304" spans="1:9">
      <c r="A304" s="25">
        <v>303</v>
      </c>
      <c r="B304" s="29" t="s">
        <v>780</v>
      </c>
      <c r="C304" s="52" t="s">
        <v>881</v>
      </c>
      <c r="D304" s="29" t="s">
        <v>875</v>
      </c>
      <c r="E304" s="29" t="s">
        <v>882</v>
      </c>
      <c r="F304" s="52" t="s">
        <v>140</v>
      </c>
      <c r="G304" s="28" t="s">
        <v>61</v>
      </c>
      <c r="H304" s="28" t="s">
        <v>66</v>
      </c>
      <c r="I304" s="14"/>
    </row>
    <row r="305" spans="1:9">
      <c r="A305" s="25">
        <v>304</v>
      </c>
      <c r="B305" s="29" t="s">
        <v>780</v>
      </c>
      <c r="C305" s="52" t="s">
        <v>883</v>
      </c>
      <c r="D305" s="29" t="s">
        <v>884</v>
      </c>
      <c r="E305" s="29" t="s">
        <v>885</v>
      </c>
      <c r="F305" s="52" t="s">
        <v>149</v>
      </c>
      <c r="G305" s="28" t="s">
        <v>61</v>
      </c>
      <c r="H305" s="28" t="s">
        <v>61</v>
      </c>
      <c r="I305" s="14"/>
    </row>
    <row r="306" spans="1:9">
      <c r="A306" s="25">
        <v>305</v>
      </c>
      <c r="B306" s="29" t="s">
        <v>780</v>
      </c>
      <c r="C306" s="52" t="s">
        <v>886</v>
      </c>
      <c r="D306" s="29" t="s">
        <v>884</v>
      </c>
      <c r="E306" s="29" t="s">
        <v>887</v>
      </c>
      <c r="F306" s="52" t="s">
        <v>149</v>
      </c>
      <c r="G306" s="28" t="s">
        <v>61</v>
      </c>
      <c r="H306" s="28" t="s">
        <v>61</v>
      </c>
      <c r="I306" s="14"/>
    </row>
    <row r="307" spans="1:9">
      <c r="A307" s="25">
        <v>306</v>
      </c>
      <c r="B307" s="29" t="s">
        <v>780</v>
      </c>
      <c r="C307" s="52" t="s">
        <v>888</v>
      </c>
      <c r="D307" s="29" t="s">
        <v>889</v>
      </c>
      <c r="E307" s="29" t="s">
        <v>890</v>
      </c>
      <c r="F307" s="52" t="s">
        <v>70</v>
      </c>
      <c r="G307" s="28" t="s">
        <v>61</v>
      </c>
      <c r="H307" s="28" t="s">
        <v>61</v>
      </c>
      <c r="I307" s="14"/>
    </row>
    <row r="308" spans="1:9">
      <c r="A308" s="25">
        <v>307</v>
      </c>
      <c r="B308" s="29" t="s">
        <v>780</v>
      </c>
      <c r="C308" s="52" t="s">
        <v>891</v>
      </c>
      <c r="D308" s="29" t="s">
        <v>892</v>
      </c>
      <c r="E308" s="29" t="s">
        <v>893</v>
      </c>
      <c r="F308" s="52" t="s">
        <v>70</v>
      </c>
      <c r="G308" s="28" t="s">
        <v>61</v>
      </c>
      <c r="H308" s="28" t="s">
        <v>61</v>
      </c>
      <c r="I308" s="14"/>
    </row>
    <row r="309" spans="1:9">
      <c r="A309" s="25">
        <v>308</v>
      </c>
      <c r="B309" s="29" t="s">
        <v>780</v>
      </c>
      <c r="C309" s="52" t="s">
        <v>894</v>
      </c>
      <c r="D309" s="29" t="s">
        <v>895</v>
      </c>
      <c r="E309" s="29" t="s">
        <v>896</v>
      </c>
      <c r="F309" s="52" t="s">
        <v>371</v>
      </c>
      <c r="G309" s="28" t="s">
        <v>61</v>
      </c>
      <c r="H309" s="28" t="s">
        <v>61</v>
      </c>
      <c r="I309" s="14"/>
    </row>
    <row r="310" spans="1:9">
      <c r="A310" s="25">
        <v>309</v>
      </c>
      <c r="B310" s="29" t="s">
        <v>780</v>
      </c>
      <c r="C310" s="52" t="s">
        <v>897</v>
      </c>
      <c r="D310" s="29" t="s">
        <v>898</v>
      </c>
      <c r="E310" s="29" t="s">
        <v>899</v>
      </c>
      <c r="F310" s="52" t="s">
        <v>312</v>
      </c>
      <c r="G310" s="28" t="s">
        <v>61</v>
      </c>
      <c r="H310" s="28" t="s">
        <v>61</v>
      </c>
      <c r="I310" s="14"/>
    </row>
    <row r="311" spans="1:9">
      <c r="A311" s="25">
        <v>310</v>
      </c>
      <c r="B311" s="29" t="s">
        <v>780</v>
      </c>
      <c r="C311" s="52" t="s">
        <v>900</v>
      </c>
      <c r="D311" s="29" t="s">
        <v>901</v>
      </c>
      <c r="E311" s="29" t="s">
        <v>902</v>
      </c>
      <c r="F311" s="52" t="s">
        <v>315</v>
      </c>
      <c r="G311" s="28" t="s">
        <v>61</v>
      </c>
      <c r="H311" s="28" t="s">
        <v>61</v>
      </c>
      <c r="I311" s="14"/>
    </row>
    <row r="312" spans="1:9">
      <c r="A312" s="25">
        <v>311</v>
      </c>
      <c r="B312" s="29" t="s">
        <v>780</v>
      </c>
      <c r="C312" s="51" t="s">
        <v>903</v>
      </c>
      <c r="D312" s="29" t="s">
        <v>904</v>
      </c>
      <c r="E312" s="29" t="s">
        <v>905</v>
      </c>
      <c r="F312" s="52" t="s">
        <v>65</v>
      </c>
      <c r="G312" s="28" t="s">
        <v>61</v>
      </c>
      <c r="H312" s="28" t="s">
        <v>66</v>
      </c>
      <c r="I312" s="14"/>
    </row>
    <row r="313" spans="1:9">
      <c r="A313" s="25">
        <v>312</v>
      </c>
      <c r="B313" s="29" t="s">
        <v>780</v>
      </c>
      <c r="C313" s="51" t="s">
        <v>906</v>
      </c>
      <c r="D313" s="29" t="s">
        <v>904</v>
      </c>
      <c r="E313" s="29" t="s">
        <v>907</v>
      </c>
      <c r="F313" s="52" t="s">
        <v>140</v>
      </c>
      <c r="G313" s="28" t="s">
        <v>61</v>
      </c>
      <c r="H313" s="28" t="s">
        <v>66</v>
      </c>
      <c r="I313" s="14"/>
    </row>
    <row r="314" spans="1:9">
      <c r="A314" s="25">
        <v>313</v>
      </c>
      <c r="B314" s="29" t="s">
        <v>780</v>
      </c>
      <c r="C314" s="51" t="s">
        <v>908</v>
      </c>
      <c r="D314" s="29" t="s">
        <v>904</v>
      </c>
      <c r="E314" s="29" t="s">
        <v>909</v>
      </c>
      <c r="F314" s="52" t="s">
        <v>65</v>
      </c>
      <c r="G314" s="28" t="s">
        <v>61</v>
      </c>
      <c r="H314" s="28" t="s">
        <v>66</v>
      </c>
      <c r="I314" s="14"/>
    </row>
    <row r="315" spans="1:9">
      <c r="A315" s="25">
        <v>314</v>
      </c>
      <c r="B315" s="29" t="s">
        <v>780</v>
      </c>
      <c r="C315" s="52" t="s">
        <v>910</v>
      </c>
      <c r="D315" s="29" t="s">
        <v>911</v>
      </c>
      <c r="E315" s="29" t="s">
        <v>912</v>
      </c>
      <c r="F315" s="52" t="s">
        <v>70</v>
      </c>
      <c r="G315" s="28" t="s">
        <v>61</v>
      </c>
      <c r="H315" s="28" t="s">
        <v>61</v>
      </c>
      <c r="I315" s="14"/>
    </row>
    <row r="316" spans="1:9">
      <c r="A316" s="25">
        <v>315</v>
      </c>
      <c r="B316" s="29" t="s">
        <v>780</v>
      </c>
      <c r="C316" s="52" t="s">
        <v>913</v>
      </c>
      <c r="D316" s="29" t="s">
        <v>914</v>
      </c>
      <c r="E316" s="29" t="s">
        <v>915</v>
      </c>
      <c r="F316" s="52" t="s">
        <v>65</v>
      </c>
      <c r="G316" s="28" t="s">
        <v>61</v>
      </c>
      <c r="H316" s="28" t="s">
        <v>66</v>
      </c>
      <c r="I316" s="14"/>
    </row>
    <row r="317" spans="1:9">
      <c r="A317" s="25">
        <v>316</v>
      </c>
      <c r="B317" s="29" t="s">
        <v>780</v>
      </c>
      <c r="C317" s="52" t="s">
        <v>916</v>
      </c>
      <c r="D317" s="29" t="s">
        <v>914</v>
      </c>
      <c r="E317" s="29" t="s">
        <v>917</v>
      </c>
      <c r="F317" s="52" t="s">
        <v>140</v>
      </c>
      <c r="G317" s="28" t="s">
        <v>61</v>
      </c>
      <c r="H317" s="28" t="s">
        <v>66</v>
      </c>
      <c r="I317" s="14"/>
    </row>
    <row r="318" spans="1:9">
      <c r="A318" s="25">
        <v>317</v>
      </c>
      <c r="B318" s="29" t="s">
        <v>780</v>
      </c>
      <c r="C318" s="52" t="s">
        <v>918</v>
      </c>
      <c r="D318" s="29" t="s">
        <v>919</v>
      </c>
      <c r="E318" s="29" t="s">
        <v>920</v>
      </c>
      <c r="F318" s="52" t="s">
        <v>851</v>
      </c>
      <c r="G318" s="28" t="s">
        <v>61</v>
      </c>
      <c r="H318" s="28" t="s">
        <v>61</v>
      </c>
      <c r="I318" s="14"/>
    </row>
    <row r="319" spans="1:9">
      <c r="A319" s="25">
        <v>318</v>
      </c>
      <c r="B319" s="29" t="s">
        <v>780</v>
      </c>
      <c r="C319" s="51" t="s">
        <v>921</v>
      </c>
      <c r="D319" s="29" t="s">
        <v>689</v>
      </c>
      <c r="E319" s="29" t="s">
        <v>689</v>
      </c>
      <c r="F319" s="51" t="s">
        <v>689</v>
      </c>
      <c r="G319" s="28" t="s">
        <v>61</v>
      </c>
      <c r="H319" s="28" t="s">
        <v>61</v>
      </c>
      <c r="I319" s="14"/>
    </row>
    <row r="320" spans="1:9">
      <c r="A320" s="25">
        <v>319</v>
      </c>
      <c r="B320" s="29" t="s">
        <v>780</v>
      </c>
      <c r="C320" s="51" t="s">
        <v>922</v>
      </c>
      <c r="D320" s="29" t="s">
        <v>923</v>
      </c>
      <c r="E320" s="29" t="s">
        <v>924</v>
      </c>
      <c r="F320" s="52" t="s">
        <v>65</v>
      </c>
      <c r="G320" s="28" t="s">
        <v>61</v>
      </c>
      <c r="H320" s="28" t="s">
        <v>66</v>
      </c>
      <c r="I320" s="14"/>
    </row>
    <row r="321" spans="1:9">
      <c r="A321" s="25">
        <v>320</v>
      </c>
      <c r="B321" s="29" t="s">
        <v>780</v>
      </c>
      <c r="C321" s="51" t="s">
        <v>925</v>
      </c>
      <c r="D321" s="29" t="s">
        <v>923</v>
      </c>
      <c r="E321" s="29" t="s">
        <v>926</v>
      </c>
      <c r="F321" s="52" t="s">
        <v>65</v>
      </c>
      <c r="G321" s="28" t="s">
        <v>61</v>
      </c>
      <c r="H321" s="28" t="s">
        <v>66</v>
      </c>
      <c r="I321" s="14"/>
    </row>
    <row r="322" spans="1:9">
      <c r="A322" s="25">
        <v>321</v>
      </c>
      <c r="B322" s="29" t="s">
        <v>780</v>
      </c>
      <c r="C322" s="51" t="s">
        <v>927</v>
      </c>
      <c r="D322" s="29" t="s">
        <v>928</v>
      </c>
      <c r="E322" s="29" t="s">
        <v>929</v>
      </c>
      <c r="F322" s="52" t="s">
        <v>312</v>
      </c>
      <c r="G322" s="28" t="s">
        <v>61</v>
      </c>
      <c r="H322" s="28" t="s">
        <v>66</v>
      </c>
      <c r="I322" s="14"/>
    </row>
    <row r="323" spans="1:9">
      <c r="A323" s="25">
        <v>322</v>
      </c>
      <c r="B323" s="29" t="s">
        <v>780</v>
      </c>
      <c r="C323" s="51" t="s">
        <v>930</v>
      </c>
      <c r="D323" s="29" t="s">
        <v>928</v>
      </c>
      <c r="E323" s="29" t="s">
        <v>931</v>
      </c>
      <c r="F323" s="52" t="s">
        <v>315</v>
      </c>
      <c r="G323" s="28" t="s">
        <v>61</v>
      </c>
      <c r="H323" s="28" t="s">
        <v>66</v>
      </c>
      <c r="I323" s="14"/>
    </row>
    <row r="324" spans="1:9">
      <c r="A324" s="25">
        <v>323</v>
      </c>
      <c r="B324" s="29" t="s">
        <v>780</v>
      </c>
      <c r="C324" s="51" t="s">
        <v>932</v>
      </c>
      <c r="D324" s="29" t="s">
        <v>933</v>
      </c>
      <c r="E324" s="29" t="s">
        <v>934</v>
      </c>
      <c r="F324" s="52" t="s">
        <v>327</v>
      </c>
      <c r="G324" s="28" t="s">
        <v>61</v>
      </c>
      <c r="H324" s="28" t="s">
        <v>61</v>
      </c>
      <c r="I324" s="14"/>
    </row>
    <row r="325" spans="1:9">
      <c r="A325" s="25">
        <v>324</v>
      </c>
      <c r="B325" s="29" t="s">
        <v>780</v>
      </c>
      <c r="C325" s="51" t="s">
        <v>935</v>
      </c>
      <c r="D325" s="29" t="s">
        <v>933</v>
      </c>
      <c r="E325" s="29" t="s">
        <v>936</v>
      </c>
      <c r="F325" s="52" t="s">
        <v>327</v>
      </c>
      <c r="G325" s="28" t="s">
        <v>61</v>
      </c>
      <c r="H325" s="28" t="s">
        <v>61</v>
      </c>
      <c r="I325" s="14"/>
    </row>
    <row r="326" spans="1:9">
      <c r="A326" s="25">
        <v>325</v>
      </c>
      <c r="B326" s="29" t="s">
        <v>780</v>
      </c>
      <c r="C326" s="52" t="s">
        <v>937</v>
      </c>
      <c r="D326" s="29" t="s">
        <v>938</v>
      </c>
      <c r="E326" s="29" t="s">
        <v>939</v>
      </c>
      <c r="F326" s="54" t="s">
        <v>186</v>
      </c>
      <c r="G326" s="28" t="s">
        <v>61</v>
      </c>
      <c r="H326" s="28" t="s">
        <v>61</v>
      </c>
      <c r="I326" s="14"/>
    </row>
    <row r="327" spans="1:9">
      <c r="A327" s="25">
        <v>326</v>
      </c>
      <c r="B327" s="29" t="s">
        <v>940</v>
      </c>
      <c r="C327" s="52" t="s">
        <v>941</v>
      </c>
      <c r="D327" s="29"/>
      <c r="E327" s="29"/>
      <c r="F327" s="51"/>
      <c r="G327" s="28" t="s">
        <v>66</v>
      </c>
      <c r="H327" s="28" t="s">
        <v>66</v>
      </c>
      <c r="I327" s="14"/>
    </row>
    <row r="328" spans="1:9">
      <c r="A328" s="25">
        <v>327</v>
      </c>
      <c r="B328" s="29" t="s">
        <v>940</v>
      </c>
      <c r="C328" s="52" t="s">
        <v>942</v>
      </c>
      <c r="D328" s="29"/>
      <c r="E328" s="29"/>
      <c r="F328" s="51"/>
      <c r="G328" s="28" t="s">
        <v>66</v>
      </c>
      <c r="H328" s="28" t="s">
        <v>66</v>
      </c>
      <c r="I328" s="14"/>
    </row>
    <row r="329" spans="1:9">
      <c r="A329" s="25">
        <v>328</v>
      </c>
      <c r="B329" s="29" t="s">
        <v>943</v>
      </c>
      <c r="C329" s="52" t="s">
        <v>944</v>
      </c>
      <c r="D329" s="29" t="s">
        <v>945</v>
      </c>
      <c r="E329" s="29" t="s">
        <v>946</v>
      </c>
      <c r="F329" s="54" t="s">
        <v>178</v>
      </c>
      <c r="G329" s="28" t="s">
        <v>61</v>
      </c>
      <c r="H329" s="28" t="s">
        <v>61</v>
      </c>
      <c r="I329" s="14"/>
    </row>
    <row r="330" spans="1:9">
      <c r="A330" s="25">
        <v>329</v>
      </c>
      <c r="B330" s="29" t="s">
        <v>943</v>
      </c>
      <c r="C330" s="52" t="s">
        <v>947</v>
      </c>
      <c r="D330" s="29" t="s">
        <v>945</v>
      </c>
      <c r="E330" s="29" t="s">
        <v>948</v>
      </c>
      <c r="F330" s="54" t="s">
        <v>949</v>
      </c>
      <c r="G330" s="28" t="s">
        <v>61</v>
      </c>
      <c r="H330" s="28" t="s">
        <v>61</v>
      </c>
      <c r="I330" s="14"/>
    </row>
    <row r="331" spans="1:9">
      <c r="A331" s="25">
        <v>330</v>
      </c>
      <c r="B331" s="29" t="s">
        <v>943</v>
      </c>
      <c r="C331" s="51" t="s">
        <v>950</v>
      </c>
      <c r="D331" s="29" t="s">
        <v>951</v>
      </c>
      <c r="E331" s="29" t="s">
        <v>952</v>
      </c>
      <c r="F331" s="52" t="s">
        <v>327</v>
      </c>
      <c r="G331" s="28" t="s">
        <v>61</v>
      </c>
      <c r="H331" s="28" t="s">
        <v>61</v>
      </c>
      <c r="I331" s="14"/>
    </row>
    <row r="332" spans="1:9">
      <c r="A332" s="25">
        <v>331</v>
      </c>
      <c r="B332" s="29" t="s">
        <v>943</v>
      </c>
      <c r="C332" s="51" t="s">
        <v>953</v>
      </c>
      <c r="D332" s="29" t="s">
        <v>951</v>
      </c>
      <c r="E332" s="29" t="s">
        <v>954</v>
      </c>
      <c r="F332" s="52" t="s">
        <v>327</v>
      </c>
      <c r="G332" s="28" t="s">
        <v>61</v>
      </c>
      <c r="H332" s="28" t="s">
        <v>61</v>
      </c>
      <c r="I332" s="14"/>
    </row>
    <row r="333" spans="1:9">
      <c r="A333" s="25">
        <v>332</v>
      </c>
      <c r="B333" s="29" t="s">
        <v>943</v>
      </c>
      <c r="C333" s="52" t="s">
        <v>955</v>
      </c>
      <c r="D333" s="29" t="s">
        <v>956</v>
      </c>
      <c r="E333" s="29" t="s">
        <v>957</v>
      </c>
      <c r="F333" s="52" t="s">
        <v>73</v>
      </c>
      <c r="G333" s="28" t="s">
        <v>61</v>
      </c>
      <c r="H333" s="28" t="s">
        <v>61</v>
      </c>
      <c r="I333" s="14"/>
    </row>
    <row r="334" spans="1:9">
      <c r="A334" s="25">
        <v>333</v>
      </c>
      <c r="B334" s="29" t="s">
        <v>943</v>
      </c>
      <c r="C334" s="52" t="s">
        <v>958</v>
      </c>
      <c r="D334" s="29" t="s">
        <v>956</v>
      </c>
      <c r="E334" s="29" t="s">
        <v>959</v>
      </c>
      <c r="F334" s="52" t="s">
        <v>73</v>
      </c>
      <c r="G334" s="28" t="s">
        <v>61</v>
      </c>
      <c r="H334" s="28" t="s">
        <v>61</v>
      </c>
      <c r="I334" s="14"/>
    </row>
    <row r="335" spans="1:9">
      <c r="A335" s="25">
        <v>334</v>
      </c>
      <c r="B335" s="29" t="s">
        <v>943</v>
      </c>
      <c r="C335" s="52" t="s">
        <v>960</v>
      </c>
      <c r="D335" s="29" t="s">
        <v>956</v>
      </c>
      <c r="E335" s="29" t="s">
        <v>961</v>
      </c>
      <c r="F335" s="52" t="s">
        <v>70</v>
      </c>
      <c r="G335" s="28" t="s">
        <v>61</v>
      </c>
      <c r="H335" s="28" t="s">
        <v>61</v>
      </c>
      <c r="I335" s="14"/>
    </row>
    <row r="336" spans="1:9">
      <c r="A336" s="25">
        <v>335</v>
      </c>
      <c r="B336" s="29" t="s">
        <v>943</v>
      </c>
      <c r="C336" s="52" t="s">
        <v>962</v>
      </c>
      <c r="D336" s="29" t="s">
        <v>956</v>
      </c>
      <c r="E336" s="29" t="s">
        <v>963</v>
      </c>
      <c r="F336" s="52" t="s">
        <v>315</v>
      </c>
      <c r="G336" s="28" t="s">
        <v>61</v>
      </c>
      <c r="H336" s="28" t="s">
        <v>61</v>
      </c>
      <c r="I336" s="14"/>
    </row>
    <row r="337" spans="1:9">
      <c r="A337" s="25">
        <v>336</v>
      </c>
      <c r="B337" s="29" t="s">
        <v>943</v>
      </c>
      <c r="C337" s="52" t="s">
        <v>964</v>
      </c>
      <c r="D337" s="29" t="s">
        <v>956</v>
      </c>
      <c r="E337" s="29" t="s">
        <v>965</v>
      </c>
      <c r="F337" s="52" t="s">
        <v>315</v>
      </c>
      <c r="G337" s="28" t="s">
        <v>61</v>
      </c>
      <c r="H337" s="28" t="s">
        <v>61</v>
      </c>
      <c r="I337" s="14"/>
    </row>
    <row r="338" spans="1:9">
      <c r="A338" s="25">
        <v>337</v>
      </c>
      <c r="B338" s="29" t="s">
        <v>943</v>
      </c>
      <c r="C338" s="52" t="s">
        <v>966</v>
      </c>
      <c r="D338" s="29" t="s">
        <v>956</v>
      </c>
      <c r="E338" s="29" t="s">
        <v>967</v>
      </c>
      <c r="F338" s="52" t="s">
        <v>312</v>
      </c>
      <c r="G338" s="28" t="s">
        <v>61</v>
      </c>
      <c r="H338" s="28" t="s">
        <v>61</v>
      </c>
      <c r="I338" s="14"/>
    </row>
    <row r="339" spans="1:9">
      <c r="A339" s="25">
        <v>338</v>
      </c>
      <c r="B339" s="29" t="s">
        <v>968</v>
      </c>
      <c r="C339" s="52" t="s">
        <v>969</v>
      </c>
      <c r="D339" s="29" t="s">
        <v>970</v>
      </c>
      <c r="E339" s="29" t="s">
        <v>971</v>
      </c>
      <c r="F339" s="52" t="s">
        <v>312</v>
      </c>
      <c r="G339" s="28" t="s">
        <v>61</v>
      </c>
      <c r="H339" s="28" t="s">
        <v>61</v>
      </c>
      <c r="I339" s="14"/>
    </row>
    <row r="340" spans="1:9">
      <c r="A340" s="25">
        <v>339</v>
      </c>
      <c r="B340" s="29" t="s">
        <v>968</v>
      </c>
      <c r="C340" s="52" t="s">
        <v>972</v>
      </c>
      <c r="D340" s="29" t="s">
        <v>973</v>
      </c>
      <c r="E340" s="29" t="s">
        <v>974</v>
      </c>
      <c r="F340" s="52" t="s">
        <v>99</v>
      </c>
      <c r="G340" s="28" t="s">
        <v>66</v>
      </c>
      <c r="H340" s="28" t="s">
        <v>66</v>
      </c>
      <c r="I340" s="14"/>
    </row>
    <row r="341" spans="1:9">
      <c r="A341" s="25">
        <v>340</v>
      </c>
      <c r="B341" s="29" t="s">
        <v>968</v>
      </c>
      <c r="C341" s="52" t="s">
        <v>975</v>
      </c>
      <c r="D341" s="29" t="s">
        <v>973</v>
      </c>
      <c r="E341" s="29" t="s">
        <v>976</v>
      </c>
      <c r="F341" s="52" t="s">
        <v>99</v>
      </c>
      <c r="G341" s="28" t="s">
        <v>66</v>
      </c>
      <c r="H341" s="28" t="s">
        <v>66</v>
      </c>
      <c r="I341" s="14"/>
    </row>
    <row r="342" spans="1:9">
      <c r="A342" s="25">
        <v>341</v>
      </c>
      <c r="B342" s="29" t="s">
        <v>968</v>
      </c>
      <c r="C342" s="52" t="s">
        <v>977</v>
      </c>
      <c r="D342" s="29" t="s">
        <v>973</v>
      </c>
      <c r="E342" s="29" t="s">
        <v>978</v>
      </c>
      <c r="F342" s="52" t="s">
        <v>99</v>
      </c>
      <c r="G342" s="28" t="s">
        <v>66</v>
      </c>
      <c r="H342" s="28" t="s">
        <v>66</v>
      </c>
      <c r="I342" s="14"/>
    </row>
    <row r="343" spans="1:9">
      <c r="A343" s="25">
        <v>342</v>
      </c>
      <c r="B343" s="29" t="s">
        <v>968</v>
      </c>
      <c r="C343" s="52" t="s">
        <v>979</v>
      </c>
      <c r="D343" s="29" t="s">
        <v>973</v>
      </c>
      <c r="E343" s="29" t="s">
        <v>980</v>
      </c>
      <c r="F343" s="52" t="s">
        <v>99</v>
      </c>
      <c r="G343" s="28" t="s">
        <v>66</v>
      </c>
      <c r="H343" s="28" t="s">
        <v>66</v>
      </c>
      <c r="I343" s="14"/>
    </row>
    <row r="344" spans="1:9">
      <c r="A344" s="25">
        <v>343</v>
      </c>
      <c r="B344" s="29" t="s">
        <v>968</v>
      </c>
      <c r="C344" s="52" t="s">
        <v>981</v>
      </c>
      <c r="D344" s="29" t="s">
        <v>973</v>
      </c>
      <c r="E344" s="29" t="s">
        <v>982</v>
      </c>
      <c r="F344" s="52" t="s">
        <v>99</v>
      </c>
      <c r="G344" s="28" t="s">
        <v>66</v>
      </c>
      <c r="H344" s="28" t="s">
        <v>66</v>
      </c>
      <c r="I344" s="14"/>
    </row>
    <row r="345" spans="1:9">
      <c r="A345" s="25">
        <v>344</v>
      </c>
      <c r="B345" s="29" t="s">
        <v>968</v>
      </c>
      <c r="C345" s="52" t="s">
        <v>983</v>
      </c>
      <c r="D345" s="29" t="s">
        <v>973</v>
      </c>
      <c r="E345" s="29" t="s">
        <v>984</v>
      </c>
      <c r="F345" s="52" t="s">
        <v>99</v>
      </c>
      <c r="G345" s="28" t="s">
        <v>66</v>
      </c>
      <c r="H345" s="28" t="s">
        <v>66</v>
      </c>
      <c r="I345" s="14"/>
    </row>
    <row r="346" spans="1:9">
      <c r="A346" s="25">
        <v>345</v>
      </c>
      <c r="B346" s="29" t="s">
        <v>968</v>
      </c>
      <c r="C346" s="52" t="s">
        <v>985</v>
      </c>
      <c r="D346" s="29" t="s">
        <v>973</v>
      </c>
      <c r="E346" s="29" t="s">
        <v>986</v>
      </c>
      <c r="F346" s="52" t="s">
        <v>99</v>
      </c>
      <c r="G346" s="28" t="s">
        <v>66</v>
      </c>
      <c r="H346" s="28" t="s">
        <v>66</v>
      </c>
      <c r="I346" s="14"/>
    </row>
    <row r="347" spans="1:9">
      <c r="A347" s="25">
        <v>346</v>
      </c>
      <c r="B347" s="29" t="s">
        <v>968</v>
      </c>
      <c r="C347" s="52" t="s">
        <v>987</v>
      </c>
      <c r="D347" s="29" t="s">
        <v>973</v>
      </c>
      <c r="E347" s="29" t="s">
        <v>988</v>
      </c>
      <c r="F347" s="52" t="s">
        <v>99</v>
      </c>
      <c r="G347" s="28" t="s">
        <v>66</v>
      </c>
      <c r="H347" s="28" t="s">
        <v>66</v>
      </c>
      <c r="I347" s="14"/>
    </row>
    <row r="348" spans="1:9">
      <c r="A348" s="25">
        <v>347</v>
      </c>
      <c r="B348" s="29" t="s">
        <v>968</v>
      </c>
      <c r="C348" s="52" t="s">
        <v>989</v>
      </c>
      <c r="D348" s="29" t="s">
        <v>973</v>
      </c>
      <c r="E348" s="29" t="s">
        <v>990</v>
      </c>
      <c r="F348" s="52" t="s">
        <v>112</v>
      </c>
      <c r="G348" s="28" t="s">
        <v>66</v>
      </c>
      <c r="H348" s="28" t="s">
        <v>66</v>
      </c>
      <c r="I348" s="14"/>
    </row>
    <row r="349" spans="1:9">
      <c r="A349" s="25">
        <v>348</v>
      </c>
      <c r="B349" s="29" t="s">
        <v>968</v>
      </c>
      <c r="C349" s="52" t="s">
        <v>991</v>
      </c>
      <c r="D349" s="29" t="s">
        <v>973</v>
      </c>
      <c r="E349" s="29" t="s">
        <v>992</v>
      </c>
      <c r="F349" s="52" t="s">
        <v>112</v>
      </c>
      <c r="G349" s="28" t="s">
        <v>66</v>
      </c>
      <c r="H349" s="28" t="s">
        <v>66</v>
      </c>
      <c r="I349" s="14"/>
    </row>
    <row r="350" spans="1:9">
      <c r="A350" s="25">
        <v>349</v>
      </c>
      <c r="B350" s="29" t="s">
        <v>968</v>
      </c>
      <c r="C350" s="52" t="s">
        <v>993</v>
      </c>
      <c r="D350" s="29" t="s">
        <v>973</v>
      </c>
      <c r="E350" s="29" t="s">
        <v>994</v>
      </c>
      <c r="F350" s="52" t="s">
        <v>112</v>
      </c>
      <c r="G350" s="28" t="s">
        <v>66</v>
      </c>
      <c r="H350" s="28" t="s">
        <v>66</v>
      </c>
      <c r="I350" s="14"/>
    </row>
    <row r="351" spans="1:9">
      <c r="A351" s="25">
        <v>350</v>
      </c>
      <c r="B351" s="29" t="s">
        <v>968</v>
      </c>
      <c r="C351" s="52" t="s">
        <v>995</v>
      </c>
      <c r="D351" s="29" t="s">
        <v>973</v>
      </c>
      <c r="E351" s="29" t="s">
        <v>996</v>
      </c>
      <c r="F351" s="52" t="s">
        <v>112</v>
      </c>
      <c r="G351" s="28" t="s">
        <v>66</v>
      </c>
      <c r="H351" s="28" t="s">
        <v>66</v>
      </c>
      <c r="I351" s="14"/>
    </row>
    <row r="352" spans="1:9">
      <c r="A352" s="25">
        <v>351</v>
      </c>
      <c r="B352" s="29" t="s">
        <v>968</v>
      </c>
      <c r="C352" s="52" t="s">
        <v>997</v>
      </c>
      <c r="D352" s="29" t="s">
        <v>973</v>
      </c>
      <c r="E352" s="29" t="s">
        <v>998</v>
      </c>
      <c r="F352" s="52" t="s">
        <v>999</v>
      </c>
      <c r="G352" s="28" t="s">
        <v>66</v>
      </c>
      <c r="H352" s="28" t="s">
        <v>66</v>
      </c>
      <c r="I352" s="14"/>
    </row>
    <row r="353" spans="1:9">
      <c r="A353" s="25">
        <v>352</v>
      </c>
      <c r="B353" s="29" t="s">
        <v>968</v>
      </c>
      <c r="C353" s="52" t="s">
        <v>1000</v>
      </c>
      <c r="D353" s="29" t="s">
        <v>973</v>
      </c>
      <c r="E353" s="29" t="s">
        <v>1001</v>
      </c>
      <c r="F353" s="52" t="s">
        <v>999</v>
      </c>
      <c r="G353" s="28" t="s">
        <v>66</v>
      </c>
      <c r="H353" s="28" t="s">
        <v>66</v>
      </c>
      <c r="I353" s="14"/>
    </row>
    <row r="354" spans="1:9">
      <c r="A354" s="25">
        <v>353</v>
      </c>
      <c r="B354" s="29" t="s">
        <v>968</v>
      </c>
      <c r="C354" s="52" t="s">
        <v>1002</v>
      </c>
      <c r="D354" s="29" t="s">
        <v>973</v>
      </c>
      <c r="E354" s="29" t="s">
        <v>1003</v>
      </c>
      <c r="F354" s="52" t="s">
        <v>999</v>
      </c>
      <c r="G354" s="28" t="s">
        <v>66</v>
      </c>
      <c r="H354" s="28" t="s">
        <v>66</v>
      </c>
      <c r="I354" s="14"/>
    </row>
    <row r="355" spans="1:9">
      <c r="A355" s="25">
        <v>354</v>
      </c>
      <c r="B355" s="29" t="s">
        <v>968</v>
      </c>
      <c r="C355" s="52" t="s">
        <v>1004</v>
      </c>
      <c r="D355" s="29" t="s">
        <v>973</v>
      </c>
      <c r="E355" s="29" t="s">
        <v>1005</v>
      </c>
      <c r="F355" s="52" t="s">
        <v>999</v>
      </c>
      <c r="G355" s="28" t="s">
        <v>66</v>
      </c>
      <c r="H355" s="28" t="s">
        <v>66</v>
      </c>
      <c r="I355" s="14"/>
    </row>
    <row r="356" spans="1:9">
      <c r="A356" s="25">
        <v>355</v>
      </c>
      <c r="B356" s="29" t="s">
        <v>1006</v>
      </c>
      <c r="C356" s="52" t="s">
        <v>1007</v>
      </c>
      <c r="D356" s="29" t="s">
        <v>1008</v>
      </c>
      <c r="E356" s="29" t="s">
        <v>1009</v>
      </c>
      <c r="F356" s="52" t="s">
        <v>315</v>
      </c>
      <c r="G356" s="28" t="s">
        <v>61</v>
      </c>
      <c r="H356" s="28" t="s">
        <v>61</v>
      </c>
      <c r="I356" s="14"/>
    </row>
    <row r="357" spans="1:9">
      <c r="A357" s="25">
        <v>356</v>
      </c>
      <c r="B357" s="29" t="s">
        <v>1006</v>
      </c>
      <c r="C357" s="52" t="s">
        <v>1010</v>
      </c>
      <c r="D357" s="29" t="s">
        <v>1008</v>
      </c>
      <c r="E357" s="29" t="s">
        <v>1011</v>
      </c>
      <c r="F357" s="52" t="s">
        <v>315</v>
      </c>
      <c r="G357" s="28" t="s">
        <v>61</v>
      </c>
      <c r="H357" s="28" t="s">
        <v>61</v>
      </c>
      <c r="I357" s="14"/>
    </row>
    <row r="358" spans="1:9">
      <c r="A358" s="25">
        <v>357</v>
      </c>
      <c r="B358" s="29" t="s">
        <v>1006</v>
      </c>
      <c r="C358" s="52" t="s">
        <v>1012</v>
      </c>
      <c r="D358" s="29" t="s">
        <v>1013</v>
      </c>
      <c r="E358" s="29" t="s">
        <v>1014</v>
      </c>
      <c r="F358" s="52" t="s">
        <v>140</v>
      </c>
      <c r="G358" s="28" t="s">
        <v>61</v>
      </c>
      <c r="H358" s="28" t="s">
        <v>61</v>
      </c>
      <c r="I358" s="14"/>
    </row>
    <row r="359" spans="1:9">
      <c r="A359" s="25">
        <v>358</v>
      </c>
      <c r="B359" s="29" t="s">
        <v>1006</v>
      </c>
      <c r="C359" s="52" t="s">
        <v>1015</v>
      </c>
      <c r="D359" s="29" t="s">
        <v>1016</v>
      </c>
      <c r="E359" s="29" t="s">
        <v>1017</v>
      </c>
      <c r="F359" s="52" t="s">
        <v>83</v>
      </c>
      <c r="G359" s="28" t="s">
        <v>61</v>
      </c>
      <c r="H359" s="28" t="s">
        <v>61</v>
      </c>
      <c r="I359" s="14"/>
    </row>
    <row r="360" spans="1:9">
      <c r="A360" s="25">
        <v>359</v>
      </c>
      <c r="B360" s="29" t="s">
        <v>1006</v>
      </c>
      <c r="C360" s="52" t="s">
        <v>1018</v>
      </c>
      <c r="D360" s="29" t="s">
        <v>1019</v>
      </c>
      <c r="E360" s="29" t="s">
        <v>1020</v>
      </c>
      <c r="F360" s="52" t="s">
        <v>315</v>
      </c>
      <c r="G360" s="28" t="s">
        <v>61</v>
      </c>
      <c r="H360" s="28" t="s">
        <v>61</v>
      </c>
      <c r="I360" s="14"/>
    </row>
    <row r="361" spans="1:9">
      <c r="A361" s="25">
        <v>360</v>
      </c>
      <c r="B361" s="29" t="s">
        <v>1006</v>
      </c>
      <c r="C361" s="52" t="s">
        <v>1021</v>
      </c>
      <c r="D361" s="29" t="s">
        <v>1022</v>
      </c>
      <c r="E361" s="29" t="s">
        <v>1023</v>
      </c>
      <c r="F361" s="54" t="s">
        <v>949</v>
      </c>
      <c r="G361" s="28" t="s">
        <v>61</v>
      </c>
      <c r="H361" s="28" t="s">
        <v>61</v>
      </c>
      <c r="I361" s="14"/>
    </row>
    <row r="362" spans="1:9">
      <c r="A362" s="25">
        <v>361</v>
      </c>
      <c r="B362" s="29" t="s">
        <v>1006</v>
      </c>
      <c r="C362" s="52" t="s">
        <v>1024</v>
      </c>
      <c r="D362" s="29" t="s">
        <v>1025</v>
      </c>
      <c r="E362" s="29" t="s">
        <v>1026</v>
      </c>
      <c r="F362" s="52" t="s">
        <v>211</v>
      </c>
      <c r="G362" s="28" t="s">
        <v>66</v>
      </c>
      <c r="H362" s="28" t="s">
        <v>66</v>
      </c>
      <c r="I362" s="14"/>
    </row>
    <row r="363" spans="1:9">
      <c r="A363" s="25">
        <v>362</v>
      </c>
      <c r="B363" s="29" t="s">
        <v>1006</v>
      </c>
      <c r="C363" s="52" t="s">
        <v>1027</v>
      </c>
      <c r="D363" s="29" t="s">
        <v>1025</v>
      </c>
      <c r="E363" s="29" t="s">
        <v>1028</v>
      </c>
      <c r="F363" s="52" t="s">
        <v>211</v>
      </c>
      <c r="G363" s="28" t="s">
        <v>66</v>
      </c>
      <c r="H363" s="28" t="s">
        <v>66</v>
      </c>
      <c r="I363" s="14"/>
    </row>
    <row r="364" spans="1:9">
      <c r="A364" s="25">
        <v>363</v>
      </c>
      <c r="B364" s="29" t="s">
        <v>1006</v>
      </c>
      <c r="C364" s="52" t="s">
        <v>1029</v>
      </c>
      <c r="D364" s="29" t="s">
        <v>1030</v>
      </c>
      <c r="E364" s="29" t="s">
        <v>1031</v>
      </c>
      <c r="F364" s="52" t="s">
        <v>125</v>
      </c>
      <c r="G364" s="28" t="s">
        <v>61</v>
      </c>
      <c r="H364" s="28" t="s">
        <v>61</v>
      </c>
      <c r="I364" s="14"/>
    </row>
    <row r="365" spans="1:9">
      <c r="A365" s="25">
        <v>364</v>
      </c>
      <c r="B365" s="29" t="s">
        <v>1006</v>
      </c>
      <c r="C365" s="52" t="s">
        <v>1032</v>
      </c>
      <c r="D365" s="29" t="s">
        <v>1033</v>
      </c>
      <c r="E365" s="29" t="s">
        <v>1034</v>
      </c>
      <c r="F365" s="52" t="s">
        <v>140</v>
      </c>
      <c r="G365" s="28" t="s">
        <v>61</v>
      </c>
      <c r="H365" s="28" t="s">
        <v>61</v>
      </c>
      <c r="I365" s="14"/>
    </row>
    <row r="366" spans="1:9">
      <c r="A366" s="25">
        <v>365</v>
      </c>
      <c r="B366" s="29" t="s">
        <v>1006</v>
      </c>
      <c r="C366" s="52" t="s">
        <v>1035</v>
      </c>
      <c r="D366" s="29" t="s">
        <v>1036</v>
      </c>
      <c r="E366" s="29" t="s">
        <v>1037</v>
      </c>
      <c r="F366" s="52" t="s">
        <v>740</v>
      </c>
      <c r="G366" s="28" t="s">
        <v>61</v>
      </c>
      <c r="H366" s="28" t="s">
        <v>61</v>
      </c>
      <c r="I366" s="14"/>
    </row>
    <row r="367" spans="1:9">
      <c r="A367" s="25">
        <v>366</v>
      </c>
      <c r="B367" s="29" t="s">
        <v>1006</v>
      </c>
      <c r="C367" s="52" t="s">
        <v>1038</v>
      </c>
      <c r="D367" s="29" t="s">
        <v>1039</v>
      </c>
      <c r="E367" s="29" t="s">
        <v>1040</v>
      </c>
      <c r="F367" s="52" t="s">
        <v>65</v>
      </c>
      <c r="G367" s="28" t="s">
        <v>61</v>
      </c>
      <c r="H367" s="28" t="s">
        <v>61</v>
      </c>
      <c r="I367" s="14"/>
    </row>
    <row r="368" spans="1:9">
      <c r="A368" s="25">
        <v>367</v>
      </c>
      <c r="B368" s="29" t="s">
        <v>1006</v>
      </c>
      <c r="C368" s="52" t="s">
        <v>1041</v>
      </c>
      <c r="D368" s="29" t="s">
        <v>1042</v>
      </c>
      <c r="E368" s="29" t="s">
        <v>1043</v>
      </c>
      <c r="F368" s="52" t="s">
        <v>65</v>
      </c>
      <c r="G368" s="28" t="s">
        <v>61</v>
      </c>
      <c r="H368" s="28" t="s">
        <v>61</v>
      </c>
      <c r="I368" s="14"/>
    </row>
    <row r="369" spans="1:9">
      <c r="A369" s="25">
        <v>368</v>
      </c>
      <c r="B369" s="29" t="s">
        <v>1006</v>
      </c>
      <c r="C369" s="52" t="s">
        <v>1044</v>
      </c>
      <c r="D369" s="29" t="s">
        <v>1045</v>
      </c>
      <c r="E369" s="29" t="s">
        <v>1046</v>
      </c>
      <c r="F369" s="52" t="s">
        <v>1047</v>
      </c>
      <c r="G369" s="28" t="s">
        <v>66</v>
      </c>
      <c r="H369" s="28" t="s">
        <v>66</v>
      </c>
      <c r="I369" s="14"/>
    </row>
    <row r="370" spans="1:9">
      <c r="A370" s="25">
        <v>369</v>
      </c>
      <c r="B370" s="29" t="s">
        <v>1006</v>
      </c>
      <c r="C370" s="52" t="s">
        <v>1048</v>
      </c>
      <c r="D370" s="29" t="s">
        <v>1045</v>
      </c>
      <c r="E370" s="29" t="s">
        <v>1049</v>
      </c>
      <c r="F370" s="52" t="s">
        <v>1050</v>
      </c>
      <c r="G370" s="28" t="s">
        <v>66</v>
      </c>
      <c r="H370" s="28" t="s">
        <v>66</v>
      </c>
      <c r="I370" s="14"/>
    </row>
    <row r="371" spans="1:9">
      <c r="A371" s="25">
        <v>370</v>
      </c>
      <c r="B371" s="29" t="s">
        <v>1006</v>
      </c>
      <c r="C371" s="52" t="s">
        <v>1051</v>
      </c>
      <c r="D371" s="29" t="s">
        <v>1045</v>
      </c>
      <c r="E371" s="29" t="s">
        <v>1052</v>
      </c>
      <c r="F371" s="52" t="s">
        <v>1053</v>
      </c>
      <c r="G371" s="28" t="s">
        <v>66</v>
      </c>
      <c r="H371" s="28" t="s">
        <v>66</v>
      </c>
      <c r="I371" s="14"/>
    </row>
    <row r="372" spans="1:9">
      <c r="A372" s="25">
        <v>371</v>
      </c>
      <c r="B372" s="29" t="s">
        <v>1006</v>
      </c>
      <c r="C372" s="52" t="s">
        <v>1054</v>
      </c>
      <c r="D372" s="29" t="s">
        <v>1045</v>
      </c>
      <c r="E372" s="29" t="s">
        <v>1055</v>
      </c>
      <c r="F372" s="52" t="s">
        <v>1056</v>
      </c>
      <c r="G372" s="28" t="s">
        <v>66</v>
      </c>
      <c r="H372" s="28" t="s">
        <v>66</v>
      </c>
      <c r="I372" s="14"/>
    </row>
    <row r="373" spans="1:9">
      <c r="A373" s="25">
        <v>372</v>
      </c>
      <c r="B373" s="29" t="s">
        <v>1006</v>
      </c>
      <c r="C373" s="52" t="s">
        <v>1057</v>
      </c>
      <c r="D373" s="29" t="s">
        <v>1045</v>
      </c>
      <c r="E373" s="29" t="s">
        <v>1058</v>
      </c>
      <c r="F373" s="52" t="s">
        <v>1059</v>
      </c>
      <c r="G373" s="28" t="s">
        <v>66</v>
      </c>
      <c r="H373" s="28" t="s">
        <v>66</v>
      </c>
      <c r="I373" s="14"/>
    </row>
    <row r="374" spans="1:9">
      <c r="A374" s="25">
        <v>373</v>
      </c>
      <c r="B374" s="29" t="s">
        <v>1006</v>
      </c>
      <c r="C374" s="52" t="s">
        <v>1060</v>
      </c>
      <c r="D374" s="29" t="s">
        <v>1061</v>
      </c>
      <c r="E374" s="29" t="s">
        <v>1062</v>
      </c>
      <c r="F374" s="52" t="s">
        <v>784</v>
      </c>
      <c r="G374" s="28" t="s">
        <v>61</v>
      </c>
      <c r="H374" s="28" t="s">
        <v>61</v>
      </c>
      <c r="I374" s="14"/>
    </row>
    <row r="375" spans="1:9">
      <c r="A375" s="25">
        <v>374</v>
      </c>
      <c r="B375" s="29" t="s">
        <v>1006</v>
      </c>
      <c r="C375" s="52" t="s">
        <v>1063</v>
      </c>
      <c r="D375" s="29" t="s">
        <v>1064</v>
      </c>
      <c r="E375" s="29" t="s">
        <v>1065</v>
      </c>
      <c r="F375" s="52" t="s">
        <v>65</v>
      </c>
      <c r="G375" s="28" t="s">
        <v>61</v>
      </c>
      <c r="H375" s="28" t="s">
        <v>61</v>
      </c>
      <c r="I375" s="14"/>
    </row>
    <row r="376" spans="1:9">
      <c r="A376" s="25">
        <v>375</v>
      </c>
      <c r="B376" s="29" t="s">
        <v>1006</v>
      </c>
      <c r="C376" s="52" t="s">
        <v>1066</v>
      </c>
      <c r="D376" s="29" t="s">
        <v>1067</v>
      </c>
      <c r="E376" s="29" t="s">
        <v>1068</v>
      </c>
      <c r="F376" s="52" t="s">
        <v>140</v>
      </c>
      <c r="G376" s="28" t="s">
        <v>61</v>
      </c>
      <c r="H376" s="28" t="s">
        <v>61</v>
      </c>
      <c r="I376" s="14"/>
    </row>
    <row r="377" spans="1:9">
      <c r="A377" s="25">
        <v>376</v>
      </c>
      <c r="B377" s="29" t="s">
        <v>1006</v>
      </c>
      <c r="C377" s="52" t="s">
        <v>1069</v>
      </c>
      <c r="D377" s="29" t="s">
        <v>1070</v>
      </c>
      <c r="E377" s="29" t="s">
        <v>1071</v>
      </c>
      <c r="F377" s="52" t="s">
        <v>140</v>
      </c>
      <c r="G377" s="28" t="s">
        <v>61</v>
      </c>
      <c r="H377" s="28" t="s">
        <v>61</v>
      </c>
      <c r="I377" s="14"/>
    </row>
    <row r="378" spans="1:9">
      <c r="A378" s="25">
        <v>377</v>
      </c>
      <c r="B378" s="29" t="s">
        <v>1072</v>
      </c>
      <c r="C378" s="52" t="s">
        <v>1073</v>
      </c>
      <c r="D378" s="29" t="s">
        <v>1074</v>
      </c>
      <c r="E378" s="29" t="s">
        <v>1075</v>
      </c>
      <c r="F378" s="52" t="s">
        <v>1076</v>
      </c>
      <c r="G378" s="28" t="s">
        <v>61</v>
      </c>
      <c r="H378" s="28" t="s">
        <v>61</v>
      </c>
      <c r="I378" s="14"/>
    </row>
    <row r="379" spans="1:9">
      <c r="A379" s="25">
        <v>378</v>
      </c>
      <c r="B379" s="29" t="s">
        <v>1072</v>
      </c>
      <c r="C379" s="52" t="s">
        <v>1077</v>
      </c>
      <c r="D379" s="29" t="s">
        <v>1074</v>
      </c>
      <c r="E379" s="29" t="s">
        <v>1078</v>
      </c>
      <c r="F379" s="52" t="s">
        <v>1079</v>
      </c>
      <c r="G379" s="28" t="s">
        <v>61</v>
      </c>
      <c r="H379" s="28" t="s">
        <v>61</v>
      </c>
      <c r="I379" s="14"/>
    </row>
    <row r="380" spans="1:9">
      <c r="A380" s="25">
        <v>379</v>
      </c>
      <c r="B380" s="29" t="s">
        <v>1072</v>
      </c>
      <c r="C380" s="52" t="s">
        <v>1080</v>
      </c>
      <c r="D380" s="29" t="s">
        <v>1074</v>
      </c>
      <c r="E380" s="29" t="s">
        <v>1081</v>
      </c>
      <c r="F380" s="52" t="s">
        <v>1082</v>
      </c>
      <c r="G380" s="28" t="s">
        <v>61</v>
      </c>
      <c r="H380" s="28" t="s">
        <v>61</v>
      </c>
      <c r="I380" s="14"/>
    </row>
    <row r="381" spans="1:9">
      <c r="A381" s="25">
        <v>380</v>
      </c>
      <c r="B381" s="29" t="s">
        <v>1072</v>
      </c>
      <c r="C381" s="52" t="s">
        <v>1083</v>
      </c>
      <c r="D381" s="29" t="s">
        <v>1074</v>
      </c>
      <c r="E381" s="29" t="s">
        <v>1084</v>
      </c>
      <c r="F381" s="52" t="s">
        <v>1085</v>
      </c>
      <c r="G381" s="28" t="s">
        <v>61</v>
      </c>
      <c r="H381" s="28" t="s">
        <v>61</v>
      </c>
      <c r="I381" s="14"/>
    </row>
    <row r="382" spans="1:9">
      <c r="A382" s="25">
        <v>381</v>
      </c>
      <c r="B382" s="29" t="s">
        <v>1072</v>
      </c>
      <c r="C382" s="52" t="s">
        <v>1086</v>
      </c>
      <c r="D382" s="29" t="s">
        <v>1074</v>
      </c>
      <c r="E382" s="29" t="s">
        <v>1087</v>
      </c>
      <c r="F382" s="52" t="s">
        <v>1088</v>
      </c>
      <c r="G382" s="28" t="s">
        <v>61</v>
      </c>
      <c r="H382" s="28" t="s">
        <v>61</v>
      </c>
      <c r="I382" s="14"/>
    </row>
    <row r="383" spans="1:9">
      <c r="A383" s="25">
        <v>382</v>
      </c>
      <c r="B383" s="29" t="s">
        <v>1072</v>
      </c>
      <c r="C383" s="52" t="s">
        <v>1089</v>
      </c>
      <c r="D383" s="29" t="s">
        <v>1074</v>
      </c>
      <c r="E383" s="29" t="s">
        <v>1090</v>
      </c>
      <c r="F383" s="52" t="s">
        <v>1076</v>
      </c>
      <c r="G383" s="28" t="s">
        <v>61</v>
      </c>
      <c r="H383" s="28" t="s">
        <v>61</v>
      </c>
      <c r="I383" s="14"/>
    </row>
    <row r="384" spans="1:9">
      <c r="A384" s="25">
        <v>383</v>
      </c>
      <c r="B384" s="29" t="s">
        <v>1072</v>
      </c>
      <c r="C384" s="52" t="s">
        <v>1091</v>
      </c>
      <c r="D384" s="29" t="s">
        <v>1074</v>
      </c>
      <c r="E384" s="29" t="s">
        <v>1092</v>
      </c>
      <c r="F384" s="52" t="s">
        <v>1079</v>
      </c>
      <c r="G384" s="28" t="s">
        <v>61</v>
      </c>
      <c r="H384" s="28" t="s">
        <v>61</v>
      </c>
      <c r="I384" s="14"/>
    </row>
    <row r="385" spans="1:9">
      <c r="A385" s="25">
        <v>384</v>
      </c>
      <c r="B385" s="29" t="s">
        <v>1072</v>
      </c>
      <c r="C385" s="52" t="s">
        <v>1093</v>
      </c>
      <c r="D385" s="29" t="s">
        <v>1074</v>
      </c>
      <c r="E385" s="29" t="s">
        <v>1094</v>
      </c>
      <c r="F385" s="52" t="s">
        <v>1082</v>
      </c>
      <c r="G385" s="28" t="s">
        <v>61</v>
      </c>
      <c r="H385" s="28" t="s">
        <v>61</v>
      </c>
      <c r="I385" s="14"/>
    </row>
    <row r="386" spans="1:9">
      <c r="A386" s="25">
        <v>385</v>
      </c>
      <c r="B386" s="29" t="s">
        <v>1072</v>
      </c>
      <c r="C386" s="52" t="s">
        <v>1095</v>
      </c>
      <c r="D386" s="29" t="s">
        <v>1074</v>
      </c>
      <c r="E386" s="29" t="s">
        <v>1096</v>
      </c>
      <c r="F386" s="52" t="s">
        <v>1085</v>
      </c>
      <c r="G386" s="28" t="s">
        <v>61</v>
      </c>
      <c r="H386" s="28" t="s">
        <v>61</v>
      </c>
      <c r="I386" s="14"/>
    </row>
    <row r="387" spans="1:9">
      <c r="A387" s="25">
        <v>386</v>
      </c>
      <c r="B387" s="29" t="s">
        <v>1072</v>
      </c>
      <c r="C387" s="52" t="s">
        <v>1097</v>
      </c>
      <c r="D387" s="29" t="s">
        <v>1074</v>
      </c>
      <c r="E387" s="29" t="s">
        <v>1098</v>
      </c>
      <c r="F387" s="52" t="s">
        <v>1088</v>
      </c>
      <c r="G387" s="28" t="s">
        <v>61</v>
      </c>
      <c r="H387" s="28" t="s">
        <v>61</v>
      </c>
      <c r="I387" s="14"/>
    </row>
    <row r="388" spans="1:9">
      <c r="A388" s="25">
        <v>387</v>
      </c>
      <c r="B388" s="29" t="s">
        <v>1072</v>
      </c>
      <c r="C388" s="52" t="s">
        <v>1099</v>
      </c>
      <c r="D388" s="29" t="e">
        <v>#REF!</v>
      </c>
      <c r="E388" s="29" t="s">
        <v>1100</v>
      </c>
      <c r="F388" s="52" t="s">
        <v>1047</v>
      </c>
      <c r="G388" s="28" t="s">
        <v>61</v>
      </c>
      <c r="H388" s="28" t="s">
        <v>61</v>
      </c>
      <c r="I388" s="14"/>
    </row>
    <row r="389" spans="1:9">
      <c r="A389" s="25">
        <v>388</v>
      </c>
      <c r="B389" s="29" t="s">
        <v>1072</v>
      </c>
      <c r="C389" s="52" t="s">
        <v>1101</v>
      </c>
      <c r="D389" s="29" t="e">
        <v>#REF!</v>
      </c>
      <c r="E389" s="29" t="s">
        <v>1102</v>
      </c>
      <c r="F389" s="52" t="s">
        <v>1050</v>
      </c>
      <c r="G389" s="28" t="s">
        <v>61</v>
      </c>
      <c r="H389" s="28" t="s">
        <v>61</v>
      </c>
      <c r="I389" s="14"/>
    </row>
    <row r="390" spans="1:9">
      <c r="A390" s="25">
        <v>389</v>
      </c>
      <c r="B390" s="29" t="s">
        <v>1072</v>
      </c>
      <c r="C390" s="52" t="s">
        <v>1103</v>
      </c>
      <c r="D390" s="29" t="e">
        <v>#REF!</v>
      </c>
      <c r="E390" s="29" t="s">
        <v>1104</v>
      </c>
      <c r="F390" s="52" t="s">
        <v>1053</v>
      </c>
      <c r="G390" s="28" t="s">
        <v>61</v>
      </c>
      <c r="H390" s="28" t="s">
        <v>61</v>
      </c>
      <c r="I390" s="14"/>
    </row>
    <row r="391" spans="1:9">
      <c r="A391" s="25">
        <v>390</v>
      </c>
      <c r="B391" s="29" t="s">
        <v>1072</v>
      </c>
      <c r="C391" s="52" t="s">
        <v>1105</v>
      </c>
      <c r="D391" s="29" t="e">
        <v>#REF!</v>
      </c>
      <c r="E391" s="29" t="s">
        <v>1106</v>
      </c>
      <c r="F391" s="52" t="s">
        <v>1056</v>
      </c>
      <c r="G391" s="28" t="s">
        <v>61</v>
      </c>
      <c r="H391" s="28" t="s">
        <v>61</v>
      </c>
      <c r="I391" s="14"/>
    </row>
    <row r="392" spans="1:9">
      <c r="A392" s="25">
        <v>391</v>
      </c>
      <c r="B392" s="29" t="s">
        <v>1072</v>
      </c>
      <c r="C392" s="52" t="s">
        <v>1107</v>
      </c>
      <c r="D392" s="29" t="e">
        <v>#REF!</v>
      </c>
      <c r="E392" s="29" t="s">
        <v>1108</v>
      </c>
      <c r="F392" s="52" t="s">
        <v>1059</v>
      </c>
      <c r="G392" s="28" t="s">
        <v>61</v>
      </c>
      <c r="H392" s="28" t="s">
        <v>61</v>
      </c>
      <c r="I392" s="14"/>
    </row>
    <row r="393" spans="1:9">
      <c r="A393" s="25">
        <v>392</v>
      </c>
      <c r="B393" s="29" t="s">
        <v>1072</v>
      </c>
      <c r="C393" s="52" t="s">
        <v>1109</v>
      </c>
      <c r="D393" s="29"/>
      <c r="E393" s="29" t="s">
        <v>1110</v>
      </c>
      <c r="F393" s="51"/>
      <c r="G393" s="28" t="s">
        <v>61</v>
      </c>
      <c r="H393" s="28" t="s">
        <v>61</v>
      </c>
      <c r="I393" s="14"/>
    </row>
    <row r="394" spans="1:9">
      <c r="A394" s="25">
        <v>393</v>
      </c>
      <c r="B394" s="29" t="s">
        <v>1072</v>
      </c>
      <c r="C394" s="51" t="s">
        <v>1111</v>
      </c>
      <c r="D394" s="29" t="s">
        <v>1112</v>
      </c>
      <c r="E394" s="29" t="s">
        <v>1113</v>
      </c>
      <c r="F394" s="52" t="s">
        <v>1047</v>
      </c>
      <c r="G394" s="28" t="s">
        <v>66</v>
      </c>
      <c r="H394" s="28" t="s">
        <v>66</v>
      </c>
      <c r="I394" s="14"/>
    </row>
    <row r="395" spans="1:9">
      <c r="A395" s="25">
        <v>394</v>
      </c>
      <c r="B395" s="29" t="s">
        <v>1072</v>
      </c>
      <c r="C395" s="51" t="s">
        <v>1114</v>
      </c>
      <c r="D395" s="29" t="s">
        <v>1115</v>
      </c>
      <c r="E395" s="29" t="s">
        <v>1116</v>
      </c>
      <c r="F395" s="52" t="s">
        <v>1050</v>
      </c>
      <c r="G395" s="28" t="s">
        <v>66</v>
      </c>
      <c r="H395" s="28" t="s">
        <v>66</v>
      </c>
      <c r="I395" s="14"/>
    </row>
    <row r="396" spans="1:9">
      <c r="A396" s="25">
        <v>395</v>
      </c>
      <c r="B396" s="29" t="s">
        <v>1072</v>
      </c>
      <c r="C396" s="51" t="s">
        <v>1117</v>
      </c>
      <c r="D396" s="29" t="s">
        <v>1118</v>
      </c>
      <c r="E396" s="29" t="s">
        <v>1119</v>
      </c>
      <c r="F396" s="52" t="s">
        <v>1053</v>
      </c>
      <c r="G396" s="28" t="s">
        <v>66</v>
      </c>
      <c r="H396" s="28" t="s">
        <v>66</v>
      </c>
      <c r="I396" s="14"/>
    </row>
    <row r="397" spans="1:9">
      <c r="A397" s="25">
        <v>396</v>
      </c>
      <c r="B397" s="29" t="s">
        <v>1072</v>
      </c>
      <c r="C397" s="51" t="s">
        <v>1120</v>
      </c>
      <c r="D397" s="29" t="s">
        <v>1121</v>
      </c>
      <c r="E397" s="29" t="s">
        <v>1122</v>
      </c>
      <c r="F397" s="52" t="s">
        <v>153</v>
      </c>
      <c r="G397" s="28" t="s">
        <v>66</v>
      </c>
      <c r="H397" s="28" t="s">
        <v>66</v>
      </c>
      <c r="I397" s="14"/>
    </row>
    <row r="398" spans="1:9">
      <c r="A398" s="25">
        <v>397</v>
      </c>
      <c r="B398" s="29" t="s">
        <v>1072</v>
      </c>
      <c r="C398" s="51" t="s">
        <v>1123</v>
      </c>
      <c r="D398" s="29" t="s">
        <v>1124</v>
      </c>
      <c r="E398" s="29" t="s">
        <v>1125</v>
      </c>
      <c r="F398" s="52" t="s">
        <v>1056</v>
      </c>
      <c r="G398" s="28" t="s">
        <v>66</v>
      </c>
      <c r="H398" s="28" t="s">
        <v>66</v>
      </c>
      <c r="I398" s="14"/>
    </row>
    <row r="399" spans="1:9">
      <c r="A399" s="25">
        <v>398</v>
      </c>
      <c r="B399" s="29" t="s">
        <v>1072</v>
      </c>
      <c r="C399" s="51" t="s">
        <v>1126</v>
      </c>
      <c r="D399" s="29" t="s">
        <v>1127</v>
      </c>
      <c r="E399" s="29" t="s">
        <v>1128</v>
      </c>
      <c r="F399" s="52" t="s">
        <v>1059</v>
      </c>
      <c r="G399" s="28" t="s">
        <v>66</v>
      </c>
      <c r="H399" s="28" t="s">
        <v>66</v>
      </c>
      <c r="I399" s="14"/>
    </row>
    <row r="400" spans="1:9">
      <c r="A400" s="25">
        <v>399</v>
      </c>
      <c r="B400" s="29" t="s">
        <v>1072</v>
      </c>
      <c r="C400" s="52" t="s">
        <v>1129</v>
      </c>
      <c r="D400" s="29" t="s">
        <v>1130</v>
      </c>
      <c r="E400" s="29" t="s">
        <v>1131</v>
      </c>
      <c r="F400" s="52" t="s">
        <v>1076</v>
      </c>
      <c r="G400" s="28" t="s">
        <v>66</v>
      </c>
      <c r="H400" s="28" t="s">
        <v>66</v>
      </c>
      <c r="I400" s="14"/>
    </row>
    <row r="401" spans="1:9">
      <c r="A401" s="25">
        <v>400</v>
      </c>
      <c r="B401" s="29" t="s">
        <v>1072</v>
      </c>
      <c r="C401" s="52" t="s">
        <v>1132</v>
      </c>
      <c r="D401" s="29" t="s">
        <v>1130</v>
      </c>
      <c r="E401" s="29" t="s">
        <v>1133</v>
      </c>
      <c r="F401" s="52" t="s">
        <v>1079</v>
      </c>
      <c r="G401" s="28" t="s">
        <v>66</v>
      </c>
      <c r="H401" s="28" t="s">
        <v>66</v>
      </c>
      <c r="I401" s="14"/>
    </row>
    <row r="402" spans="1:9">
      <c r="A402" s="25">
        <v>401</v>
      </c>
      <c r="B402" s="29" t="s">
        <v>1072</v>
      </c>
      <c r="C402" s="52" t="s">
        <v>1134</v>
      </c>
      <c r="D402" s="29" t="s">
        <v>1130</v>
      </c>
      <c r="E402" s="29" t="s">
        <v>1135</v>
      </c>
      <c r="F402" s="52" t="s">
        <v>1082</v>
      </c>
      <c r="G402" s="28" t="s">
        <v>66</v>
      </c>
      <c r="H402" s="28" t="s">
        <v>66</v>
      </c>
      <c r="I402" s="14"/>
    </row>
    <row r="403" spans="1:9">
      <c r="A403" s="25">
        <v>402</v>
      </c>
      <c r="B403" s="29" t="s">
        <v>1072</v>
      </c>
      <c r="C403" s="52" t="s">
        <v>1136</v>
      </c>
      <c r="D403" s="29" t="s">
        <v>1130</v>
      </c>
      <c r="E403" s="29" t="s">
        <v>1137</v>
      </c>
      <c r="F403" s="52" t="s">
        <v>1085</v>
      </c>
      <c r="G403" s="28" t="s">
        <v>66</v>
      </c>
      <c r="H403" s="28" t="s">
        <v>66</v>
      </c>
      <c r="I403" s="14"/>
    </row>
    <row r="404" spans="1:9">
      <c r="A404" s="25">
        <v>403</v>
      </c>
      <c r="B404" s="29" t="s">
        <v>1072</v>
      </c>
      <c r="C404" s="52" t="s">
        <v>1138</v>
      </c>
      <c r="D404" s="29" t="s">
        <v>1130</v>
      </c>
      <c r="E404" s="29" t="s">
        <v>1139</v>
      </c>
      <c r="F404" s="52" t="s">
        <v>1076</v>
      </c>
      <c r="G404" s="28" t="s">
        <v>66</v>
      </c>
      <c r="H404" s="28" t="s">
        <v>66</v>
      </c>
      <c r="I404" s="14"/>
    </row>
    <row r="405" spans="1:9">
      <c r="A405" s="25">
        <v>404</v>
      </c>
      <c r="B405" s="29" t="s">
        <v>1072</v>
      </c>
      <c r="C405" s="52" t="s">
        <v>1140</v>
      </c>
      <c r="D405" s="29" t="s">
        <v>1130</v>
      </c>
      <c r="E405" s="29" t="s">
        <v>1141</v>
      </c>
      <c r="F405" s="52" t="s">
        <v>1079</v>
      </c>
      <c r="G405" s="28" t="s">
        <v>66</v>
      </c>
      <c r="H405" s="28" t="s">
        <v>66</v>
      </c>
      <c r="I405" s="14"/>
    </row>
    <row r="406" spans="1:9">
      <c r="A406" s="25">
        <v>405</v>
      </c>
      <c r="B406" s="29" t="s">
        <v>1072</v>
      </c>
      <c r="C406" s="52" t="s">
        <v>1142</v>
      </c>
      <c r="D406" s="29" t="s">
        <v>1130</v>
      </c>
      <c r="E406" s="29" t="s">
        <v>1143</v>
      </c>
      <c r="F406" s="52" t="s">
        <v>1082</v>
      </c>
      <c r="G406" s="28" t="s">
        <v>66</v>
      </c>
      <c r="H406" s="28" t="s">
        <v>66</v>
      </c>
      <c r="I406" s="14"/>
    </row>
    <row r="407" spans="1:9">
      <c r="A407" s="25">
        <v>406</v>
      </c>
      <c r="B407" s="29" t="s">
        <v>1072</v>
      </c>
      <c r="C407" s="52" t="s">
        <v>1144</v>
      </c>
      <c r="D407" s="29" t="s">
        <v>1130</v>
      </c>
      <c r="E407" s="29" t="s">
        <v>1145</v>
      </c>
      <c r="F407" s="52" t="s">
        <v>1085</v>
      </c>
      <c r="G407" s="28" t="s">
        <v>66</v>
      </c>
      <c r="H407" s="28" t="s">
        <v>66</v>
      </c>
      <c r="I407" s="14"/>
    </row>
    <row r="408" spans="1:9">
      <c r="A408" s="25">
        <v>407</v>
      </c>
      <c r="B408" s="29" t="s">
        <v>1072</v>
      </c>
      <c r="C408" s="52" t="s">
        <v>1146</v>
      </c>
      <c r="D408" s="29" t="s">
        <v>1147</v>
      </c>
      <c r="E408" s="29" t="s">
        <v>1148</v>
      </c>
      <c r="F408" s="52" t="s">
        <v>1088</v>
      </c>
      <c r="G408" s="28" t="s">
        <v>66</v>
      </c>
      <c r="H408" s="28" t="s">
        <v>66</v>
      </c>
      <c r="I408" s="14"/>
    </row>
    <row r="409" spans="1:9">
      <c r="A409" s="25">
        <v>408</v>
      </c>
      <c r="B409" s="29" t="s">
        <v>1072</v>
      </c>
      <c r="C409" s="52" t="s">
        <v>1149</v>
      </c>
      <c r="D409" s="29" t="s">
        <v>1150</v>
      </c>
      <c r="E409" s="29" t="s">
        <v>1151</v>
      </c>
      <c r="F409" s="52" t="s">
        <v>1088</v>
      </c>
      <c r="G409" s="28" t="s">
        <v>66</v>
      </c>
      <c r="H409" s="28" t="s">
        <v>66</v>
      </c>
      <c r="I409" s="14"/>
    </row>
    <row r="410" spans="1:9">
      <c r="A410" s="25">
        <v>409</v>
      </c>
      <c r="B410" s="29" t="s">
        <v>1072</v>
      </c>
      <c r="C410" s="52" t="s">
        <v>1152</v>
      </c>
      <c r="D410" s="29" t="s">
        <v>1153</v>
      </c>
      <c r="E410" s="29" t="s">
        <v>1154</v>
      </c>
      <c r="F410" s="52" t="s">
        <v>1079</v>
      </c>
      <c r="G410" s="28" t="s">
        <v>66</v>
      </c>
      <c r="H410" s="28" t="s">
        <v>66</v>
      </c>
      <c r="I410" s="14"/>
    </row>
    <row r="411" spans="1:9">
      <c r="A411" s="25">
        <v>410</v>
      </c>
      <c r="B411" s="29" t="s">
        <v>1072</v>
      </c>
      <c r="C411" s="52" t="s">
        <v>1155</v>
      </c>
      <c r="D411" s="29" t="s">
        <v>1153</v>
      </c>
      <c r="E411" s="29" t="s">
        <v>1156</v>
      </c>
      <c r="F411" s="52" t="s">
        <v>1082</v>
      </c>
      <c r="G411" s="28" t="s">
        <v>66</v>
      </c>
      <c r="H411" s="28" t="s">
        <v>66</v>
      </c>
      <c r="I411" s="14"/>
    </row>
    <row r="412" spans="1:9">
      <c r="A412" s="25">
        <v>411</v>
      </c>
      <c r="B412" s="29" t="s">
        <v>1072</v>
      </c>
      <c r="C412" s="52" t="s">
        <v>1157</v>
      </c>
      <c r="D412" s="29" t="s">
        <v>1153</v>
      </c>
      <c r="E412" s="29" t="s">
        <v>1158</v>
      </c>
      <c r="F412" s="52" t="s">
        <v>1085</v>
      </c>
      <c r="G412" s="28" t="s">
        <v>66</v>
      </c>
      <c r="H412" s="28" t="s">
        <v>66</v>
      </c>
      <c r="I412" s="14"/>
    </row>
    <row r="413" spans="1:9">
      <c r="A413" s="25">
        <v>412</v>
      </c>
      <c r="B413" s="29" t="s">
        <v>1072</v>
      </c>
      <c r="C413" s="52" t="s">
        <v>1159</v>
      </c>
      <c r="D413" s="29" t="s">
        <v>1160</v>
      </c>
      <c r="E413" s="29" t="s">
        <v>1161</v>
      </c>
      <c r="F413" s="52" t="s">
        <v>1079</v>
      </c>
      <c r="G413" s="28" t="s">
        <v>66</v>
      </c>
      <c r="H413" s="28" t="s">
        <v>66</v>
      </c>
      <c r="I413" s="14"/>
    </row>
    <row r="414" spans="1:9">
      <c r="A414" s="25">
        <v>413</v>
      </c>
      <c r="B414" s="29" t="s">
        <v>1072</v>
      </c>
      <c r="C414" s="52" t="s">
        <v>1162</v>
      </c>
      <c r="D414" s="29" t="s">
        <v>1160</v>
      </c>
      <c r="E414" s="29" t="s">
        <v>1163</v>
      </c>
      <c r="F414" s="52" t="s">
        <v>1082</v>
      </c>
      <c r="G414" s="28" t="s">
        <v>66</v>
      </c>
      <c r="H414" s="28" t="s">
        <v>66</v>
      </c>
      <c r="I414" s="14"/>
    </row>
    <row r="415" spans="1:9">
      <c r="A415" s="25">
        <v>414</v>
      </c>
      <c r="B415" s="29" t="s">
        <v>1072</v>
      </c>
      <c r="C415" s="52" t="s">
        <v>1164</v>
      </c>
      <c r="D415" s="29" t="s">
        <v>1160</v>
      </c>
      <c r="E415" s="29" t="s">
        <v>1165</v>
      </c>
      <c r="F415" s="52" t="s">
        <v>1085</v>
      </c>
      <c r="G415" s="28" t="s">
        <v>66</v>
      </c>
      <c r="H415" s="28" t="s">
        <v>66</v>
      </c>
      <c r="I415" s="14"/>
    </row>
    <row r="416" spans="1:9">
      <c r="A416" s="25">
        <v>415</v>
      </c>
      <c r="B416" s="29" t="s">
        <v>1072</v>
      </c>
      <c r="C416" s="52" t="s">
        <v>1166</v>
      </c>
      <c r="D416" s="29" t="s">
        <v>1167</v>
      </c>
      <c r="E416" s="29" t="s">
        <v>1168</v>
      </c>
      <c r="F416" s="52" t="s">
        <v>1076</v>
      </c>
      <c r="G416" s="28" t="s">
        <v>66</v>
      </c>
      <c r="H416" s="28" t="s">
        <v>66</v>
      </c>
      <c r="I416" s="14"/>
    </row>
    <row r="417" spans="1:9">
      <c r="A417" s="25">
        <v>416</v>
      </c>
      <c r="B417" s="29" t="s">
        <v>1072</v>
      </c>
      <c r="C417" s="52" t="s">
        <v>1169</v>
      </c>
      <c r="D417" s="29" t="s">
        <v>1170</v>
      </c>
      <c r="E417" s="29" t="s">
        <v>1171</v>
      </c>
      <c r="F417" s="52" t="s">
        <v>1076</v>
      </c>
      <c r="G417" s="28" t="s">
        <v>66</v>
      </c>
      <c r="H417" s="28" t="s">
        <v>66</v>
      </c>
      <c r="I417" s="14"/>
    </row>
    <row r="418" spans="1:9">
      <c r="A418" s="25">
        <v>417</v>
      </c>
      <c r="B418" s="29" t="s">
        <v>1072</v>
      </c>
      <c r="C418" s="52" t="s">
        <v>1172</v>
      </c>
      <c r="D418" s="29" t="s">
        <v>1173</v>
      </c>
      <c r="E418" s="29" t="s">
        <v>1174</v>
      </c>
      <c r="F418" s="52" t="s">
        <v>1088</v>
      </c>
      <c r="G418" s="28" t="s">
        <v>66</v>
      </c>
      <c r="H418" s="28" t="s">
        <v>66</v>
      </c>
      <c r="I418" s="14"/>
    </row>
    <row r="419" spans="1:9">
      <c r="A419" s="25">
        <v>418</v>
      </c>
      <c r="B419" s="29" t="s">
        <v>1072</v>
      </c>
      <c r="C419" s="52" t="s">
        <v>1175</v>
      </c>
      <c r="D419" s="29" t="s">
        <v>1176</v>
      </c>
      <c r="E419" s="29" t="s">
        <v>1177</v>
      </c>
      <c r="F419" s="52" t="s">
        <v>1088</v>
      </c>
      <c r="G419" s="28" t="s">
        <v>66</v>
      </c>
      <c r="H419" s="28" t="s">
        <v>66</v>
      </c>
      <c r="I419" s="14"/>
    </row>
    <row r="420" spans="1:9">
      <c r="A420" s="25">
        <v>419</v>
      </c>
      <c r="B420" s="29" t="s">
        <v>1072</v>
      </c>
      <c r="C420" s="52" t="s">
        <v>1178</v>
      </c>
      <c r="D420" s="29" t="s">
        <v>1179</v>
      </c>
      <c r="E420" s="29" t="s">
        <v>1180</v>
      </c>
      <c r="F420" s="52" t="s">
        <v>1076</v>
      </c>
      <c r="G420" s="28" t="s">
        <v>66</v>
      </c>
      <c r="H420" s="28" t="s">
        <v>66</v>
      </c>
      <c r="I420" s="14"/>
    </row>
    <row r="421" spans="1:9">
      <c r="A421" s="25">
        <v>420</v>
      </c>
      <c r="B421" s="29" t="s">
        <v>1072</v>
      </c>
      <c r="C421" s="52" t="s">
        <v>1181</v>
      </c>
      <c r="D421" s="29" t="s">
        <v>1179</v>
      </c>
      <c r="E421" s="29" t="s">
        <v>1182</v>
      </c>
      <c r="F421" s="52" t="s">
        <v>1079</v>
      </c>
      <c r="G421" s="28" t="s">
        <v>66</v>
      </c>
      <c r="H421" s="28" t="s">
        <v>66</v>
      </c>
      <c r="I421" s="14"/>
    </row>
    <row r="422" spans="1:9">
      <c r="A422" s="25">
        <v>421</v>
      </c>
      <c r="B422" s="29" t="s">
        <v>1072</v>
      </c>
      <c r="C422" s="52" t="s">
        <v>1183</v>
      </c>
      <c r="D422" s="29" t="s">
        <v>1179</v>
      </c>
      <c r="E422" s="29" t="s">
        <v>1184</v>
      </c>
      <c r="F422" s="52" t="s">
        <v>1082</v>
      </c>
      <c r="G422" s="28" t="s">
        <v>66</v>
      </c>
      <c r="H422" s="28" t="s">
        <v>66</v>
      </c>
      <c r="I422" s="14"/>
    </row>
    <row r="423" spans="1:9">
      <c r="A423" s="25">
        <v>422</v>
      </c>
      <c r="B423" s="29" t="s">
        <v>1072</v>
      </c>
      <c r="C423" s="52" t="s">
        <v>1185</v>
      </c>
      <c r="D423" s="29" t="s">
        <v>1179</v>
      </c>
      <c r="E423" s="29" t="s">
        <v>1186</v>
      </c>
      <c r="F423" s="52" t="s">
        <v>1085</v>
      </c>
      <c r="G423" s="28" t="s">
        <v>66</v>
      </c>
      <c r="H423" s="28" t="s">
        <v>66</v>
      </c>
      <c r="I423" s="14"/>
    </row>
    <row r="424" spans="1:9">
      <c r="A424" s="25">
        <v>423</v>
      </c>
      <c r="B424" s="29" t="s">
        <v>1072</v>
      </c>
      <c r="C424" s="52" t="s">
        <v>1187</v>
      </c>
      <c r="D424" s="29" t="s">
        <v>1179</v>
      </c>
      <c r="E424" s="29" t="s">
        <v>1188</v>
      </c>
      <c r="F424" s="52" t="s">
        <v>1088</v>
      </c>
      <c r="G424" s="28" t="s">
        <v>66</v>
      </c>
      <c r="H424" s="28" t="s">
        <v>66</v>
      </c>
      <c r="I424" s="14"/>
    </row>
    <row r="425" spans="1:9">
      <c r="A425" s="25">
        <v>424</v>
      </c>
      <c r="B425" s="29" t="s">
        <v>1072</v>
      </c>
      <c r="C425" s="52" t="s">
        <v>1189</v>
      </c>
      <c r="D425" s="29" t="s">
        <v>1179</v>
      </c>
      <c r="E425" s="29" t="s">
        <v>1190</v>
      </c>
      <c r="F425" s="52" t="s">
        <v>1076</v>
      </c>
      <c r="G425" s="28" t="s">
        <v>66</v>
      </c>
      <c r="H425" s="28" t="s">
        <v>66</v>
      </c>
      <c r="I425" s="14"/>
    </row>
    <row r="426" spans="1:9">
      <c r="A426" s="25">
        <v>425</v>
      </c>
      <c r="B426" s="29" t="s">
        <v>1072</v>
      </c>
      <c r="C426" s="52" t="s">
        <v>1191</v>
      </c>
      <c r="D426" s="29" t="s">
        <v>1179</v>
      </c>
      <c r="E426" s="29" t="s">
        <v>1192</v>
      </c>
      <c r="F426" s="52" t="s">
        <v>1079</v>
      </c>
      <c r="G426" s="28" t="s">
        <v>66</v>
      </c>
      <c r="H426" s="28" t="s">
        <v>66</v>
      </c>
      <c r="I426" s="14"/>
    </row>
    <row r="427" spans="1:9">
      <c r="A427" s="25">
        <v>426</v>
      </c>
      <c r="B427" s="29" t="s">
        <v>1072</v>
      </c>
      <c r="C427" s="52" t="s">
        <v>1193</v>
      </c>
      <c r="D427" s="29" t="s">
        <v>1179</v>
      </c>
      <c r="E427" s="29" t="s">
        <v>1194</v>
      </c>
      <c r="F427" s="52" t="s">
        <v>1082</v>
      </c>
      <c r="G427" s="28" t="s">
        <v>66</v>
      </c>
      <c r="H427" s="28" t="s">
        <v>66</v>
      </c>
      <c r="I427" s="14"/>
    </row>
    <row r="428" spans="1:9">
      <c r="A428" s="25">
        <v>427</v>
      </c>
      <c r="B428" s="29" t="s">
        <v>1072</v>
      </c>
      <c r="C428" s="52" t="s">
        <v>1195</v>
      </c>
      <c r="D428" s="29" t="s">
        <v>1179</v>
      </c>
      <c r="E428" s="29" t="s">
        <v>1196</v>
      </c>
      <c r="F428" s="52" t="s">
        <v>1085</v>
      </c>
      <c r="G428" s="28" t="s">
        <v>66</v>
      </c>
      <c r="H428" s="28" t="s">
        <v>66</v>
      </c>
      <c r="I428" s="14"/>
    </row>
    <row r="429" spans="1:9">
      <c r="A429" s="25">
        <v>428</v>
      </c>
      <c r="B429" s="29" t="s">
        <v>1072</v>
      </c>
      <c r="C429" s="52" t="s">
        <v>1197</v>
      </c>
      <c r="D429" s="29" t="s">
        <v>1179</v>
      </c>
      <c r="E429" s="29" t="s">
        <v>1198</v>
      </c>
      <c r="F429" s="52" t="s">
        <v>1088</v>
      </c>
      <c r="G429" s="28" t="s">
        <v>66</v>
      </c>
      <c r="H429" s="28" t="s">
        <v>66</v>
      </c>
      <c r="I429" s="14"/>
    </row>
    <row r="430" spans="1:9">
      <c r="A430" s="25">
        <v>429</v>
      </c>
      <c r="B430" s="29" t="s">
        <v>1072</v>
      </c>
      <c r="C430" s="52" t="s">
        <v>1199</v>
      </c>
      <c r="D430" s="29" t="s">
        <v>1200</v>
      </c>
      <c r="E430" s="29" t="s">
        <v>1201</v>
      </c>
      <c r="F430" s="52" t="s">
        <v>1076</v>
      </c>
      <c r="G430" s="28" t="s">
        <v>66</v>
      </c>
      <c r="H430" s="28" t="s">
        <v>66</v>
      </c>
      <c r="I430" s="14"/>
    </row>
    <row r="431" spans="1:9">
      <c r="A431" s="25">
        <v>430</v>
      </c>
      <c r="B431" s="29" t="s">
        <v>1072</v>
      </c>
      <c r="C431" s="52" t="s">
        <v>1202</v>
      </c>
      <c r="D431" s="29" t="s">
        <v>1200</v>
      </c>
      <c r="E431" s="29" t="s">
        <v>1203</v>
      </c>
      <c r="F431" s="52" t="s">
        <v>1079</v>
      </c>
      <c r="G431" s="28" t="s">
        <v>66</v>
      </c>
      <c r="H431" s="28" t="s">
        <v>66</v>
      </c>
      <c r="I431" s="14"/>
    </row>
    <row r="432" spans="1:9">
      <c r="A432" s="25">
        <v>431</v>
      </c>
      <c r="B432" s="29" t="s">
        <v>1072</v>
      </c>
      <c r="C432" s="52" t="s">
        <v>1204</v>
      </c>
      <c r="D432" s="29" t="s">
        <v>1200</v>
      </c>
      <c r="E432" s="29" t="s">
        <v>1205</v>
      </c>
      <c r="F432" s="52" t="s">
        <v>1082</v>
      </c>
      <c r="G432" s="28" t="s">
        <v>66</v>
      </c>
      <c r="H432" s="28" t="s">
        <v>66</v>
      </c>
      <c r="I432" s="14"/>
    </row>
    <row r="433" spans="1:9">
      <c r="A433" s="25">
        <v>432</v>
      </c>
      <c r="B433" s="29" t="s">
        <v>1072</v>
      </c>
      <c r="C433" s="52" t="s">
        <v>1206</v>
      </c>
      <c r="D433" s="29" t="s">
        <v>1200</v>
      </c>
      <c r="E433" s="29" t="s">
        <v>1207</v>
      </c>
      <c r="F433" s="52" t="s">
        <v>1085</v>
      </c>
      <c r="G433" s="28" t="s">
        <v>66</v>
      </c>
      <c r="H433" s="28" t="s">
        <v>66</v>
      </c>
      <c r="I433" s="14"/>
    </row>
    <row r="434" spans="1:9">
      <c r="A434" s="25">
        <v>433</v>
      </c>
      <c r="B434" s="29" t="s">
        <v>1072</v>
      </c>
      <c r="C434" s="52" t="s">
        <v>1208</v>
      </c>
      <c r="D434" s="29" t="s">
        <v>1200</v>
      </c>
      <c r="E434" s="29" t="s">
        <v>1209</v>
      </c>
      <c r="F434" s="52" t="s">
        <v>1088</v>
      </c>
      <c r="G434" s="28" t="s">
        <v>66</v>
      </c>
      <c r="H434" s="28" t="s">
        <v>66</v>
      </c>
      <c r="I434" s="14"/>
    </row>
    <row r="435" spans="1:9">
      <c r="A435" s="25">
        <v>434</v>
      </c>
      <c r="B435" s="29" t="s">
        <v>1072</v>
      </c>
      <c r="C435" s="52" t="s">
        <v>1210</v>
      </c>
      <c r="D435" s="29" t="s">
        <v>1211</v>
      </c>
      <c r="E435" s="29" t="s">
        <v>1212</v>
      </c>
      <c r="F435" s="52" t="s">
        <v>1076</v>
      </c>
      <c r="G435" s="28" t="s">
        <v>66</v>
      </c>
      <c r="H435" s="28" t="s">
        <v>66</v>
      </c>
      <c r="I435" s="14"/>
    </row>
    <row r="436" spans="1:9">
      <c r="A436" s="25">
        <v>435</v>
      </c>
      <c r="B436" s="29" t="s">
        <v>1072</v>
      </c>
      <c r="C436" s="52" t="s">
        <v>1213</v>
      </c>
      <c r="D436" s="29" t="s">
        <v>1211</v>
      </c>
      <c r="E436" s="29" t="s">
        <v>1214</v>
      </c>
      <c r="F436" s="52" t="s">
        <v>1079</v>
      </c>
      <c r="G436" s="28" t="s">
        <v>66</v>
      </c>
      <c r="H436" s="28" t="s">
        <v>66</v>
      </c>
      <c r="I436" s="14"/>
    </row>
    <row r="437" spans="1:9">
      <c r="A437" s="25">
        <v>436</v>
      </c>
      <c r="B437" s="29" t="s">
        <v>1072</v>
      </c>
      <c r="C437" s="52" t="s">
        <v>1215</v>
      </c>
      <c r="D437" s="29" t="s">
        <v>1211</v>
      </c>
      <c r="E437" s="29" t="s">
        <v>1216</v>
      </c>
      <c r="F437" s="52" t="s">
        <v>1082</v>
      </c>
      <c r="G437" s="28" t="s">
        <v>66</v>
      </c>
      <c r="H437" s="28" t="s">
        <v>66</v>
      </c>
      <c r="I437" s="14"/>
    </row>
    <row r="438" spans="1:9">
      <c r="A438" s="25">
        <v>437</v>
      </c>
      <c r="B438" s="29" t="s">
        <v>1072</v>
      </c>
      <c r="C438" s="52" t="s">
        <v>1217</v>
      </c>
      <c r="D438" s="29" t="s">
        <v>1211</v>
      </c>
      <c r="E438" s="29" t="s">
        <v>1218</v>
      </c>
      <c r="F438" s="52" t="s">
        <v>1085</v>
      </c>
      <c r="G438" s="28" t="s">
        <v>66</v>
      </c>
      <c r="H438" s="28" t="s">
        <v>66</v>
      </c>
      <c r="I438" s="14"/>
    </row>
    <row r="439" spans="1:9">
      <c r="A439" s="25">
        <v>438</v>
      </c>
      <c r="B439" s="29" t="s">
        <v>1072</v>
      </c>
      <c r="C439" s="52" t="s">
        <v>1219</v>
      </c>
      <c r="D439" s="29" t="s">
        <v>1211</v>
      </c>
      <c r="E439" s="29" t="s">
        <v>1220</v>
      </c>
      <c r="F439" s="52" t="s">
        <v>1088</v>
      </c>
      <c r="G439" s="28" t="s">
        <v>66</v>
      </c>
      <c r="H439" s="28" t="s">
        <v>66</v>
      </c>
      <c r="I439" s="14"/>
    </row>
    <row r="440" spans="1:9">
      <c r="A440" s="25">
        <v>439</v>
      </c>
      <c r="B440" s="29" t="s">
        <v>1221</v>
      </c>
      <c r="C440" s="52" t="s">
        <v>1222</v>
      </c>
      <c r="D440" s="29" t="s">
        <v>1223</v>
      </c>
      <c r="E440" s="29" t="s">
        <v>1224</v>
      </c>
      <c r="F440" s="52" t="s">
        <v>327</v>
      </c>
      <c r="G440" s="28" t="s">
        <v>66</v>
      </c>
      <c r="H440" s="28" t="s">
        <v>66</v>
      </c>
      <c r="I440" s="14"/>
    </row>
    <row r="441" spans="1:9">
      <c r="A441" s="25">
        <v>440</v>
      </c>
      <c r="B441" s="29" t="s">
        <v>1221</v>
      </c>
      <c r="C441" s="52" t="s">
        <v>1225</v>
      </c>
      <c r="D441" s="29" t="s">
        <v>1226</v>
      </c>
      <c r="E441" s="29" t="s">
        <v>1227</v>
      </c>
      <c r="F441" s="52" t="s">
        <v>327</v>
      </c>
      <c r="G441" s="28" t="s">
        <v>66</v>
      </c>
      <c r="H441" s="28" t="s">
        <v>66</v>
      </c>
      <c r="I441" s="14"/>
    </row>
    <row r="442" spans="1:9">
      <c r="A442" s="25">
        <v>441</v>
      </c>
      <c r="B442" s="29" t="s">
        <v>1221</v>
      </c>
      <c r="C442" s="52" t="s">
        <v>1228</v>
      </c>
      <c r="D442" s="29" t="s">
        <v>1229</v>
      </c>
      <c r="E442" s="29" t="s">
        <v>1230</v>
      </c>
      <c r="F442" s="52" t="s">
        <v>327</v>
      </c>
      <c r="G442" s="28" t="s">
        <v>66</v>
      </c>
      <c r="H442" s="28" t="s">
        <v>66</v>
      </c>
      <c r="I442" s="14"/>
    </row>
    <row r="443" spans="1:9">
      <c r="A443" s="25">
        <v>442</v>
      </c>
      <c r="B443" s="29" t="s">
        <v>1221</v>
      </c>
      <c r="C443" s="52" t="s">
        <v>1231</v>
      </c>
      <c r="D443" s="29" t="s">
        <v>1229</v>
      </c>
      <c r="E443" s="29" t="s">
        <v>1232</v>
      </c>
      <c r="F443" s="52" t="s">
        <v>327</v>
      </c>
      <c r="G443" s="28" t="s">
        <v>66</v>
      </c>
      <c r="H443" s="28" t="s">
        <v>66</v>
      </c>
      <c r="I443" s="14"/>
    </row>
    <row r="444" spans="1:9">
      <c r="A444" s="25">
        <v>443</v>
      </c>
      <c r="B444" s="29" t="s">
        <v>1221</v>
      </c>
      <c r="C444" s="52" t="s">
        <v>1233</v>
      </c>
      <c r="D444" s="29" t="s">
        <v>1234</v>
      </c>
      <c r="E444" s="29" t="s">
        <v>1235</v>
      </c>
      <c r="F444" s="52" t="s">
        <v>327</v>
      </c>
      <c r="G444" s="28" t="s">
        <v>66</v>
      </c>
      <c r="H444" s="28" t="s">
        <v>66</v>
      </c>
      <c r="I444" s="14"/>
    </row>
    <row r="445" spans="1:9">
      <c r="A445" s="25">
        <v>444</v>
      </c>
      <c r="B445" s="29" t="s">
        <v>1221</v>
      </c>
      <c r="C445" s="52" t="s">
        <v>1236</v>
      </c>
      <c r="D445" s="29" t="s">
        <v>1237</v>
      </c>
      <c r="E445" s="29" t="s">
        <v>1238</v>
      </c>
      <c r="F445" s="52" t="s">
        <v>327</v>
      </c>
      <c r="G445" s="28" t="s">
        <v>66</v>
      </c>
      <c r="H445" s="28" t="s">
        <v>66</v>
      </c>
      <c r="I445" s="14"/>
    </row>
    <row r="446" spans="1:9">
      <c r="A446" s="25">
        <v>445</v>
      </c>
      <c r="B446" s="29" t="s">
        <v>1221</v>
      </c>
      <c r="C446" s="52" t="s">
        <v>1239</v>
      </c>
      <c r="D446" s="29" t="s">
        <v>1240</v>
      </c>
      <c r="E446" s="29" t="s">
        <v>1241</v>
      </c>
      <c r="F446" s="52" t="s">
        <v>327</v>
      </c>
      <c r="G446" s="28" t="s">
        <v>66</v>
      </c>
      <c r="H446" s="28" t="s">
        <v>66</v>
      </c>
      <c r="I446" s="14"/>
    </row>
    <row r="447" spans="1:9">
      <c r="A447" s="25">
        <v>446</v>
      </c>
      <c r="B447" s="29" t="s">
        <v>1242</v>
      </c>
      <c r="C447" s="52" t="s">
        <v>1243</v>
      </c>
      <c r="D447" s="29" t="s">
        <v>1244</v>
      </c>
      <c r="E447" s="29" t="s">
        <v>1245</v>
      </c>
      <c r="F447" s="52" t="s">
        <v>83</v>
      </c>
      <c r="G447" s="28" t="s">
        <v>61</v>
      </c>
      <c r="H447" s="28" t="s">
        <v>61</v>
      </c>
      <c r="I447" s="14"/>
    </row>
    <row r="448" spans="1:9">
      <c r="A448" s="25">
        <v>447</v>
      </c>
      <c r="B448" s="29" t="s">
        <v>1242</v>
      </c>
      <c r="C448" s="52" t="s">
        <v>1246</v>
      </c>
      <c r="D448" s="29" t="s">
        <v>1247</v>
      </c>
      <c r="E448" s="29" t="s">
        <v>1248</v>
      </c>
      <c r="F448" s="52" t="s">
        <v>83</v>
      </c>
      <c r="G448" s="28" t="s">
        <v>61</v>
      </c>
      <c r="H448" s="28" t="s">
        <v>61</v>
      </c>
      <c r="I448" s="14"/>
    </row>
    <row r="449" spans="1:9">
      <c r="A449" s="25">
        <v>448</v>
      </c>
      <c r="B449" s="29" t="s">
        <v>1242</v>
      </c>
      <c r="C449" s="52" t="s">
        <v>1249</v>
      </c>
      <c r="D449" s="29" t="s">
        <v>1244</v>
      </c>
      <c r="E449" s="29" t="s">
        <v>1250</v>
      </c>
      <c r="F449" s="52" t="s">
        <v>83</v>
      </c>
      <c r="G449" s="28" t="s">
        <v>61</v>
      </c>
      <c r="H449" s="28" t="s">
        <v>61</v>
      </c>
      <c r="I449" s="14"/>
    </row>
    <row r="450" spans="1:9">
      <c r="A450" s="25">
        <v>449</v>
      </c>
      <c r="B450" s="29" t="s">
        <v>1242</v>
      </c>
      <c r="C450" s="52" t="s">
        <v>1251</v>
      </c>
      <c r="D450" s="29" t="s">
        <v>1247</v>
      </c>
      <c r="E450" s="29" t="s">
        <v>1252</v>
      </c>
      <c r="F450" s="52" t="s">
        <v>83</v>
      </c>
      <c r="G450" s="28" t="s">
        <v>61</v>
      </c>
      <c r="H450" s="28" t="s">
        <v>61</v>
      </c>
      <c r="I450" s="14"/>
    </row>
    <row r="451" spans="1:9">
      <c r="A451" s="25">
        <v>450</v>
      </c>
      <c r="B451" s="29" t="s">
        <v>1242</v>
      </c>
      <c r="C451" s="52" t="s">
        <v>1253</v>
      </c>
      <c r="D451" s="29" t="s">
        <v>1254</v>
      </c>
      <c r="E451" s="29" t="s">
        <v>1255</v>
      </c>
      <c r="F451" s="52" t="s">
        <v>73</v>
      </c>
      <c r="G451" s="28" t="s">
        <v>61</v>
      </c>
      <c r="H451" s="28" t="s">
        <v>61</v>
      </c>
      <c r="I451" s="14"/>
    </row>
    <row r="452" spans="1:9">
      <c r="A452" s="25">
        <v>451</v>
      </c>
      <c r="B452" s="29" t="s">
        <v>1256</v>
      </c>
      <c r="C452" s="51" t="s">
        <v>1257</v>
      </c>
      <c r="D452" s="29" t="s">
        <v>1258</v>
      </c>
      <c r="E452" s="29" t="s">
        <v>1259</v>
      </c>
      <c r="F452" s="52" t="s">
        <v>149</v>
      </c>
      <c r="G452" s="28" t="s">
        <v>61</v>
      </c>
      <c r="H452" s="28" t="s">
        <v>61</v>
      </c>
      <c r="I452" s="14"/>
    </row>
    <row r="453" spans="1:9">
      <c r="A453" s="25">
        <v>452</v>
      </c>
      <c r="B453" s="29" t="s">
        <v>1256</v>
      </c>
      <c r="C453" s="52" t="s">
        <v>1260</v>
      </c>
      <c r="D453" s="29" t="s">
        <v>1261</v>
      </c>
      <c r="E453" s="29" t="s">
        <v>1262</v>
      </c>
      <c r="F453" s="52" t="s">
        <v>140</v>
      </c>
      <c r="G453" s="28" t="s">
        <v>61</v>
      </c>
      <c r="H453" s="28" t="s">
        <v>66</v>
      </c>
      <c r="I453" s="14"/>
    </row>
    <row r="454" spans="1:9">
      <c r="A454" s="25">
        <v>453</v>
      </c>
      <c r="B454" s="29" t="s">
        <v>1256</v>
      </c>
      <c r="C454" s="52" t="s">
        <v>1263</v>
      </c>
      <c r="D454" s="29" t="s">
        <v>1261</v>
      </c>
      <c r="E454" s="29" t="s">
        <v>1264</v>
      </c>
      <c r="F454" s="52" t="s">
        <v>65</v>
      </c>
      <c r="G454" s="28" t="s">
        <v>61</v>
      </c>
      <c r="H454" s="28" t="s">
        <v>66</v>
      </c>
      <c r="I454" s="14"/>
    </row>
    <row r="455" spans="1:9">
      <c r="A455" s="25">
        <v>454</v>
      </c>
      <c r="B455" s="29" t="s">
        <v>1256</v>
      </c>
      <c r="C455" s="51" t="s">
        <v>1265</v>
      </c>
      <c r="D455" s="29" t="s">
        <v>1266</v>
      </c>
      <c r="E455" s="29" t="s">
        <v>1267</v>
      </c>
      <c r="F455" s="52" t="s">
        <v>149</v>
      </c>
      <c r="G455" s="28" t="s">
        <v>61</v>
      </c>
      <c r="H455" s="28" t="s">
        <v>61</v>
      </c>
      <c r="I455" s="14"/>
    </row>
    <row r="456" spans="1:9">
      <c r="A456" s="25">
        <v>455</v>
      </c>
      <c r="B456" s="29" t="s">
        <v>1256</v>
      </c>
      <c r="C456" s="51" t="s">
        <v>1268</v>
      </c>
      <c r="D456" s="29" t="s">
        <v>1269</v>
      </c>
      <c r="E456" s="29" t="s">
        <v>1270</v>
      </c>
      <c r="F456" s="52" t="s">
        <v>140</v>
      </c>
      <c r="G456" s="28" t="s">
        <v>61</v>
      </c>
      <c r="H456" s="28" t="s">
        <v>66</v>
      </c>
      <c r="I456" s="14"/>
    </row>
    <row r="457" spans="1:9">
      <c r="A457" s="25">
        <v>456</v>
      </c>
      <c r="B457" s="29" t="s">
        <v>1256</v>
      </c>
      <c r="C457" s="52" t="s">
        <v>1271</v>
      </c>
      <c r="D457" s="29" t="s">
        <v>1272</v>
      </c>
      <c r="E457" s="29" t="s">
        <v>1273</v>
      </c>
      <c r="F457" s="52" t="s">
        <v>149</v>
      </c>
      <c r="G457" s="28" t="s">
        <v>61</v>
      </c>
      <c r="H457" s="28" t="s">
        <v>61</v>
      </c>
      <c r="I457" s="14"/>
    </row>
  </sheetData>
  <autoFilter xmlns:etc="http://www.wps.cn/officeDocument/2017/etCustomData" ref="A1:I457"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199"/>
  <sheetViews>
    <sheetView zoomScale="85" zoomScaleNormal="85" workbookViewId="0">
      <pane ySplit="2" topLeftCell="A3" activePane="bottomLeft" state="frozen"/>
      <selection/>
      <selection pane="bottomLeft" activeCell="G11" sqref="G11:G13"/>
    </sheetView>
  </sheetViews>
  <sheetFormatPr defaultColWidth="9" defaultRowHeight="14"/>
  <cols>
    <col min="1" max="1" width="7.54545454545455" style="17" customWidth="1"/>
    <col min="2" max="2" width="21.9090909090909" style="34" customWidth="1"/>
    <col min="3" max="3" width="23.6363636363636" style="34" customWidth="1"/>
    <col min="4" max="4" width="29.7272727272727" style="34" customWidth="1"/>
    <col min="5" max="5" width="17.6363636363636" style="34" customWidth="1"/>
    <col min="6" max="6" width="14.0909090909091" style="34" customWidth="1"/>
    <col min="7" max="8" width="13" style="17" customWidth="1"/>
    <col min="9" max="9" width="10" style="17" customWidth="1"/>
    <col min="10" max="10" width="10.5454545454545" style="17" customWidth="1"/>
    <col min="11" max="11" width="11" style="17" customWidth="1"/>
    <col min="12" max="12" width="11.3636363636364" style="34" customWidth="1"/>
    <col min="13" max="13" width="12.8181818181818" style="34" customWidth="1"/>
    <col min="14" max="14" width="11.0909090909091" style="34" customWidth="1"/>
    <col min="15" max="15" width="12.2727272727273" style="33" customWidth="1"/>
    <col min="16" max="16" width="9" style="33"/>
    <col min="17" max="17" width="12.8181818181818" style="33"/>
    <col min="18" max="18" width="9" style="35"/>
    <col min="19" max="19" width="11.3636363636364" style="36" customWidth="1"/>
    <col min="20" max="16381" width="9" style="34"/>
  </cols>
  <sheetData>
    <row r="1" ht="21" spans="1:19">
      <c r="A1" s="37" t="s">
        <v>1274</v>
      </c>
      <c r="B1" s="38"/>
      <c r="C1" s="38"/>
      <c r="D1" s="38"/>
      <c r="E1" s="38"/>
      <c r="F1" s="38"/>
      <c r="G1" s="38"/>
      <c r="H1" s="38"/>
      <c r="I1" s="38"/>
      <c r="J1" s="38"/>
      <c r="K1" s="38"/>
      <c r="L1" s="38"/>
      <c r="M1" s="38"/>
      <c r="N1" s="39"/>
      <c r="O1" s="40" t="s">
        <v>1275</v>
      </c>
      <c r="P1" s="40"/>
      <c r="Q1" s="40"/>
      <c r="R1" s="40"/>
      <c r="S1" s="40"/>
    </row>
    <row r="2" s="33" customFormat="1" ht="28" spans="1:19">
      <c r="A2" s="41" t="s">
        <v>47</v>
      </c>
      <c r="B2" s="41" t="s">
        <v>1276</v>
      </c>
      <c r="C2" s="41" t="s">
        <v>48</v>
      </c>
      <c r="D2" s="41" t="s">
        <v>49</v>
      </c>
      <c r="E2" s="41" t="s">
        <v>50</v>
      </c>
      <c r="F2" s="41" t="s">
        <v>51</v>
      </c>
      <c r="G2" s="42" t="s">
        <v>1277</v>
      </c>
      <c r="H2" s="42" t="s">
        <v>1278</v>
      </c>
      <c r="I2" s="42" t="s">
        <v>1279</v>
      </c>
      <c r="J2" s="42" t="s">
        <v>1280</v>
      </c>
      <c r="K2" s="42" t="s">
        <v>1281</v>
      </c>
      <c r="L2" s="41" t="s">
        <v>1282</v>
      </c>
      <c r="M2" s="42" t="s">
        <v>1283</v>
      </c>
      <c r="N2" s="42" t="s">
        <v>1284</v>
      </c>
      <c r="O2" s="42" t="s">
        <v>1285</v>
      </c>
      <c r="P2" s="42" t="s">
        <v>1286</v>
      </c>
      <c r="Q2" s="42" t="s">
        <v>1287</v>
      </c>
      <c r="R2" s="43" t="s">
        <v>1288</v>
      </c>
      <c r="S2" s="44" t="s">
        <v>1289</v>
      </c>
    </row>
    <row r="3" s="34" customFormat="1" spans="1:19">
      <c r="A3" s="28">
        <v>1</v>
      </c>
      <c r="B3" s="28" t="s">
        <v>1290</v>
      </c>
      <c r="C3" s="28" t="s">
        <v>1291</v>
      </c>
      <c r="D3" s="28" t="s">
        <v>1292</v>
      </c>
      <c r="E3" s="28" t="s">
        <v>58</v>
      </c>
      <c r="F3" s="28" t="s">
        <v>59</v>
      </c>
      <c r="G3" s="28">
        <v>28</v>
      </c>
      <c r="H3" s="28" t="s">
        <v>1293</v>
      </c>
      <c r="I3" s="28" t="s">
        <v>66</v>
      </c>
      <c r="J3" s="28">
        <v>0.015</v>
      </c>
      <c r="K3" s="28">
        <v>0.55</v>
      </c>
      <c r="L3" s="28" t="s">
        <v>1294</v>
      </c>
      <c r="M3" s="28" t="s">
        <v>1295</v>
      </c>
      <c r="N3" s="28" t="s">
        <v>66</v>
      </c>
      <c r="O3" s="28">
        <v>0.00336</v>
      </c>
      <c r="P3" s="28" t="s">
        <v>1296</v>
      </c>
      <c r="Q3" s="28" t="s">
        <v>1296</v>
      </c>
      <c r="R3" s="45" t="s">
        <v>1296</v>
      </c>
      <c r="S3" s="46">
        <f>J3/O3</f>
        <v>4.46428571428571</v>
      </c>
    </row>
    <row r="4" s="34" customFormat="1" spans="1:19">
      <c r="A4" s="28">
        <v>2</v>
      </c>
      <c r="B4" s="28" t="s">
        <v>1297</v>
      </c>
      <c r="C4" s="28" t="s">
        <v>1291</v>
      </c>
      <c r="D4" s="28" t="s">
        <v>1298</v>
      </c>
      <c r="E4" s="28" t="s">
        <v>68</v>
      </c>
      <c r="F4" s="28" t="s">
        <v>69</v>
      </c>
      <c r="G4" s="28">
        <v>28</v>
      </c>
      <c r="H4" s="28" t="s">
        <v>1293</v>
      </c>
      <c r="I4" s="28" t="s">
        <v>66</v>
      </c>
      <c r="J4" s="28">
        <v>0.18</v>
      </c>
      <c r="K4" s="28">
        <v>0.12</v>
      </c>
      <c r="L4" s="28" t="s">
        <v>1299</v>
      </c>
      <c r="M4" s="28" t="s">
        <v>1295</v>
      </c>
      <c r="N4" s="28" t="s">
        <v>66</v>
      </c>
      <c r="O4" s="28">
        <v>0.032</v>
      </c>
      <c r="P4" s="28" t="s">
        <v>1296</v>
      </c>
      <c r="Q4" s="28" t="s">
        <v>1296</v>
      </c>
      <c r="R4" s="45" t="s">
        <v>1296</v>
      </c>
      <c r="S4" s="46">
        <f>J4/O4</f>
        <v>5.625</v>
      </c>
    </row>
    <row r="5" s="34" customFormat="1" spans="1:19">
      <c r="A5" s="28">
        <v>3</v>
      </c>
      <c r="B5" s="28" t="s">
        <v>1300</v>
      </c>
      <c r="C5" s="28" t="s">
        <v>1291</v>
      </c>
      <c r="D5" s="28" t="s">
        <v>1301</v>
      </c>
      <c r="E5" s="28" t="s">
        <v>68</v>
      </c>
      <c r="F5" s="28" t="s">
        <v>72</v>
      </c>
      <c r="G5" s="28">
        <v>28</v>
      </c>
      <c r="H5" s="28" t="s">
        <v>1293</v>
      </c>
      <c r="I5" s="28" t="s">
        <v>66</v>
      </c>
      <c r="J5" s="28">
        <v>0.18</v>
      </c>
      <c r="K5" s="28">
        <v>0.12</v>
      </c>
      <c r="L5" s="28" t="s">
        <v>1299</v>
      </c>
      <c r="M5" s="28" t="s">
        <v>1295</v>
      </c>
      <c r="N5" s="28" t="s">
        <v>66</v>
      </c>
      <c r="O5" s="28">
        <v>0.032</v>
      </c>
      <c r="P5" s="28" t="s">
        <v>1296</v>
      </c>
      <c r="Q5" s="28" t="s">
        <v>1296</v>
      </c>
      <c r="R5" s="45" t="s">
        <v>1296</v>
      </c>
      <c r="S5" s="46">
        <f>J5/O5</f>
        <v>5.625</v>
      </c>
    </row>
    <row r="6" s="34" customFormat="1" spans="1:19">
      <c r="A6" s="28">
        <v>4</v>
      </c>
      <c r="B6" s="28" t="s">
        <v>1302</v>
      </c>
      <c r="C6" s="28" t="s">
        <v>1291</v>
      </c>
      <c r="D6" s="28" t="s">
        <v>141</v>
      </c>
      <c r="E6" s="28" t="s">
        <v>142</v>
      </c>
      <c r="F6" s="28" t="s">
        <v>143</v>
      </c>
      <c r="G6" s="28">
        <v>28</v>
      </c>
      <c r="H6" s="28" t="s">
        <v>1293</v>
      </c>
      <c r="I6" s="28" t="s">
        <v>66</v>
      </c>
      <c r="J6" s="28">
        <v>0.8</v>
      </c>
      <c r="K6" s="28">
        <v>0.001</v>
      </c>
      <c r="L6" s="28" t="s">
        <v>1299</v>
      </c>
      <c r="M6" s="28" t="s">
        <v>1295</v>
      </c>
      <c r="N6" s="28" t="s">
        <v>66</v>
      </c>
      <c r="O6" s="28">
        <v>0.36</v>
      </c>
      <c r="P6" s="28" t="s">
        <v>1296</v>
      </c>
      <c r="Q6" s="28" t="s">
        <v>1296</v>
      </c>
      <c r="R6" s="45" t="s">
        <v>1296</v>
      </c>
      <c r="S6" s="46">
        <f>J6/O6</f>
        <v>2.22222222222222</v>
      </c>
    </row>
    <row r="7" s="34" customFormat="1" spans="1:19">
      <c r="A7" s="28">
        <v>5</v>
      </c>
      <c r="B7" s="28" t="s">
        <v>1303</v>
      </c>
      <c r="C7" s="28" t="s">
        <v>1304</v>
      </c>
      <c r="D7" s="28" t="s">
        <v>1305</v>
      </c>
      <c r="E7" s="28" t="s">
        <v>147</v>
      </c>
      <c r="F7" s="28" t="s">
        <v>148</v>
      </c>
      <c r="G7" s="28">
        <v>28</v>
      </c>
      <c r="H7" s="28" t="s">
        <v>1293</v>
      </c>
      <c r="I7" s="28" t="s">
        <v>66</v>
      </c>
      <c r="J7" s="28">
        <v>0.25</v>
      </c>
      <c r="K7" s="28">
        <v>0.05</v>
      </c>
      <c r="L7" s="28" t="s">
        <v>1299</v>
      </c>
      <c r="M7" s="28" t="s">
        <v>1306</v>
      </c>
      <c r="N7" s="28" t="s">
        <v>66</v>
      </c>
      <c r="O7" s="28">
        <v>0.1</v>
      </c>
      <c r="P7" s="28" t="s">
        <v>1296</v>
      </c>
      <c r="Q7" s="28" t="s">
        <v>1296</v>
      </c>
      <c r="R7" s="45" t="s">
        <v>1296</v>
      </c>
      <c r="S7" s="46">
        <f t="shared" ref="S7:S13" si="0">J7/O7</f>
        <v>2.5</v>
      </c>
    </row>
    <row r="8" s="34" customFormat="1" spans="1:19">
      <c r="A8" s="28">
        <v>6</v>
      </c>
      <c r="B8" s="28" t="s">
        <v>1307</v>
      </c>
      <c r="C8" s="28" t="s">
        <v>1304</v>
      </c>
      <c r="D8" s="28" t="s">
        <v>1308</v>
      </c>
      <c r="E8" s="28" t="s">
        <v>151</v>
      </c>
      <c r="F8" s="28" t="s">
        <v>152</v>
      </c>
      <c r="G8" s="28">
        <v>28</v>
      </c>
      <c r="H8" s="28" t="s">
        <v>1293</v>
      </c>
      <c r="I8" s="28" t="s">
        <v>66</v>
      </c>
      <c r="J8" s="28">
        <v>0.25</v>
      </c>
      <c r="K8" s="28">
        <v>0.05</v>
      </c>
      <c r="L8" s="28" t="s">
        <v>1299</v>
      </c>
      <c r="M8" s="28" t="s">
        <v>1306</v>
      </c>
      <c r="N8" s="28" t="s">
        <v>66</v>
      </c>
      <c r="O8" s="28">
        <v>0.1</v>
      </c>
      <c r="P8" s="28" t="s">
        <v>1296</v>
      </c>
      <c r="Q8" s="28" t="s">
        <v>1296</v>
      </c>
      <c r="R8" s="45" t="s">
        <v>1296</v>
      </c>
      <c r="S8" s="46">
        <f t="shared" si="0"/>
        <v>2.5</v>
      </c>
    </row>
    <row r="9" s="34" customFormat="1" spans="1:19">
      <c r="A9" s="28">
        <v>7</v>
      </c>
      <c r="B9" s="28" t="s">
        <v>1309</v>
      </c>
      <c r="C9" s="28" t="s">
        <v>1304</v>
      </c>
      <c r="D9" s="28" t="s">
        <v>1308</v>
      </c>
      <c r="E9" s="28" t="s">
        <v>151</v>
      </c>
      <c r="F9" s="28" t="s">
        <v>152</v>
      </c>
      <c r="G9" s="28">
        <v>28</v>
      </c>
      <c r="H9" s="28" t="s">
        <v>1293</v>
      </c>
      <c r="I9" s="28" t="s">
        <v>66</v>
      </c>
      <c r="J9" s="28">
        <v>0.25</v>
      </c>
      <c r="K9" s="28">
        <v>0.05</v>
      </c>
      <c r="L9" s="28" t="s">
        <v>1299</v>
      </c>
      <c r="M9" s="28" t="s">
        <v>1306</v>
      </c>
      <c r="N9" s="28" t="s">
        <v>66</v>
      </c>
      <c r="O9" s="28">
        <v>0.1</v>
      </c>
      <c r="P9" s="28" t="s">
        <v>1296</v>
      </c>
      <c r="Q9" s="28" t="s">
        <v>1296</v>
      </c>
      <c r="R9" s="45" t="s">
        <v>1296</v>
      </c>
      <c r="S9" s="46">
        <f t="shared" si="0"/>
        <v>2.5</v>
      </c>
    </row>
    <row r="10" s="34" customFormat="1" spans="1:19">
      <c r="A10" s="28">
        <v>8</v>
      </c>
      <c r="B10" s="28" t="s">
        <v>1310</v>
      </c>
      <c r="C10" s="28" t="s">
        <v>1304</v>
      </c>
      <c r="D10" s="28" t="s">
        <v>1311</v>
      </c>
      <c r="E10" s="28" t="s">
        <v>155</v>
      </c>
      <c r="F10" s="28" t="s">
        <v>156</v>
      </c>
      <c r="G10" s="28">
        <v>28</v>
      </c>
      <c r="H10" s="28" t="s">
        <v>1293</v>
      </c>
      <c r="I10" s="28" t="s">
        <v>66</v>
      </c>
      <c r="J10" s="28">
        <v>0.2</v>
      </c>
      <c r="K10" s="28">
        <v>0.05</v>
      </c>
      <c r="L10" s="28" t="s">
        <v>1299</v>
      </c>
      <c r="M10" s="28" t="s">
        <v>1306</v>
      </c>
      <c r="N10" s="28" t="s">
        <v>66</v>
      </c>
      <c r="O10" s="28">
        <v>0.1</v>
      </c>
      <c r="P10" s="28" t="s">
        <v>1296</v>
      </c>
      <c r="Q10" s="28" t="s">
        <v>1296</v>
      </c>
      <c r="R10" s="45" t="s">
        <v>1296</v>
      </c>
      <c r="S10" s="46">
        <f t="shared" si="0"/>
        <v>2</v>
      </c>
    </row>
    <row r="11" s="34" customFormat="1" spans="1:19">
      <c r="A11" s="28">
        <v>9</v>
      </c>
      <c r="B11" s="28" t="s">
        <v>1312</v>
      </c>
      <c r="C11" s="28" t="s">
        <v>1304</v>
      </c>
      <c r="D11" s="28" t="s">
        <v>163</v>
      </c>
      <c r="E11" s="29" t="s">
        <v>164</v>
      </c>
      <c r="F11" s="29" t="s">
        <v>165</v>
      </c>
      <c r="G11" s="28">
        <v>28</v>
      </c>
      <c r="H11" s="28" t="s">
        <v>1293</v>
      </c>
      <c r="I11" s="28" t="s">
        <v>66</v>
      </c>
      <c r="J11" s="28">
        <v>0.06</v>
      </c>
      <c r="K11" s="28">
        <v>0.1</v>
      </c>
      <c r="L11" s="28" t="s">
        <v>1299</v>
      </c>
      <c r="M11" s="28" t="s">
        <v>1306</v>
      </c>
      <c r="N11" s="28" t="s">
        <v>66</v>
      </c>
      <c r="O11" s="28">
        <v>0.04</v>
      </c>
      <c r="P11" s="28" t="s">
        <v>1296</v>
      </c>
      <c r="Q11" s="28" t="s">
        <v>1296</v>
      </c>
      <c r="R11" s="45" t="s">
        <v>1296</v>
      </c>
      <c r="S11" s="46">
        <f t="shared" si="0"/>
        <v>1.5</v>
      </c>
    </row>
    <row r="12" s="34" customFormat="1" spans="1:19">
      <c r="A12" s="28">
        <v>10</v>
      </c>
      <c r="B12" s="28" t="s">
        <v>1313</v>
      </c>
      <c r="C12" s="28" t="s">
        <v>1304</v>
      </c>
      <c r="D12" s="28" t="s">
        <v>166</v>
      </c>
      <c r="E12" s="29" t="s">
        <v>167</v>
      </c>
      <c r="F12" s="29" t="s">
        <v>168</v>
      </c>
      <c r="G12" s="28">
        <v>28</v>
      </c>
      <c r="H12" s="28" t="s">
        <v>1293</v>
      </c>
      <c r="I12" s="28" t="s">
        <v>66</v>
      </c>
      <c r="J12" s="28">
        <v>0.06</v>
      </c>
      <c r="K12" s="28">
        <v>0.1</v>
      </c>
      <c r="L12" s="28" t="s">
        <v>1299</v>
      </c>
      <c r="M12" s="28" t="s">
        <v>1306</v>
      </c>
      <c r="N12" s="28" t="s">
        <v>66</v>
      </c>
      <c r="O12" s="28">
        <v>0.04</v>
      </c>
      <c r="P12" s="28" t="s">
        <v>1296</v>
      </c>
      <c r="Q12" s="28" t="s">
        <v>1296</v>
      </c>
      <c r="R12" s="45" t="s">
        <v>1296</v>
      </c>
      <c r="S12" s="46">
        <f t="shared" si="0"/>
        <v>1.5</v>
      </c>
    </row>
    <row r="13" s="34" customFormat="1" spans="1:19">
      <c r="A13" s="28">
        <v>11</v>
      </c>
      <c r="B13" s="28" t="s">
        <v>1314</v>
      </c>
      <c r="C13" s="28" t="s">
        <v>1304</v>
      </c>
      <c r="D13" s="28" t="s">
        <v>169</v>
      </c>
      <c r="E13" s="29" t="s">
        <v>170</v>
      </c>
      <c r="F13" s="29" t="s">
        <v>171</v>
      </c>
      <c r="G13" s="28">
        <v>28</v>
      </c>
      <c r="H13" s="28" t="s">
        <v>1293</v>
      </c>
      <c r="I13" s="28" t="s">
        <v>66</v>
      </c>
      <c r="J13" s="28">
        <v>0.06</v>
      </c>
      <c r="K13" s="28">
        <v>0.1</v>
      </c>
      <c r="L13" s="28" t="s">
        <v>1299</v>
      </c>
      <c r="M13" s="28" t="s">
        <v>1306</v>
      </c>
      <c r="N13" s="28" t="s">
        <v>66</v>
      </c>
      <c r="O13" s="28">
        <v>0.04</v>
      </c>
      <c r="P13" s="28" t="s">
        <v>1296</v>
      </c>
      <c r="Q13" s="28" t="s">
        <v>1296</v>
      </c>
      <c r="R13" s="45" t="s">
        <v>1296</v>
      </c>
      <c r="S13" s="46">
        <f t="shared" si="0"/>
        <v>1.5</v>
      </c>
    </row>
    <row r="14" s="34" customFormat="1" spans="1:19">
      <c r="A14" s="28">
        <v>12</v>
      </c>
      <c r="B14" s="28" t="s">
        <v>1315</v>
      </c>
      <c r="C14" s="28" t="s">
        <v>1304</v>
      </c>
      <c r="D14" s="28" t="s">
        <v>1316</v>
      </c>
      <c r="E14" s="28" t="s">
        <v>173</v>
      </c>
      <c r="F14" s="28" t="s">
        <v>174</v>
      </c>
      <c r="G14" s="28">
        <v>28</v>
      </c>
      <c r="H14" s="28" t="s">
        <v>1293</v>
      </c>
      <c r="I14" s="28" t="s">
        <v>66</v>
      </c>
      <c r="J14" s="28">
        <v>0.2</v>
      </c>
      <c r="K14" s="28">
        <v>10</v>
      </c>
      <c r="L14" s="28" t="s">
        <v>1299</v>
      </c>
      <c r="M14" s="28" t="s">
        <v>1306</v>
      </c>
      <c r="N14" s="28" t="s">
        <v>66</v>
      </c>
      <c r="O14" s="28">
        <v>0.1</v>
      </c>
      <c r="P14" s="28" t="s">
        <v>1296</v>
      </c>
      <c r="Q14" s="28" t="s">
        <v>1296</v>
      </c>
      <c r="R14" s="45" t="s">
        <v>1296</v>
      </c>
      <c r="S14" s="46">
        <f t="shared" ref="S14:S69" si="1">J14/O14</f>
        <v>2</v>
      </c>
    </row>
    <row r="15" s="34" customFormat="1" spans="1:19">
      <c r="A15" s="28">
        <v>13</v>
      </c>
      <c r="B15" s="28" t="s">
        <v>1317</v>
      </c>
      <c r="C15" s="28" t="s">
        <v>1304</v>
      </c>
      <c r="D15" s="28" t="s">
        <v>1318</v>
      </c>
      <c r="E15" s="28" t="s">
        <v>176</v>
      </c>
      <c r="F15" s="28" t="s">
        <v>177</v>
      </c>
      <c r="G15" s="28">
        <v>28</v>
      </c>
      <c r="H15" s="28" t="s">
        <v>1293</v>
      </c>
      <c r="I15" s="28" t="s">
        <v>66</v>
      </c>
      <c r="J15" s="28">
        <v>0.2</v>
      </c>
      <c r="K15" s="28">
        <v>10</v>
      </c>
      <c r="L15" s="28" t="s">
        <v>1299</v>
      </c>
      <c r="M15" s="28" t="s">
        <v>1306</v>
      </c>
      <c r="N15" s="28" t="s">
        <v>66</v>
      </c>
      <c r="O15" s="28">
        <v>0.1</v>
      </c>
      <c r="P15" s="28" t="s">
        <v>1296</v>
      </c>
      <c r="Q15" s="28" t="s">
        <v>1296</v>
      </c>
      <c r="R15" s="45" t="s">
        <v>1296</v>
      </c>
      <c r="S15" s="46">
        <f t="shared" si="1"/>
        <v>2</v>
      </c>
    </row>
    <row r="16" s="34" customFormat="1" spans="1:19">
      <c r="A16" s="28">
        <v>14</v>
      </c>
      <c r="B16" s="28" t="s">
        <v>1319</v>
      </c>
      <c r="C16" s="28" t="s">
        <v>1304</v>
      </c>
      <c r="D16" s="28" t="s">
        <v>1320</v>
      </c>
      <c r="E16" s="28" t="s">
        <v>180</v>
      </c>
      <c r="F16" s="28" t="s">
        <v>181</v>
      </c>
      <c r="G16" s="28">
        <v>28</v>
      </c>
      <c r="H16" s="28" t="s">
        <v>1293</v>
      </c>
      <c r="I16" s="28" t="s">
        <v>66</v>
      </c>
      <c r="J16" s="28">
        <v>0.2</v>
      </c>
      <c r="K16" s="28">
        <v>10</v>
      </c>
      <c r="L16" s="28" t="s">
        <v>1299</v>
      </c>
      <c r="M16" s="28" t="s">
        <v>1306</v>
      </c>
      <c r="N16" s="28" t="s">
        <v>66</v>
      </c>
      <c r="O16" s="28">
        <v>0.1</v>
      </c>
      <c r="P16" s="28" t="s">
        <v>1296</v>
      </c>
      <c r="Q16" s="28" t="s">
        <v>1296</v>
      </c>
      <c r="R16" s="45" t="s">
        <v>1296</v>
      </c>
      <c r="S16" s="46">
        <f t="shared" si="1"/>
        <v>2</v>
      </c>
    </row>
    <row r="17" s="34" customFormat="1" spans="1:19">
      <c r="A17" s="28">
        <v>15</v>
      </c>
      <c r="B17" s="28" t="s">
        <v>1321</v>
      </c>
      <c r="C17" s="28" t="s">
        <v>1304</v>
      </c>
      <c r="D17" s="28" t="s">
        <v>1322</v>
      </c>
      <c r="E17" s="28" t="s">
        <v>184</v>
      </c>
      <c r="F17" s="28" t="s">
        <v>185</v>
      </c>
      <c r="G17" s="28">
        <v>28</v>
      </c>
      <c r="H17" s="28" t="s">
        <v>1293</v>
      </c>
      <c r="I17" s="28" t="s">
        <v>66</v>
      </c>
      <c r="J17" s="28">
        <v>0.2</v>
      </c>
      <c r="K17" s="28">
        <v>10</v>
      </c>
      <c r="L17" s="28" t="s">
        <v>1299</v>
      </c>
      <c r="M17" s="28" t="s">
        <v>1306</v>
      </c>
      <c r="N17" s="28" t="s">
        <v>66</v>
      </c>
      <c r="O17" s="28">
        <v>0.1</v>
      </c>
      <c r="P17" s="28" t="s">
        <v>1296</v>
      </c>
      <c r="Q17" s="28" t="s">
        <v>1296</v>
      </c>
      <c r="R17" s="45" t="s">
        <v>1296</v>
      </c>
      <c r="S17" s="46">
        <f t="shared" si="1"/>
        <v>2</v>
      </c>
    </row>
    <row r="18" s="34" customFormat="1" spans="1:19">
      <c r="A18" s="28">
        <v>16</v>
      </c>
      <c r="B18" s="28" t="s">
        <v>1323</v>
      </c>
      <c r="C18" s="28" t="s">
        <v>1324</v>
      </c>
      <c r="D18" s="28" t="s">
        <v>196</v>
      </c>
      <c r="E18" s="28" t="s">
        <v>197</v>
      </c>
      <c r="F18" s="28" t="s">
        <v>198</v>
      </c>
      <c r="G18" s="28">
        <v>28</v>
      </c>
      <c r="H18" s="28" t="s">
        <v>1293</v>
      </c>
      <c r="I18" s="28" t="s">
        <v>66</v>
      </c>
      <c r="J18" s="28">
        <v>0.06</v>
      </c>
      <c r="K18" s="28">
        <v>0.05</v>
      </c>
      <c r="L18" s="28" t="s">
        <v>1294</v>
      </c>
      <c r="M18" s="28" t="s">
        <v>1295</v>
      </c>
      <c r="N18" s="28" t="s">
        <v>66</v>
      </c>
      <c r="O18" s="28">
        <v>0.005</v>
      </c>
      <c r="P18" s="28" t="s">
        <v>1296</v>
      </c>
      <c r="Q18" s="28" t="s">
        <v>1296</v>
      </c>
      <c r="R18" s="45" t="s">
        <v>1296</v>
      </c>
      <c r="S18" s="46">
        <f t="shared" si="1"/>
        <v>12</v>
      </c>
    </row>
    <row r="19" s="34" customFormat="1" spans="1:19">
      <c r="A19" s="28">
        <v>17</v>
      </c>
      <c r="B19" s="28" t="s">
        <v>1325</v>
      </c>
      <c r="C19" s="28" t="s">
        <v>1324</v>
      </c>
      <c r="D19" s="28" t="s">
        <v>199</v>
      </c>
      <c r="E19" s="28" t="s">
        <v>200</v>
      </c>
      <c r="F19" s="28" t="s">
        <v>201</v>
      </c>
      <c r="G19" s="28">
        <v>28</v>
      </c>
      <c r="H19" s="28" t="s">
        <v>1293</v>
      </c>
      <c r="I19" s="28" t="s">
        <v>66</v>
      </c>
      <c r="J19" s="28">
        <v>0.06</v>
      </c>
      <c r="K19" s="28">
        <v>0.05</v>
      </c>
      <c r="L19" s="28" t="s">
        <v>1294</v>
      </c>
      <c r="M19" s="28" t="s">
        <v>1295</v>
      </c>
      <c r="N19" s="28" t="s">
        <v>66</v>
      </c>
      <c r="O19" s="28">
        <v>0.005</v>
      </c>
      <c r="P19" s="28" t="s">
        <v>1296</v>
      </c>
      <c r="Q19" s="28" t="s">
        <v>1296</v>
      </c>
      <c r="R19" s="45" t="s">
        <v>1296</v>
      </c>
      <c r="S19" s="46">
        <f t="shared" si="1"/>
        <v>12</v>
      </c>
    </row>
    <row r="20" customFormat="1" spans="1:19">
      <c r="A20" s="28">
        <v>18</v>
      </c>
      <c r="B20" s="28" t="s">
        <v>1326</v>
      </c>
      <c r="C20" s="28" t="s">
        <v>1324</v>
      </c>
      <c r="D20" s="28" t="s">
        <v>202</v>
      </c>
      <c r="E20" s="28" t="s">
        <v>203</v>
      </c>
      <c r="F20" s="28" t="s">
        <v>204</v>
      </c>
      <c r="G20" s="28">
        <v>28</v>
      </c>
      <c r="H20" s="28" t="s">
        <v>1293</v>
      </c>
      <c r="I20" s="28" t="s">
        <v>66</v>
      </c>
      <c r="J20" s="28">
        <v>0.06</v>
      </c>
      <c r="K20" s="28">
        <v>0.05</v>
      </c>
      <c r="L20" s="28" t="s">
        <v>1294</v>
      </c>
      <c r="M20" s="28" t="s">
        <v>1295</v>
      </c>
      <c r="N20" s="28" t="s">
        <v>66</v>
      </c>
      <c r="O20" s="28">
        <v>0.005</v>
      </c>
      <c r="P20" s="28">
        <v>0.00168</v>
      </c>
      <c r="Q20" s="28">
        <f>O20/P20</f>
        <v>2.97619047619048</v>
      </c>
      <c r="R20" s="45">
        <v>0.06</v>
      </c>
      <c r="S20" s="46">
        <f t="shared" si="1"/>
        <v>12</v>
      </c>
    </row>
    <row r="21" s="34" customFormat="1" spans="1:19">
      <c r="A21" s="28">
        <v>19</v>
      </c>
      <c r="B21" s="28" t="s">
        <v>1327</v>
      </c>
      <c r="C21" s="28" t="s">
        <v>1324</v>
      </c>
      <c r="D21" s="28" t="s">
        <v>205</v>
      </c>
      <c r="E21" s="28" t="s">
        <v>206</v>
      </c>
      <c r="F21" s="28" t="s">
        <v>207</v>
      </c>
      <c r="G21" s="28">
        <v>28</v>
      </c>
      <c r="H21" s="28" t="s">
        <v>1293</v>
      </c>
      <c r="I21" s="28" t="s">
        <v>66</v>
      </c>
      <c r="J21" s="28">
        <v>0.12</v>
      </c>
      <c r="K21" s="28">
        <v>0.05</v>
      </c>
      <c r="L21" s="28" t="s">
        <v>1299</v>
      </c>
      <c r="M21" s="28" t="s">
        <v>1295</v>
      </c>
      <c r="N21" s="28" t="s">
        <v>66</v>
      </c>
      <c r="O21" s="28">
        <v>0.028</v>
      </c>
      <c r="P21" s="28" t="s">
        <v>1296</v>
      </c>
      <c r="Q21" s="28" t="s">
        <v>1296</v>
      </c>
      <c r="R21" s="45" t="s">
        <v>1296</v>
      </c>
      <c r="S21" s="46">
        <f t="shared" si="1"/>
        <v>4.28571428571429</v>
      </c>
    </row>
    <row r="22" customFormat="1" spans="1:19">
      <c r="A22" s="28">
        <v>20</v>
      </c>
      <c r="B22" s="28" t="s">
        <v>1328</v>
      </c>
      <c r="C22" s="28" t="s">
        <v>1329</v>
      </c>
      <c r="D22" s="28" t="s">
        <v>1330</v>
      </c>
      <c r="E22" s="28" t="s">
        <v>310</v>
      </c>
      <c r="F22" s="28" t="s">
        <v>311</v>
      </c>
      <c r="G22" s="28">
        <v>28</v>
      </c>
      <c r="H22" s="28" t="s">
        <v>1293</v>
      </c>
      <c r="I22" s="28" t="s">
        <v>66</v>
      </c>
      <c r="J22" s="28">
        <v>0.382</v>
      </c>
      <c r="K22" s="28">
        <v>0.2</v>
      </c>
      <c r="L22" s="28" t="s">
        <v>1299</v>
      </c>
      <c r="M22" s="28" t="s">
        <v>1306</v>
      </c>
      <c r="N22" s="28" t="s">
        <v>66</v>
      </c>
      <c r="O22" s="28">
        <v>0.065</v>
      </c>
      <c r="P22" s="28">
        <v>0.04088</v>
      </c>
      <c r="Q22" s="28">
        <f>O22/P22</f>
        <v>1.59001956947162</v>
      </c>
      <c r="R22" s="45">
        <v>1.46</v>
      </c>
      <c r="S22" s="46">
        <f t="shared" si="1"/>
        <v>5.87692307692308</v>
      </c>
    </row>
    <row r="23" customFormat="1" spans="1:19">
      <c r="A23" s="28">
        <v>21</v>
      </c>
      <c r="B23" s="28" t="s">
        <v>1331</v>
      </c>
      <c r="C23" s="28" t="s">
        <v>1329</v>
      </c>
      <c r="D23" s="28" t="s">
        <v>1332</v>
      </c>
      <c r="E23" s="28" t="s">
        <v>310</v>
      </c>
      <c r="F23" s="28" t="s">
        <v>314</v>
      </c>
      <c r="G23" s="28">
        <v>28</v>
      </c>
      <c r="H23" s="28" t="s">
        <v>1293</v>
      </c>
      <c r="I23" s="28" t="s">
        <v>66</v>
      </c>
      <c r="J23" s="28">
        <v>0.382</v>
      </c>
      <c r="K23" s="28">
        <v>0.2</v>
      </c>
      <c r="L23" s="28" t="s">
        <v>1299</v>
      </c>
      <c r="M23" s="28" t="s">
        <v>1306</v>
      </c>
      <c r="N23" s="28" t="s">
        <v>66</v>
      </c>
      <c r="O23" s="28">
        <v>0.065</v>
      </c>
      <c r="P23" s="28">
        <v>0.04116</v>
      </c>
      <c r="Q23" s="28">
        <f>O23/P23</f>
        <v>1.57920310981535</v>
      </c>
      <c r="R23" s="45">
        <v>1.47</v>
      </c>
      <c r="S23" s="46">
        <f t="shared" si="1"/>
        <v>5.87692307692308</v>
      </c>
    </row>
    <row r="24" customFormat="1" spans="1:19">
      <c r="A24" s="28">
        <v>22</v>
      </c>
      <c r="B24" s="28" t="s">
        <v>1333</v>
      </c>
      <c r="C24" s="28" t="s">
        <v>1329</v>
      </c>
      <c r="D24" s="28" t="s">
        <v>1334</v>
      </c>
      <c r="E24" s="28" t="s">
        <v>310</v>
      </c>
      <c r="F24" s="28" t="s">
        <v>317</v>
      </c>
      <c r="G24" s="28">
        <v>28</v>
      </c>
      <c r="H24" s="28" t="s">
        <v>1293</v>
      </c>
      <c r="I24" s="28" t="s">
        <v>66</v>
      </c>
      <c r="J24" s="28">
        <v>0.382</v>
      </c>
      <c r="K24" s="28">
        <v>0.2</v>
      </c>
      <c r="L24" s="28" t="s">
        <v>1299</v>
      </c>
      <c r="M24" s="28" t="s">
        <v>1306</v>
      </c>
      <c r="N24" s="28" t="s">
        <v>66</v>
      </c>
      <c r="O24" s="28">
        <v>0.065</v>
      </c>
      <c r="P24" s="28">
        <v>0.04144</v>
      </c>
      <c r="Q24" s="28">
        <f>O24/P24</f>
        <v>1.56853281853282</v>
      </c>
      <c r="R24" s="45">
        <v>1.48</v>
      </c>
      <c r="S24" s="46">
        <f t="shared" si="1"/>
        <v>5.87692307692308</v>
      </c>
    </row>
    <row r="25" s="34" customFormat="1" spans="1:19">
      <c r="A25" s="28">
        <v>23</v>
      </c>
      <c r="B25" s="28" t="s">
        <v>1335</v>
      </c>
      <c r="C25" s="28" t="s">
        <v>1329</v>
      </c>
      <c r="D25" s="28" t="s">
        <v>318</v>
      </c>
      <c r="E25" s="28" t="s">
        <v>319</v>
      </c>
      <c r="F25" s="28" t="s">
        <v>320</v>
      </c>
      <c r="G25" s="28">
        <v>28</v>
      </c>
      <c r="H25" s="28" t="s">
        <v>1293</v>
      </c>
      <c r="I25" s="28" t="s">
        <v>66</v>
      </c>
      <c r="J25" s="28">
        <v>0.382</v>
      </c>
      <c r="K25" s="28">
        <v>0.2</v>
      </c>
      <c r="L25" s="28" t="s">
        <v>1299</v>
      </c>
      <c r="M25" s="28" t="s">
        <v>1306</v>
      </c>
      <c r="N25" s="28" t="s">
        <v>66</v>
      </c>
      <c r="O25" s="28">
        <v>0.06</v>
      </c>
      <c r="P25" s="28" t="s">
        <v>1296</v>
      </c>
      <c r="Q25" s="28" t="s">
        <v>1296</v>
      </c>
      <c r="R25" s="45" t="s">
        <v>1296</v>
      </c>
      <c r="S25" s="46">
        <f t="shared" si="1"/>
        <v>6.36666666666667</v>
      </c>
    </row>
    <row r="26" customFormat="1" spans="1:19">
      <c r="A26" s="28">
        <v>24</v>
      </c>
      <c r="B26" s="28" t="s">
        <v>1336</v>
      </c>
      <c r="C26" s="28" t="s">
        <v>1329</v>
      </c>
      <c r="D26" s="28" t="s">
        <v>1337</v>
      </c>
      <c r="E26" s="28" t="s">
        <v>322</v>
      </c>
      <c r="F26" s="28" t="s">
        <v>323</v>
      </c>
      <c r="G26" s="28">
        <v>28</v>
      </c>
      <c r="H26" s="28" t="s">
        <v>1338</v>
      </c>
      <c r="I26" s="28" t="s">
        <v>66</v>
      </c>
      <c r="J26" s="28">
        <v>0.05</v>
      </c>
      <c r="K26" s="28">
        <v>3</v>
      </c>
      <c r="L26" s="28" t="s">
        <v>1294</v>
      </c>
      <c r="M26" s="28" t="s">
        <v>1295</v>
      </c>
      <c r="N26" s="28" t="s">
        <v>61</v>
      </c>
      <c r="O26" s="28">
        <v>0.025</v>
      </c>
      <c r="P26" s="28">
        <v>0.0154</v>
      </c>
      <c r="Q26" s="28">
        <f>O26/P26</f>
        <v>1.62337662337662</v>
      </c>
      <c r="R26" s="45">
        <v>0.550000000000001</v>
      </c>
      <c r="S26" s="46">
        <f t="shared" si="1"/>
        <v>2</v>
      </c>
    </row>
    <row r="27" customFormat="1" spans="1:19">
      <c r="A27" s="28">
        <v>25</v>
      </c>
      <c r="B27" s="28" t="s">
        <v>1339</v>
      </c>
      <c r="C27" s="28" t="s">
        <v>1329</v>
      </c>
      <c r="D27" s="28" t="s">
        <v>1340</v>
      </c>
      <c r="E27" s="28" t="s">
        <v>322</v>
      </c>
      <c r="F27" s="28" t="s">
        <v>326</v>
      </c>
      <c r="G27" s="28">
        <v>28</v>
      </c>
      <c r="H27" s="28" t="s">
        <v>1338</v>
      </c>
      <c r="I27" s="28" t="s">
        <v>66</v>
      </c>
      <c r="J27" s="28">
        <v>0.05</v>
      </c>
      <c r="K27" s="28">
        <v>3</v>
      </c>
      <c r="L27" s="28" t="s">
        <v>1294</v>
      </c>
      <c r="M27" s="28" t="s">
        <v>1295</v>
      </c>
      <c r="N27" s="28" t="s">
        <v>61</v>
      </c>
      <c r="O27" s="28">
        <v>0.025</v>
      </c>
      <c r="P27" s="28">
        <v>0.01512</v>
      </c>
      <c r="Q27" s="28">
        <f>O27/P27</f>
        <v>1.65343915343915</v>
      </c>
      <c r="R27" s="45">
        <v>0.540000000000001</v>
      </c>
      <c r="S27" s="46">
        <f t="shared" si="1"/>
        <v>2</v>
      </c>
    </row>
    <row r="28" s="34" customFormat="1" spans="1:19">
      <c r="A28" s="28">
        <v>26</v>
      </c>
      <c r="B28" s="28" t="s">
        <v>1341</v>
      </c>
      <c r="C28" s="28" t="s">
        <v>1329</v>
      </c>
      <c r="D28" s="28" t="s">
        <v>1342</v>
      </c>
      <c r="E28" s="28" t="s">
        <v>329</v>
      </c>
      <c r="F28" s="28" t="s">
        <v>330</v>
      </c>
      <c r="G28" s="28">
        <v>270</v>
      </c>
      <c r="H28" s="28" t="s">
        <v>1343</v>
      </c>
      <c r="I28" s="28" t="s">
        <v>61</v>
      </c>
      <c r="J28" s="28">
        <v>13.5</v>
      </c>
      <c r="K28" s="28">
        <v>60</v>
      </c>
      <c r="L28" s="28" t="s">
        <v>1299</v>
      </c>
      <c r="M28" s="28" t="s">
        <v>1306</v>
      </c>
      <c r="N28" s="28" t="s">
        <v>66</v>
      </c>
      <c r="O28" s="28">
        <v>2.5</v>
      </c>
      <c r="P28" s="28" t="s">
        <v>1296</v>
      </c>
      <c r="Q28" s="28" t="s">
        <v>1296</v>
      </c>
      <c r="R28" s="45" t="s">
        <v>1296</v>
      </c>
      <c r="S28" s="46">
        <f t="shared" si="1"/>
        <v>5.4</v>
      </c>
    </row>
    <row r="29" customFormat="1" spans="1:19">
      <c r="A29" s="28">
        <v>27</v>
      </c>
      <c r="B29" s="28" t="s">
        <v>1344</v>
      </c>
      <c r="C29" s="28" t="s">
        <v>1329</v>
      </c>
      <c r="D29" s="28" t="s">
        <v>1342</v>
      </c>
      <c r="E29" s="28" t="s">
        <v>329</v>
      </c>
      <c r="F29" s="28" t="s">
        <v>330</v>
      </c>
      <c r="G29" s="28">
        <v>28</v>
      </c>
      <c r="H29" s="28" t="s">
        <v>1345</v>
      </c>
      <c r="I29" s="28" t="s">
        <v>66</v>
      </c>
      <c r="J29" s="28">
        <v>0.224</v>
      </c>
      <c r="K29" s="28">
        <v>0.05</v>
      </c>
      <c r="L29" s="28" t="s">
        <v>1299</v>
      </c>
      <c r="M29" s="28" t="s">
        <v>1306</v>
      </c>
      <c r="N29" s="28" t="s">
        <v>66</v>
      </c>
      <c r="O29" s="28">
        <v>0.03</v>
      </c>
      <c r="P29" s="28">
        <v>0.0084</v>
      </c>
      <c r="Q29" s="28">
        <f>O29/P29</f>
        <v>3.57142857142857</v>
      </c>
      <c r="R29" s="45">
        <v>0.3</v>
      </c>
      <c r="S29" s="46">
        <f t="shared" si="1"/>
        <v>7.46666666666667</v>
      </c>
    </row>
    <row r="30" s="34" customFormat="1" spans="1:19">
      <c r="A30" s="28">
        <v>28</v>
      </c>
      <c r="B30" s="28" t="s">
        <v>1346</v>
      </c>
      <c r="C30" s="28" t="s">
        <v>1329</v>
      </c>
      <c r="D30" s="28" t="s">
        <v>1347</v>
      </c>
      <c r="E30" s="28" t="s">
        <v>329</v>
      </c>
      <c r="F30" s="28" t="s">
        <v>332</v>
      </c>
      <c r="G30" s="28">
        <v>270</v>
      </c>
      <c r="H30" s="28" t="s">
        <v>1343</v>
      </c>
      <c r="I30" s="28" t="s">
        <v>61</v>
      </c>
      <c r="J30" s="28">
        <v>13.5</v>
      </c>
      <c r="K30" s="28">
        <v>60</v>
      </c>
      <c r="L30" s="28" t="s">
        <v>1299</v>
      </c>
      <c r="M30" s="28" t="s">
        <v>1306</v>
      </c>
      <c r="N30" s="28" t="s">
        <v>66</v>
      </c>
      <c r="O30" s="28">
        <v>2.5</v>
      </c>
      <c r="P30" s="28" t="s">
        <v>1296</v>
      </c>
      <c r="Q30" s="28" t="s">
        <v>1296</v>
      </c>
      <c r="R30" s="45" t="s">
        <v>1296</v>
      </c>
      <c r="S30" s="46">
        <f t="shared" si="1"/>
        <v>5.4</v>
      </c>
    </row>
    <row r="31" customFormat="1" spans="1:19">
      <c r="A31" s="28">
        <v>29</v>
      </c>
      <c r="B31" s="28" t="s">
        <v>1348</v>
      </c>
      <c r="C31" s="28" t="s">
        <v>1329</v>
      </c>
      <c r="D31" s="28" t="s">
        <v>1347</v>
      </c>
      <c r="E31" s="28" t="s">
        <v>329</v>
      </c>
      <c r="F31" s="28" t="s">
        <v>332</v>
      </c>
      <c r="G31" s="28">
        <v>28</v>
      </c>
      <c r="H31" s="28" t="s">
        <v>1345</v>
      </c>
      <c r="I31" s="28" t="s">
        <v>66</v>
      </c>
      <c r="J31" s="28">
        <v>0.224</v>
      </c>
      <c r="K31" s="28">
        <v>0.05</v>
      </c>
      <c r="L31" s="28" t="s">
        <v>1299</v>
      </c>
      <c r="M31" s="28" t="s">
        <v>1306</v>
      </c>
      <c r="N31" s="28" t="s">
        <v>66</v>
      </c>
      <c r="O31" s="28">
        <v>0.03</v>
      </c>
      <c r="P31" s="28">
        <v>0.0084</v>
      </c>
      <c r="Q31" s="28">
        <f>O31/P31</f>
        <v>3.57142857142857</v>
      </c>
      <c r="R31" s="45">
        <v>0.3</v>
      </c>
      <c r="S31" s="46">
        <f t="shared" si="1"/>
        <v>7.46666666666667</v>
      </c>
    </row>
    <row r="32" s="34" customFormat="1" spans="1:19">
      <c r="A32" s="28">
        <v>30</v>
      </c>
      <c r="B32" s="28" t="s">
        <v>1349</v>
      </c>
      <c r="C32" s="28" t="s">
        <v>1329</v>
      </c>
      <c r="D32" s="28" t="s">
        <v>1350</v>
      </c>
      <c r="E32" s="28" t="s">
        <v>329</v>
      </c>
      <c r="F32" s="28" t="s">
        <v>334</v>
      </c>
      <c r="G32" s="28">
        <v>270</v>
      </c>
      <c r="H32" s="28" t="s">
        <v>1343</v>
      </c>
      <c r="I32" s="28" t="s">
        <v>61</v>
      </c>
      <c r="J32" s="28">
        <v>13.5</v>
      </c>
      <c r="K32" s="28">
        <v>60</v>
      </c>
      <c r="L32" s="28" t="s">
        <v>1299</v>
      </c>
      <c r="M32" s="28" t="s">
        <v>1306</v>
      </c>
      <c r="N32" s="28" t="s">
        <v>66</v>
      </c>
      <c r="O32" s="28">
        <v>2.5</v>
      </c>
      <c r="P32" s="28" t="s">
        <v>1296</v>
      </c>
      <c r="Q32" s="28" t="s">
        <v>1296</v>
      </c>
      <c r="R32" s="45" t="s">
        <v>1296</v>
      </c>
      <c r="S32" s="46">
        <f t="shared" si="1"/>
        <v>5.4</v>
      </c>
    </row>
    <row r="33" customFormat="1" spans="1:19">
      <c r="A33" s="28">
        <v>31</v>
      </c>
      <c r="B33" s="28" t="s">
        <v>1351</v>
      </c>
      <c r="C33" s="28" t="s">
        <v>1329</v>
      </c>
      <c r="D33" s="28" t="s">
        <v>1350</v>
      </c>
      <c r="E33" s="28" t="s">
        <v>329</v>
      </c>
      <c r="F33" s="28" t="s">
        <v>334</v>
      </c>
      <c r="G33" s="28">
        <v>28</v>
      </c>
      <c r="H33" s="28" t="s">
        <v>1345</v>
      </c>
      <c r="I33" s="28" t="s">
        <v>66</v>
      </c>
      <c r="J33" s="28">
        <v>0.224</v>
      </c>
      <c r="K33" s="28">
        <v>0.05</v>
      </c>
      <c r="L33" s="28" t="s">
        <v>1299</v>
      </c>
      <c r="M33" s="28" t="s">
        <v>1306</v>
      </c>
      <c r="N33" s="28" t="s">
        <v>66</v>
      </c>
      <c r="O33" s="28">
        <v>0.03</v>
      </c>
      <c r="P33" s="28">
        <v>0.0084</v>
      </c>
      <c r="Q33" s="28">
        <f>O33/P33</f>
        <v>3.57142857142857</v>
      </c>
      <c r="R33" s="45">
        <v>0.3</v>
      </c>
      <c r="S33" s="46">
        <f t="shared" si="1"/>
        <v>7.46666666666667</v>
      </c>
    </row>
    <row r="34" s="34" customFormat="1" spans="1:19">
      <c r="A34" s="28">
        <v>32</v>
      </c>
      <c r="B34" s="28" t="s">
        <v>1352</v>
      </c>
      <c r="C34" s="28" t="s">
        <v>1329</v>
      </c>
      <c r="D34" s="28" t="s">
        <v>1353</v>
      </c>
      <c r="E34" s="28" t="s">
        <v>329</v>
      </c>
      <c r="F34" s="28" t="s">
        <v>336</v>
      </c>
      <c r="G34" s="28">
        <v>270</v>
      </c>
      <c r="H34" s="28" t="s">
        <v>1343</v>
      </c>
      <c r="I34" s="28" t="s">
        <v>61</v>
      </c>
      <c r="J34" s="28">
        <v>13.5</v>
      </c>
      <c r="K34" s="28">
        <v>60</v>
      </c>
      <c r="L34" s="28" t="s">
        <v>1299</v>
      </c>
      <c r="M34" s="28" t="s">
        <v>1306</v>
      </c>
      <c r="N34" s="28" t="s">
        <v>66</v>
      </c>
      <c r="O34" s="28">
        <v>2.5</v>
      </c>
      <c r="P34" s="28" t="s">
        <v>1296</v>
      </c>
      <c r="Q34" s="28" t="s">
        <v>1296</v>
      </c>
      <c r="R34" s="45" t="s">
        <v>1296</v>
      </c>
      <c r="S34" s="46">
        <f t="shared" si="1"/>
        <v>5.4</v>
      </c>
    </row>
    <row r="35" customFormat="1" spans="1:19">
      <c r="A35" s="28">
        <v>33</v>
      </c>
      <c r="B35" s="28" t="s">
        <v>1354</v>
      </c>
      <c r="C35" s="28" t="s">
        <v>1329</v>
      </c>
      <c r="D35" s="28" t="s">
        <v>1353</v>
      </c>
      <c r="E35" s="28" t="s">
        <v>329</v>
      </c>
      <c r="F35" s="28" t="s">
        <v>336</v>
      </c>
      <c r="G35" s="28">
        <v>28</v>
      </c>
      <c r="H35" s="28" t="s">
        <v>1345</v>
      </c>
      <c r="I35" s="28" t="s">
        <v>66</v>
      </c>
      <c r="J35" s="28">
        <v>0.224</v>
      </c>
      <c r="K35" s="28">
        <v>0.05</v>
      </c>
      <c r="L35" s="28" t="s">
        <v>1299</v>
      </c>
      <c r="M35" s="28" t="s">
        <v>1306</v>
      </c>
      <c r="N35" s="28" t="s">
        <v>66</v>
      </c>
      <c r="O35" s="28">
        <v>0.03</v>
      </c>
      <c r="P35" s="28">
        <v>0.0084</v>
      </c>
      <c r="Q35" s="28">
        <f>O35/P35</f>
        <v>3.57142857142857</v>
      </c>
      <c r="R35" s="45">
        <v>0.3</v>
      </c>
      <c r="S35" s="46">
        <f t="shared" si="1"/>
        <v>7.46666666666667</v>
      </c>
    </row>
    <row r="36" s="34" customFormat="1" spans="1:19">
      <c r="A36" s="28">
        <v>34</v>
      </c>
      <c r="B36" s="28" t="s">
        <v>1355</v>
      </c>
      <c r="C36" s="28" t="s">
        <v>1329</v>
      </c>
      <c r="D36" s="28" t="s">
        <v>1356</v>
      </c>
      <c r="E36" s="28" t="s">
        <v>338</v>
      </c>
      <c r="F36" s="28" t="s">
        <v>339</v>
      </c>
      <c r="G36" s="28">
        <v>270</v>
      </c>
      <c r="H36" s="28" t="s">
        <v>1343</v>
      </c>
      <c r="I36" s="28" t="s">
        <v>61</v>
      </c>
      <c r="J36" s="28">
        <v>13.5</v>
      </c>
      <c r="K36" s="28">
        <v>60</v>
      </c>
      <c r="L36" s="28" t="s">
        <v>1299</v>
      </c>
      <c r="M36" s="28" t="s">
        <v>1306</v>
      </c>
      <c r="N36" s="28" t="s">
        <v>66</v>
      </c>
      <c r="O36" s="28">
        <v>1.65</v>
      </c>
      <c r="P36" s="28" t="s">
        <v>1296</v>
      </c>
      <c r="Q36" s="28" t="s">
        <v>1296</v>
      </c>
      <c r="R36" s="45" t="s">
        <v>1296</v>
      </c>
      <c r="S36" s="46">
        <f t="shared" si="1"/>
        <v>8.18181818181818</v>
      </c>
    </row>
    <row r="37" customFormat="1" spans="1:19">
      <c r="A37" s="28">
        <v>35</v>
      </c>
      <c r="B37" s="28" t="s">
        <v>1357</v>
      </c>
      <c r="C37" s="28" t="s">
        <v>1329</v>
      </c>
      <c r="D37" s="28" t="s">
        <v>1356</v>
      </c>
      <c r="E37" s="28" t="s">
        <v>338</v>
      </c>
      <c r="F37" s="28" t="s">
        <v>339</v>
      </c>
      <c r="G37" s="28">
        <v>28</v>
      </c>
      <c r="H37" s="28" t="s">
        <v>1345</v>
      </c>
      <c r="I37" s="28" t="s">
        <v>66</v>
      </c>
      <c r="J37" s="28">
        <v>0.224</v>
      </c>
      <c r="K37" s="28">
        <v>0.05</v>
      </c>
      <c r="L37" s="28" t="s">
        <v>1299</v>
      </c>
      <c r="M37" s="28" t="s">
        <v>1306</v>
      </c>
      <c r="N37" s="28" t="s">
        <v>66</v>
      </c>
      <c r="O37" s="28">
        <v>0.03</v>
      </c>
      <c r="P37" s="28">
        <v>0.0084</v>
      </c>
      <c r="Q37" s="28">
        <f>O37/P37</f>
        <v>3.57142857142857</v>
      </c>
      <c r="R37" s="45">
        <v>0.3</v>
      </c>
      <c r="S37" s="46">
        <f t="shared" si="1"/>
        <v>7.46666666666667</v>
      </c>
    </row>
    <row r="38" s="34" customFormat="1" spans="1:19">
      <c r="A38" s="28">
        <v>36</v>
      </c>
      <c r="B38" s="28" t="s">
        <v>1358</v>
      </c>
      <c r="C38" s="28" t="s">
        <v>1329</v>
      </c>
      <c r="D38" s="28" t="s">
        <v>1359</v>
      </c>
      <c r="E38" s="28" t="s">
        <v>338</v>
      </c>
      <c r="F38" s="28" t="s">
        <v>341</v>
      </c>
      <c r="G38" s="28">
        <v>270</v>
      </c>
      <c r="H38" s="28" t="s">
        <v>1343</v>
      </c>
      <c r="I38" s="28" t="s">
        <v>61</v>
      </c>
      <c r="J38" s="28">
        <v>13.5</v>
      </c>
      <c r="K38" s="28">
        <v>60</v>
      </c>
      <c r="L38" s="28" t="s">
        <v>1299</v>
      </c>
      <c r="M38" s="28" t="s">
        <v>1306</v>
      </c>
      <c r="N38" s="28" t="s">
        <v>66</v>
      </c>
      <c r="O38" s="28">
        <v>1.65</v>
      </c>
      <c r="P38" s="28" t="s">
        <v>1296</v>
      </c>
      <c r="Q38" s="28" t="s">
        <v>1296</v>
      </c>
      <c r="R38" s="45" t="s">
        <v>1296</v>
      </c>
      <c r="S38" s="46">
        <f t="shared" si="1"/>
        <v>8.18181818181818</v>
      </c>
    </row>
    <row r="39" customFormat="1" spans="1:19">
      <c r="A39" s="28">
        <v>37</v>
      </c>
      <c r="B39" s="28" t="s">
        <v>1360</v>
      </c>
      <c r="C39" s="28" t="s">
        <v>1329</v>
      </c>
      <c r="D39" s="28" t="s">
        <v>1359</v>
      </c>
      <c r="E39" s="28" t="s">
        <v>338</v>
      </c>
      <c r="F39" s="28" t="s">
        <v>341</v>
      </c>
      <c r="G39" s="28">
        <v>28</v>
      </c>
      <c r="H39" s="28" t="s">
        <v>1345</v>
      </c>
      <c r="I39" s="28" t="s">
        <v>66</v>
      </c>
      <c r="J39" s="28">
        <v>0.224</v>
      </c>
      <c r="K39" s="28">
        <v>0.05</v>
      </c>
      <c r="L39" s="28" t="s">
        <v>1299</v>
      </c>
      <c r="M39" s="28" t="s">
        <v>1306</v>
      </c>
      <c r="N39" s="28" t="s">
        <v>66</v>
      </c>
      <c r="O39" s="28">
        <v>0.03</v>
      </c>
      <c r="P39" s="28">
        <v>0.0084</v>
      </c>
      <c r="Q39" s="28">
        <f>O39/P39</f>
        <v>3.57142857142857</v>
      </c>
      <c r="R39" s="45">
        <v>0.3</v>
      </c>
      <c r="S39" s="46">
        <f t="shared" si="1"/>
        <v>7.46666666666667</v>
      </c>
    </row>
    <row r="40" s="34" customFormat="1" spans="1:19">
      <c r="A40" s="28">
        <v>38</v>
      </c>
      <c r="B40" s="28" t="s">
        <v>1361</v>
      </c>
      <c r="C40" s="28" t="s">
        <v>1329</v>
      </c>
      <c r="D40" s="28" t="s">
        <v>1362</v>
      </c>
      <c r="E40" s="28" t="s">
        <v>343</v>
      </c>
      <c r="F40" s="28" t="s">
        <v>344</v>
      </c>
      <c r="G40" s="28">
        <v>28</v>
      </c>
      <c r="H40" s="28" t="s">
        <v>1345</v>
      </c>
      <c r="I40" s="28" t="s">
        <v>66</v>
      </c>
      <c r="J40" s="28">
        <v>2.5</v>
      </c>
      <c r="K40" s="28">
        <v>60</v>
      </c>
      <c r="L40" s="28" t="s">
        <v>1299</v>
      </c>
      <c r="M40" s="28" t="s">
        <v>1306</v>
      </c>
      <c r="N40" s="28" t="s">
        <v>66</v>
      </c>
      <c r="O40" s="28">
        <v>0.5</v>
      </c>
      <c r="P40" s="28" t="s">
        <v>1296</v>
      </c>
      <c r="Q40" s="28" t="s">
        <v>1296</v>
      </c>
      <c r="R40" s="45" t="s">
        <v>1296</v>
      </c>
      <c r="S40" s="46">
        <f t="shared" si="1"/>
        <v>5</v>
      </c>
    </row>
    <row r="41" customFormat="1" spans="1:19">
      <c r="A41" s="28">
        <v>39</v>
      </c>
      <c r="B41" s="28" t="s">
        <v>1363</v>
      </c>
      <c r="C41" s="28" t="s">
        <v>1329</v>
      </c>
      <c r="D41" s="28" t="s">
        <v>1362</v>
      </c>
      <c r="E41" s="28" t="s">
        <v>343</v>
      </c>
      <c r="F41" s="28" t="s">
        <v>344</v>
      </c>
      <c r="G41" s="28">
        <v>28</v>
      </c>
      <c r="H41" s="28" t="s">
        <v>1345</v>
      </c>
      <c r="I41" s="28" t="s">
        <v>66</v>
      </c>
      <c r="J41" s="28">
        <v>0.3</v>
      </c>
      <c r="K41" s="28">
        <v>0.05</v>
      </c>
      <c r="L41" s="28" t="s">
        <v>1299</v>
      </c>
      <c r="M41" s="28" t="s">
        <v>1306</v>
      </c>
      <c r="N41" s="28" t="s">
        <v>66</v>
      </c>
      <c r="O41" s="28">
        <v>0.112</v>
      </c>
      <c r="P41" s="28">
        <v>0.0252</v>
      </c>
      <c r="Q41" s="28">
        <f>O41/P41</f>
        <v>4.44444444444444</v>
      </c>
      <c r="R41" s="45">
        <v>0.9</v>
      </c>
      <c r="S41" s="46">
        <f t="shared" si="1"/>
        <v>2.67857142857143</v>
      </c>
    </row>
    <row r="42" s="34" customFormat="1" spans="1:19">
      <c r="A42" s="28">
        <v>40</v>
      </c>
      <c r="B42" s="28" t="s">
        <v>1364</v>
      </c>
      <c r="C42" s="28" t="s">
        <v>1329</v>
      </c>
      <c r="D42" s="28" t="s">
        <v>1365</v>
      </c>
      <c r="E42" s="28" t="s">
        <v>343</v>
      </c>
      <c r="F42" s="28" t="s">
        <v>347</v>
      </c>
      <c r="G42" s="28">
        <v>28</v>
      </c>
      <c r="H42" s="28" t="s">
        <v>1345</v>
      </c>
      <c r="I42" s="28" t="s">
        <v>66</v>
      </c>
      <c r="J42" s="28">
        <v>2.5</v>
      </c>
      <c r="K42" s="28">
        <v>60</v>
      </c>
      <c r="L42" s="28" t="s">
        <v>1299</v>
      </c>
      <c r="M42" s="28" t="s">
        <v>1306</v>
      </c>
      <c r="N42" s="28" t="s">
        <v>66</v>
      </c>
      <c r="O42" s="28">
        <v>0.5</v>
      </c>
      <c r="P42" s="28" t="s">
        <v>1296</v>
      </c>
      <c r="Q42" s="28" t="s">
        <v>1296</v>
      </c>
      <c r="R42" s="45" t="s">
        <v>1296</v>
      </c>
      <c r="S42" s="46">
        <f t="shared" si="1"/>
        <v>5</v>
      </c>
    </row>
    <row r="43" customFormat="1" spans="1:19">
      <c r="A43" s="28">
        <v>41</v>
      </c>
      <c r="B43" s="28" t="s">
        <v>1366</v>
      </c>
      <c r="C43" s="28" t="s">
        <v>1329</v>
      </c>
      <c r="D43" s="28" t="s">
        <v>1365</v>
      </c>
      <c r="E43" s="28" t="s">
        <v>343</v>
      </c>
      <c r="F43" s="28" t="s">
        <v>347</v>
      </c>
      <c r="G43" s="28">
        <v>28</v>
      </c>
      <c r="H43" s="28" t="s">
        <v>1345</v>
      </c>
      <c r="I43" s="28" t="s">
        <v>66</v>
      </c>
      <c r="J43" s="28">
        <v>0.3</v>
      </c>
      <c r="K43" s="28">
        <v>0.05</v>
      </c>
      <c r="L43" s="28" t="s">
        <v>1299</v>
      </c>
      <c r="M43" s="28" t="s">
        <v>1306</v>
      </c>
      <c r="N43" s="28" t="s">
        <v>66</v>
      </c>
      <c r="O43" s="28">
        <v>0.112</v>
      </c>
      <c r="P43" s="28">
        <v>0.0252</v>
      </c>
      <c r="Q43" s="28">
        <f>O43/P43</f>
        <v>4.44444444444444</v>
      </c>
      <c r="R43" s="45">
        <v>0.9</v>
      </c>
      <c r="S43" s="46">
        <f t="shared" si="1"/>
        <v>2.67857142857143</v>
      </c>
    </row>
    <row r="44" s="34" customFormat="1" spans="1:19">
      <c r="A44" s="28">
        <v>42</v>
      </c>
      <c r="B44" s="28" t="s">
        <v>1367</v>
      </c>
      <c r="C44" s="28" t="s">
        <v>1329</v>
      </c>
      <c r="D44" s="28" t="s">
        <v>1368</v>
      </c>
      <c r="E44" s="28" t="s">
        <v>369</v>
      </c>
      <c r="F44" s="28" t="s">
        <v>370</v>
      </c>
      <c r="G44" s="28">
        <v>28</v>
      </c>
      <c r="H44" s="28" t="s">
        <v>1293</v>
      </c>
      <c r="I44" s="28" t="s">
        <v>66</v>
      </c>
      <c r="J44" s="28">
        <v>0.01</v>
      </c>
      <c r="K44" s="28">
        <v>0.05</v>
      </c>
      <c r="L44" s="28" t="s">
        <v>1299</v>
      </c>
      <c r="M44" s="28" t="s">
        <v>1295</v>
      </c>
      <c r="N44" s="28" t="s">
        <v>66</v>
      </c>
      <c r="O44" s="28">
        <v>0.005</v>
      </c>
      <c r="P44" s="28" t="s">
        <v>1296</v>
      </c>
      <c r="Q44" s="28" t="s">
        <v>1296</v>
      </c>
      <c r="R44" s="45" t="s">
        <v>1296</v>
      </c>
      <c r="S44" s="46">
        <f t="shared" si="1"/>
        <v>2</v>
      </c>
    </row>
    <row r="45" s="34" customFormat="1" spans="1:19">
      <c r="A45" s="28">
        <v>43</v>
      </c>
      <c r="B45" s="28" t="s">
        <v>1369</v>
      </c>
      <c r="C45" s="28" t="s">
        <v>1370</v>
      </c>
      <c r="D45" s="28" t="s">
        <v>1371</v>
      </c>
      <c r="E45" s="28" t="s">
        <v>374</v>
      </c>
      <c r="F45" s="28" t="s">
        <v>375</v>
      </c>
      <c r="G45" s="28">
        <v>270</v>
      </c>
      <c r="H45" s="28" t="s">
        <v>1372</v>
      </c>
      <c r="I45" s="28" t="s">
        <v>66</v>
      </c>
      <c r="J45" s="28">
        <v>4</v>
      </c>
      <c r="K45" s="28">
        <v>5</v>
      </c>
      <c r="L45" s="28" t="s">
        <v>1294</v>
      </c>
      <c r="M45" s="28" t="s">
        <v>1295</v>
      </c>
      <c r="N45" s="28" t="s">
        <v>61</v>
      </c>
      <c r="O45" s="28">
        <v>2</v>
      </c>
      <c r="P45" s="28" t="s">
        <v>1296</v>
      </c>
      <c r="Q45" s="28" t="s">
        <v>1296</v>
      </c>
      <c r="R45" s="45" t="s">
        <v>1296</v>
      </c>
      <c r="S45" s="46">
        <f t="shared" si="1"/>
        <v>2</v>
      </c>
    </row>
    <row r="46" s="34" customFormat="1" spans="1:19">
      <c r="A46" s="28">
        <v>44</v>
      </c>
      <c r="B46" s="28" t="s">
        <v>1373</v>
      </c>
      <c r="C46" s="28" t="s">
        <v>1370</v>
      </c>
      <c r="D46" s="28" t="s">
        <v>1371</v>
      </c>
      <c r="E46" s="28" t="s">
        <v>374</v>
      </c>
      <c r="F46" s="28" t="s">
        <v>375</v>
      </c>
      <c r="G46" s="28">
        <v>28</v>
      </c>
      <c r="H46" s="28" t="s">
        <v>1293</v>
      </c>
      <c r="I46" s="28" t="s">
        <v>66</v>
      </c>
      <c r="J46" s="28">
        <v>0.1</v>
      </c>
      <c r="K46" s="28">
        <v>0.05</v>
      </c>
      <c r="L46" s="28" t="s">
        <v>1294</v>
      </c>
      <c r="M46" s="28" t="s">
        <v>1295</v>
      </c>
      <c r="N46" s="28" t="s">
        <v>61</v>
      </c>
      <c r="O46" s="28">
        <v>0.05</v>
      </c>
      <c r="P46" s="28" t="s">
        <v>1296</v>
      </c>
      <c r="Q46" s="28" t="s">
        <v>1296</v>
      </c>
      <c r="R46" s="45" t="s">
        <v>1296</v>
      </c>
      <c r="S46" s="46">
        <f t="shared" si="1"/>
        <v>2</v>
      </c>
    </row>
    <row r="47" s="34" customFormat="1" spans="1:19">
      <c r="A47" s="28">
        <v>45</v>
      </c>
      <c r="B47" s="28" t="s">
        <v>1374</v>
      </c>
      <c r="C47" s="28" t="s">
        <v>1370</v>
      </c>
      <c r="D47" s="28" t="s">
        <v>1375</v>
      </c>
      <c r="E47" s="28" t="s">
        <v>377</v>
      </c>
      <c r="F47" s="28" t="s">
        <v>378</v>
      </c>
      <c r="G47" s="28">
        <v>270</v>
      </c>
      <c r="H47" s="28" t="s">
        <v>1372</v>
      </c>
      <c r="I47" s="28" t="s">
        <v>66</v>
      </c>
      <c r="J47" s="28">
        <v>4</v>
      </c>
      <c r="K47" s="28">
        <v>5</v>
      </c>
      <c r="L47" s="28" t="s">
        <v>1294</v>
      </c>
      <c r="M47" s="28" t="s">
        <v>1295</v>
      </c>
      <c r="N47" s="28" t="s">
        <v>61</v>
      </c>
      <c r="O47" s="28">
        <v>2</v>
      </c>
      <c r="P47" s="28" t="s">
        <v>1296</v>
      </c>
      <c r="Q47" s="28" t="s">
        <v>1296</v>
      </c>
      <c r="R47" s="45" t="s">
        <v>1296</v>
      </c>
      <c r="S47" s="46">
        <f t="shared" si="1"/>
        <v>2</v>
      </c>
    </row>
    <row r="48" s="34" customFormat="1" spans="1:19">
      <c r="A48" s="28">
        <v>46</v>
      </c>
      <c r="B48" s="28" t="s">
        <v>1376</v>
      </c>
      <c r="C48" s="28" t="s">
        <v>1370</v>
      </c>
      <c r="D48" s="28" t="s">
        <v>1375</v>
      </c>
      <c r="E48" s="28" t="s">
        <v>377</v>
      </c>
      <c r="F48" s="28" t="s">
        <v>378</v>
      </c>
      <c r="G48" s="28">
        <v>28</v>
      </c>
      <c r="H48" s="28" t="s">
        <v>1293</v>
      </c>
      <c r="I48" s="28" t="s">
        <v>66</v>
      </c>
      <c r="J48" s="28">
        <v>0.1</v>
      </c>
      <c r="K48" s="28">
        <v>0.05</v>
      </c>
      <c r="L48" s="28" t="s">
        <v>1294</v>
      </c>
      <c r="M48" s="28" t="s">
        <v>1295</v>
      </c>
      <c r="N48" s="28" t="s">
        <v>61</v>
      </c>
      <c r="O48" s="28">
        <v>0.05</v>
      </c>
      <c r="P48" s="28" t="s">
        <v>1296</v>
      </c>
      <c r="Q48" s="28" t="s">
        <v>1296</v>
      </c>
      <c r="R48" s="45" t="s">
        <v>1296</v>
      </c>
      <c r="S48" s="46">
        <f t="shared" si="1"/>
        <v>2</v>
      </c>
    </row>
    <row r="49" s="34" customFormat="1" spans="1:19">
      <c r="A49" s="28">
        <v>47</v>
      </c>
      <c r="B49" s="28" t="s">
        <v>1377</v>
      </c>
      <c r="C49" s="28" t="s">
        <v>1370</v>
      </c>
      <c r="D49" s="28" t="s">
        <v>1378</v>
      </c>
      <c r="E49" s="28" t="s">
        <v>387</v>
      </c>
      <c r="F49" s="28" t="s">
        <v>388</v>
      </c>
      <c r="G49" s="28">
        <v>28</v>
      </c>
      <c r="H49" s="28" t="s">
        <v>1293</v>
      </c>
      <c r="I49" s="28" t="s">
        <v>66</v>
      </c>
      <c r="J49" s="28">
        <v>0.3</v>
      </c>
      <c r="K49" s="28">
        <v>5</v>
      </c>
      <c r="L49" s="28" t="s">
        <v>1294</v>
      </c>
      <c r="M49" s="28" t="s">
        <v>1295</v>
      </c>
      <c r="N49" s="28" t="s">
        <v>61</v>
      </c>
      <c r="O49" s="28">
        <v>0.14</v>
      </c>
      <c r="P49" s="28" t="s">
        <v>1296</v>
      </c>
      <c r="Q49" s="28" t="s">
        <v>1296</v>
      </c>
      <c r="R49" s="45" t="s">
        <v>1296</v>
      </c>
      <c r="S49" s="46">
        <f t="shared" si="1"/>
        <v>2.14285714285714</v>
      </c>
    </row>
    <row r="50" s="34" customFormat="1" spans="1:19">
      <c r="A50" s="28">
        <v>48</v>
      </c>
      <c r="B50" s="28" t="s">
        <v>1379</v>
      </c>
      <c r="C50" s="28" t="s">
        <v>1370</v>
      </c>
      <c r="D50" s="28" t="s">
        <v>1380</v>
      </c>
      <c r="E50" s="28" t="s">
        <v>391</v>
      </c>
      <c r="F50" s="28" t="s">
        <v>392</v>
      </c>
      <c r="G50" s="28">
        <v>28</v>
      </c>
      <c r="H50" s="28" t="s">
        <v>1293</v>
      </c>
      <c r="I50" s="28" t="s">
        <v>66</v>
      </c>
      <c r="J50" s="28">
        <v>0.3</v>
      </c>
      <c r="K50" s="28">
        <v>5</v>
      </c>
      <c r="L50" s="28" t="s">
        <v>1294</v>
      </c>
      <c r="M50" s="28" t="s">
        <v>1295</v>
      </c>
      <c r="N50" s="28" t="s">
        <v>61</v>
      </c>
      <c r="O50" s="28">
        <v>0.14</v>
      </c>
      <c r="P50" s="28" t="s">
        <v>1296</v>
      </c>
      <c r="Q50" s="28" t="s">
        <v>1296</v>
      </c>
      <c r="R50" s="45" t="s">
        <v>1296</v>
      </c>
      <c r="S50" s="46">
        <f t="shared" si="1"/>
        <v>2.14285714285714</v>
      </c>
    </row>
    <row r="51" s="34" customFormat="1" spans="1:19">
      <c r="A51" s="28">
        <v>49</v>
      </c>
      <c r="B51" s="28" t="s">
        <v>1381</v>
      </c>
      <c r="C51" s="28" t="s">
        <v>1370</v>
      </c>
      <c r="D51" s="28" t="s">
        <v>1382</v>
      </c>
      <c r="E51" s="28" t="s">
        <v>412</v>
      </c>
      <c r="F51" s="28" t="s">
        <v>413</v>
      </c>
      <c r="G51" s="28">
        <v>28</v>
      </c>
      <c r="H51" s="28" t="s">
        <v>1293</v>
      </c>
      <c r="I51" s="28" t="s">
        <v>66</v>
      </c>
      <c r="J51" s="28">
        <v>0.6</v>
      </c>
      <c r="K51" s="28">
        <v>3</v>
      </c>
      <c r="L51" s="28" t="s">
        <v>1294</v>
      </c>
      <c r="M51" s="28" t="s">
        <v>1295</v>
      </c>
      <c r="N51" s="28" t="s">
        <v>66</v>
      </c>
      <c r="O51" s="28">
        <v>0.3</v>
      </c>
      <c r="P51" s="28" t="s">
        <v>1296</v>
      </c>
      <c r="Q51" s="28" t="s">
        <v>1296</v>
      </c>
      <c r="R51" s="45" t="s">
        <v>1296</v>
      </c>
      <c r="S51" s="46">
        <f t="shared" si="1"/>
        <v>2</v>
      </c>
    </row>
    <row r="52" s="34" customFormat="1" spans="1:19">
      <c r="A52" s="28">
        <v>50</v>
      </c>
      <c r="B52" s="28" t="s">
        <v>1383</v>
      </c>
      <c r="C52" s="28" t="s">
        <v>1370</v>
      </c>
      <c r="D52" s="28" t="s">
        <v>1384</v>
      </c>
      <c r="E52" s="28" t="s">
        <v>415</v>
      </c>
      <c r="F52" s="28" t="s">
        <v>416</v>
      </c>
      <c r="G52" s="28">
        <v>28</v>
      </c>
      <c r="H52" s="28" t="s">
        <v>1293</v>
      </c>
      <c r="I52" s="28" t="s">
        <v>66</v>
      </c>
      <c r="J52" s="28">
        <v>0.6</v>
      </c>
      <c r="K52" s="28">
        <v>3</v>
      </c>
      <c r="L52" s="28" t="s">
        <v>1294</v>
      </c>
      <c r="M52" s="28" t="s">
        <v>1295</v>
      </c>
      <c r="N52" s="28" t="s">
        <v>66</v>
      </c>
      <c r="O52" s="28">
        <v>0.3</v>
      </c>
      <c r="P52" s="28" t="s">
        <v>1296</v>
      </c>
      <c r="Q52" s="28" t="s">
        <v>1296</v>
      </c>
      <c r="R52" s="45" t="s">
        <v>1296</v>
      </c>
      <c r="S52" s="46">
        <f t="shared" si="1"/>
        <v>2</v>
      </c>
    </row>
    <row r="53" s="34" customFormat="1" spans="1:19">
      <c r="A53" s="28">
        <v>51</v>
      </c>
      <c r="B53" s="28" t="s">
        <v>1385</v>
      </c>
      <c r="C53" s="28" t="s">
        <v>1370</v>
      </c>
      <c r="D53" s="28" t="s">
        <v>417</v>
      </c>
      <c r="E53" s="28" t="s">
        <v>418</v>
      </c>
      <c r="F53" s="28" t="s">
        <v>419</v>
      </c>
      <c r="G53" s="28">
        <v>28</v>
      </c>
      <c r="H53" s="28" t="s">
        <v>1293</v>
      </c>
      <c r="I53" s="28" t="s">
        <v>66</v>
      </c>
      <c r="J53" s="28">
        <v>0.02</v>
      </c>
      <c r="K53" s="28">
        <v>0.05</v>
      </c>
      <c r="L53" s="28" t="s">
        <v>1294</v>
      </c>
      <c r="M53" s="28" t="s">
        <v>1295</v>
      </c>
      <c r="N53" s="28" t="s">
        <v>66</v>
      </c>
      <c r="O53" s="28">
        <v>0.01</v>
      </c>
      <c r="P53" s="28" t="s">
        <v>1296</v>
      </c>
      <c r="Q53" s="28" t="s">
        <v>1296</v>
      </c>
      <c r="R53" s="45" t="s">
        <v>1296</v>
      </c>
      <c r="S53" s="46">
        <f t="shared" si="1"/>
        <v>2</v>
      </c>
    </row>
    <row r="54" s="34" customFormat="1" spans="1:19">
      <c r="A54" s="28">
        <v>52</v>
      </c>
      <c r="B54" s="28" t="s">
        <v>1386</v>
      </c>
      <c r="C54" s="28" t="s">
        <v>1387</v>
      </c>
      <c r="D54" s="28" t="s">
        <v>1388</v>
      </c>
      <c r="E54" s="28" t="s">
        <v>428</v>
      </c>
      <c r="F54" s="28" t="s">
        <v>429</v>
      </c>
      <c r="G54" s="28">
        <v>28</v>
      </c>
      <c r="H54" s="28" t="s">
        <v>1293</v>
      </c>
      <c r="I54" s="28" t="s">
        <v>66</v>
      </c>
      <c r="J54" s="28">
        <v>0.02</v>
      </c>
      <c r="K54" s="28">
        <v>0.003</v>
      </c>
      <c r="L54" s="28" t="s">
        <v>1299</v>
      </c>
      <c r="M54" s="28" t="s">
        <v>1295</v>
      </c>
      <c r="N54" s="28" t="s">
        <v>66</v>
      </c>
      <c r="O54" s="28">
        <v>0.004</v>
      </c>
      <c r="P54" s="28" t="s">
        <v>1296</v>
      </c>
      <c r="Q54" s="28" t="s">
        <v>1296</v>
      </c>
      <c r="R54" s="45" t="s">
        <v>1296</v>
      </c>
      <c r="S54" s="46">
        <f t="shared" si="1"/>
        <v>5</v>
      </c>
    </row>
    <row r="55" s="34" customFormat="1" spans="1:19">
      <c r="A55" s="28">
        <v>53</v>
      </c>
      <c r="B55" s="28" t="s">
        <v>1389</v>
      </c>
      <c r="C55" s="28" t="s">
        <v>1387</v>
      </c>
      <c r="D55" s="28" t="s">
        <v>1390</v>
      </c>
      <c r="E55" s="28" t="s">
        <v>432</v>
      </c>
      <c r="F55" s="28" t="s">
        <v>433</v>
      </c>
      <c r="G55" s="28">
        <v>28</v>
      </c>
      <c r="H55" s="28" t="s">
        <v>1293</v>
      </c>
      <c r="I55" s="28" t="s">
        <v>66</v>
      </c>
      <c r="J55" s="28">
        <v>0.0028</v>
      </c>
      <c r="K55" s="28">
        <v>0.03</v>
      </c>
      <c r="L55" s="28" t="s">
        <v>1294</v>
      </c>
      <c r="M55" s="28" t="s">
        <v>1295</v>
      </c>
      <c r="N55" s="28" t="s">
        <v>61</v>
      </c>
      <c r="O55" s="28">
        <v>0.0014</v>
      </c>
      <c r="P55" s="28" t="s">
        <v>1296</v>
      </c>
      <c r="Q55" s="28" t="s">
        <v>1296</v>
      </c>
      <c r="R55" s="45" t="s">
        <v>1296</v>
      </c>
      <c r="S55" s="46">
        <f t="shared" si="1"/>
        <v>2</v>
      </c>
    </row>
    <row r="56" s="34" customFormat="1" spans="1:19">
      <c r="A56" s="28">
        <v>54</v>
      </c>
      <c r="B56" s="28" t="s">
        <v>1391</v>
      </c>
      <c r="C56" s="28" t="s">
        <v>1387</v>
      </c>
      <c r="D56" s="28" t="s">
        <v>434</v>
      </c>
      <c r="E56" s="28" t="s">
        <v>435</v>
      </c>
      <c r="F56" s="28" t="s">
        <v>436</v>
      </c>
      <c r="G56" s="28">
        <v>28</v>
      </c>
      <c r="H56" s="28" t="s">
        <v>1293</v>
      </c>
      <c r="I56" s="28" t="s">
        <v>61</v>
      </c>
      <c r="J56" s="28">
        <v>0.98</v>
      </c>
      <c r="K56" s="28">
        <v>0.2</v>
      </c>
      <c r="L56" s="28" t="s">
        <v>1299</v>
      </c>
      <c r="M56" s="28" t="s">
        <v>1306</v>
      </c>
      <c r="N56" s="28" t="s">
        <v>66</v>
      </c>
      <c r="O56" s="28">
        <v>0.15</v>
      </c>
      <c r="P56" s="28" t="s">
        <v>1296</v>
      </c>
      <c r="Q56" s="28" t="s">
        <v>1296</v>
      </c>
      <c r="R56" s="45" t="s">
        <v>1296</v>
      </c>
      <c r="S56" s="46">
        <f t="shared" si="1"/>
        <v>6.53333333333333</v>
      </c>
    </row>
    <row r="57" s="34" customFormat="1" spans="1:19">
      <c r="A57" s="28">
        <v>55</v>
      </c>
      <c r="B57" s="28" t="s">
        <v>1392</v>
      </c>
      <c r="C57" s="28" t="s">
        <v>1387</v>
      </c>
      <c r="D57" s="28" t="s">
        <v>437</v>
      </c>
      <c r="E57" s="28" t="s">
        <v>438</v>
      </c>
      <c r="F57" s="28" t="s">
        <v>439</v>
      </c>
      <c r="G57" s="28">
        <v>28</v>
      </c>
      <c r="H57" s="28" t="s">
        <v>1293</v>
      </c>
      <c r="I57" s="28" t="s">
        <v>61</v>
      </c>
      <c r="J57" s="28">
        <v>0.154</v>
      </c>
      <c r="K57" s="28">
        <v>0.18</v>
      </c>
      <c r="L57" s="28" t="s">
        <v>1299</v>
      </c>
      <c r="M57" s="28" t="s">
        <v>1306</v>
      </c>
      <c r="N57" s="28" t="s">
        <v>66</v>
      </c>
      <c r="O57" s="28">
        <v>0.04</v>
      </c>
      <c r="P57" s="28" t="s">
        <v>1296</v>
      </c>
      <c r="Q57" s="28" t="s">
        <v>1296</v>
      </c>
      <c r="R57" s="45" t="s">
        <v>1296</v>
      </c>
      <c r="S57" s="46">
        <f t="shared" si="1"/>
        <v>3.85</v>
      </c>
    </row>
    <row r="58" customFormat="1" spans="1:19">
      <c r="A58" s="28">
        <v>56</v>
      </c>
      <c r="B58" s="28" t="s">
        <v>1393</v>
      </c>
      <c r="C58" s="28" t="s">
        <v>1387</v>
      </c>
      <c r="D58" s="28" t="s">
        <v>1394</v>
      </c>
      <c r="E58" s="28" t="s">
        <v>441</v>
      </c>
      <c r="F58" s="28" t="s">
        <v>442</v>
      </c>
      <c r="G58" s="28">
        <v>28</v>
      </c>
      <c r="H58" s="28" t="s">
        <v>1293</v>
      </c>
      <c r="I58" s="28" t="s">
        <v>66</v>
      </c>
      <c r="J58" s="28">
        <v>0.3</v>
      </c>
      <c r="K58" s="28">
        <v>0.05</v>
      </c>
      <c r="L58" s="28" t="s">
        <v>1299</v>
      </c>
      <c r="M58" s="28" t="s">
        <v>1306</v>
      </c>
      <c r="N58" s="28" t="s">
        <v>66</v>
      </c>
      <c r="O58" s="28">
        <v>0.12</v>
      </c>
      <c r="P58" s="28">
        <v>0.0756</v>
      </c>
      <c r="Q58" s="28">
        <f>O58/P58</f>
        <v>1.58730158730159</v>
      </c>
      <c r="R58" s="45">
        <v>2.7</v>
      </c>
      <c r="S58" s="46">
        <f t="shared" si="1"/>
        <v>2.5</v>
      </c>
    </row>
    <row r="59" customFormat="1" spans="1:19">
      <c r="A59" s="28">
        <v>57</v>
      </c>
      <c r="B59" s="28" t="s">
        <v>1395</v>
      </c>
      <c r="C59" s="28" t="s">
        <v>1387</v>
      </c>
      <c r="D59" s="28" t="s">
        <v>1396</v>
      </c>
      <c r="E59" s="28" t="s">
        <v>441</v>
      </c>
      <c r="F59" s="28" t="s">
        <v>444</v>
      </c>
      <c r="G59" s="28">
        <v>28</v>
      </c>
      <c r="H59" s="28" t="s">
        <v>1293</v>
      </c>
      <c r="I59" s="28" t="s">
        <v>66</v>
      </c>
      <c r="J59" s="28">
        <v>0.3</v>
      </c>
      <c r="K59" s="28">
        <v>0.05</v>
      </c>
      <c r="L59" s="28" t="s">
        <v>1299</v>
      </c>
      <c r="M59" s="28" t="s">
        <v>1306</v>
      </c>
      <c r="N59" s="28" t="s">
        <v>66</v>
      </c>
      <c r="O59" s="28">
        <v>0.12</v>
      </c>
      <c r="P59" s="28">
        <v>0.0756</v>
      </c>
      <c r="Q59" s="28">
        <f>O59/P59</f>
        <v>1.58730158730159</v>
      </c>
      <c r="R59" s="45">
        <v>2.7</v>
      </c>
      <c r="S59" s="46">
        <f t="shared" si="1"/>
        <v>2.5</v>
      </c>
    </row>
    <row r="60" s="34" customFormat="1" spans="1:19">
      <c r="A60" s="28">
        <v>58</v>
      </c>
      <c r="B60" s="28" t="s">
        <v>1397</v>
      </c>
      <c r="C60" s="28" t="s">
        <v>1398</v>
      </c>
      <c r="D60" s="28" t="s">
        <v>1399</v>
      </c>
      <c r="E60" s="28" t="s">
        <v>552</v>
      </c>
      <c r="F60" s="28" t="s">
        <v>553</v>
      </c>
      <c r="G60" s="28">
        <v>270</v>
      </c>
      <c r="H60" s="28" t="s">
        <v>1372</v>
      </c>
      <c r="I60" s="28" t="s">
        <v>66</v>
      </c>
      <c r="J60" s="28">
        <v>2.7</v>
      </c>
      <c r="K60" s="28">
        <v>0.1</v>
      </c>
      <c r="L60" s="28" t="s">
        <v>1299</v>
      </c>
      <c r="M60" s="28" t="s">
        <v>1306</v>
      </c>
      <c r="N60" s="28" t="s">
        <v>66</v>
      </c>
      <c r="O60" s="28">
        <v>1.35</v>
      </c>
      <c r="P60" s="28" t="s">
        <v>1296</v>
      </c>
      <c r="Q60" s="28" t="s">
        <v>1296</v>
      </c>
      <c r="R60" s="45" t="s">
        <v>1296</v>
      </c>
      <c r="S60" s="46">
        <f t="shared" si="1"/>
        <v>2</v>
      </c>
    </row>
    <row r="61" s="34" customFormat="1" spans="1:19">
      <c r="A61" s="28">
        <v>59</v>
      </c>
      <c r="B61" s="28" t="s">
        <v>1400</v>
      </c>
      <c r="C61" s="28" t="s">
        <v>1398</v>
      </c>
      <c r="D61" s="28" t="s">
        <v>1399</v>
      </c>
      <c r="E61" s="28" t="s">
        <v>552</v>
      </c>
      <c r="F61" s="28" t="s">
        <v>553</v>
      </c>
      <c r="G61" s="28">
        <v>28</v>
      </c>
      <c r="H61" s="28" t="s">
        <v>1293</v>
      </c>
      <c r="I61" s="28" t="s">
        <v>66</v>
      </c>
      <c r="J61" s="28">
        <v>0.196</v>
      </c>
      <c r="K61" s="28">
        <v>0.1</v>
      </c>
      <c r="L61" s="28" t="s">
        <v>1299</v>
      </c>
      <c r="M61" s="28" t="s">
        <v>1306</v>
      </c>
      <c r="N61" s="28" t="s">
        <v>66</v>
      </c>
      <c r="O61" s="28">
        <v>0.098</v>
      </c>
      <c r="P61" s="28" t="s">
        <v>1296</v>
      </c>
      <c r="Q61" s="28" t="s">
        <v>1296</v>
      </c>
      <c r="R61" s="45" t="s">
        <v>1296</v>
      </c>
      <c r="S61" s="46">
        <f t="shared" si="1"/>
        <v>2</v>
      </c>
    </row>
    <row r="62" s="34" customFormat="1" spans="1:19">
      <c r="A62" s="28">
        <v>60</v>
      </c>
      <c r="B62" s="28" t="s">
        <v>1401</v>
      </c>
      <c r="C62" s="28" t="s">
        <v>1398</v>
      </c>
      <c r="D62" s="28" t="s">
        <v>1402</v>
      </c>
      <c r="E62" s="28" t="s">
        <v>552</v>
      </c>
      <c r="F62" s="28" t="s">
        <v>555</v>
      </c>
      <c r="G62" s="28">
        <v>270</v>
      </c>
      <c r="H62" s="28" t="s">
        <v>1372</v>
      </c>
      <c r="I62" s="28" t="s">
        <v>66</v>
      </c>
      <c r="J62" s="28">
        <v>2.7</v>
      </c>
      <c r="K62" s="28">
        <v>0.1</v>
      </c>
      <c r="L62" s="28" t="s">
        <v>1299</v>
      </c>
      <c r="M62" s="28" t="s">
        <v>1306</v>
      </c>
      <c r="N62" s="28" t="s">
        <v>66</v>
      </c>
      <c r="O62" s="28">
        <v>1.35</v>
      </c>
      <c r="P62" s="28" t="s">
        <v>1296</v>
      </c>
      <c r="Q62" s="28" t="s">
        <v>1296</v>
      </c>
      <c r="R62" s="45" t="s">
        <v>1296</v>
      </c>
      <c r="S62" s="46">
        <f t="shared" si="1"/>
        <v>2</v>
      </c>
    </row>
    <row r="63" s="34" customFormat="1" spans="1:19">
      <c r="A63" s="28">
        <v>61</v>
      </c>
      <c r="B63" s="28" t="s">
        <v>1403</v>
      </c>
      <c r="C63" s="28" t="s">
        <v>1398</v>
      </c>
      <c r="D63" s="28" t="s">
        <v>1402</v>
      </c>
      <c r="E63" s="28" t="s">
        <v>552</v>
      </c>
      <c r="F63" s="28" t="s">
        <v>555</v>
      </c>
      <c r="G63" s="28">
        <v>28</v>
      </c>
      <c r="H63" s="28" t="s">
        <v>1293</v>
      </c>
      <c r="I63" s="28" t="s">
        <v>66</v>
      </c>
      <c r="J63" s="28">
        <v>0.196</v>
      </c>
      <c r="K63" s="28">
        <v>0.1</v>
      </c>
      <c r="L63" s="28" t="s">
        <v>1299</v>
      </c>
      <c r="M63" s="28" t="s">
        <v>1306</v>
      </c>
      <c r="N63" s="28" t="s">
        <v>66</v>
      </c>
      <c r="O63" s="28">
        <v>0.098</v>
      </c>
      <c r="P63" s="28" t="s">
        <v>1296</v>
      </c>
      <c r="Q63" s="28" t="s">
        <v>1296</v>
      </c>
      <c r="R63" s="45" t="s">
        <v>1296</v>
      </c>
      <c r="S63" s="46">
        <f t="shared" si="1"/>
        <v>2</v>
      </c>
    </row>
    <row r="64" s="34" customFormat="1" spans="1:19">
      <c r="A64" s="28">
        <v>62</v>
      </c>
      <c r="B64" s="28" t="s">
        <v>1404</v>
      </c>
      <c r="C64" s="28" t="s">
        <v>1398</v>
      </c>
      <c r="D64" s="28" t="s">
        <v>1405</v>
      </c>
      <c r="E64" s="28" t="s">
        <v>557</v>
      </c>
      <c r="F64" s="28" t="s">
        <v>558</v>
      </c>
      <c r="G64" s="28">
        <v>270</v>
      </c>
      <c r="H64" s="28" t="s">
        <v>1372</v>
      </c>
      <c r="I64" s="28" t="s">
        <v>66</v>
      </c>
      <c r="J64" s="28">
        <v>2.7</v>
      </c>
      <c r="K64" s="28">
        <v>0.1</v>
      </c>
      <c r="L64" s="28" t="s">
        <v>1299</v>
      </c>
      <c r="M64" s="28" t="s">
        <v>1306</v>
      </c>
      <c r="N64" s="28" t="s">
        <v>66</v>
      </c>
      <c r="O64" s="28">
        <v>1.35</v>
      </c>
      <c r="P64" s="28" t="s">
        <v>1296</v>
      </c>
      <c r="Q64" s="28" t="s">
        <v>1296</v>
      </c>
      <c r="R64" s="45" t="s">
        <v>1296</v>
      </c>
      <c r="S64" s="46">
        <f t="shared" si="1"/>
        <v>2</v>
      </c>
    </row>
    <row r="65" s="34" customFormat="1" spans="1:19">
      <c r="A65" s="28">
        <v>63</v>
      </c>
      <c r="B65" s="28" t="s">
        <v>1406</v>
      </c>
      <c r="C65" s="28" t="s">
        <v>1398</v>
      </c>
      <c r="D65" s="28" t="s">
        <v>1405</v>
      </c>
      <c r="E65" s="28" t="s">
        <v>557</v>
      </c>
      <c r="F65" s="28" t="s">
        <v>558</v>
      </c>
      <c r="G65" s="28">
        <v>28</v>
      </c>
      <c r="H65" s="28" t="s">
        <v>1293</v>
      </c>
      <c r="I65" s="28" t="s">
        <v>66</v>
      </c>
      <c r="J65" s="28">
        <v>0.196</v>
      </c>
      <c r="K65" s="28">
        <v>0.1</v>
      </c>
      <c r="L65" s="28" t="s">
        <v>1299</v>
      </c>
      <c r="M65" s="28" t="s">
        <v>1306</v>
      </c>
      <c r="N65" s="28" t="s">
        <v>66</v>
      </c>
      <c r="O65" s="28">
        <v>0.098</v>
      </c>
      <c r="P65" s="28" t="s">
        <v>1296</v>
      </c>
      <c r="Q65" s="28" t="s">
        <v>1296</v>
      </c>
      <c r="R65" s="45" t="s">
        <v>1296</v>
      </c>
      <c r="S65" s="46">
        <f t="shared" si="1"/>
        <v>2</v>
      </c>
    </row>
    <row r="66" customFormat="1" spans="1:19">
      <c r="A66" s="28">
        <v>64</v>
      </c>
      <c r="B66" s="28" t="s">
        <v>1407</v>
      </c>
      <c r="C66" s="28" t="s">
        <v>1398</v>
      </c>
      <c r="D66" s="28" t="s">
        <v>584</v>
      </c>
      <c r="E66" s="28" t="s">
        <v>585</v>
      </c>
      <c r="F66" s="28" t="s">
        <v>586</v>
      </c>
      <c r="G66" s="28">
        <v>28</v>
      </c>
      <c r="H66" s="28" t="s">
        <v>1293</v>
      </c>
      <c r="I66" s="28" t="s">
        <v>66</v>
      </c>
      <c r="J66" s="28">
        <v>0.2</v>
      </c>
      <c r="K66" s="28">
        <v>0.05</v>
      </c>
      <c r="L66" s="28" t="s">
        <v>1299</v>
      </c>
      <c r="M66" s="28" t="s">
        <v>1306</v>
      </c>
      <c r="N66" s="28" t="s">
        <v>66</v>
      </c>
      <c r="O66" s="28">
        <v>0.04</v>
      </c>
      <c r="P66" s="28">
        <v>0.0252</v>
      </c>
      <c r="Q66" s="28">
        <f t="shared" ref="Q66:Q75" si="2">O66/P66</f>
        <v>1.58730158730159</v>
      </c>
      <c r="R66" s="45">
        <v>0.9</v>
      </c>
      <c r="S66" s="46">
        <f t="shared" si="1"/>
        <v>5</v>
      </c>
    </row>
    <row r="67" customFormat="1" spans="1:19">
      <c r="A67" s="28">
        <v>65</v>
      </c>
      <c r="B67" s="28" t="s">
        <v>1408</v>
      </c>
      <c r="C67" s="28" t="s">
        <v>1398</v>
      </c>
      <c r="D67" s="28" t="s">
        <v>587</v>
      </c>
      <c r="E67" s="28" t="s">
        <v>588</v>
      </c>
      <c r="F67" s="28" t="s">
        <v>589</v>
      </c>
      <c r="G67" s="28">
        <v>28</v>
      </c>
      <c r="H67" s="28" t="s">
        <v>1293</v>
      </c>
      <c r="I67" s="28" t="s">
        <v>66</v>
      </c>
      <c r="J67" s="28">
        <v>0.1</v>
      </c>
      <c r="K67" s="28">
        <v>0.05</v>
      </c>
      <c r="L67" s="28" t="s">
        <v>1299</v>
      </c>
      <c r="M67" s="28" t="s">
        <v>1306</v>
      </c>
      <c r="N67" s="28" t="s">
        <v>66</v>
      </c>
      <c r="O67" s="28">
        <v>0.022</v>
      </c>
      <c r="P67" s="28">
        <v>0.014</v>
      </c>
      <c r="Q67" s="28">
        <f t="shared" si="2"/>
        <v>1.57142857142857</v>
      </c>
      <c r="R67" s="45">
        <v>0.5</v>
      </c>
      <c r="S67" s="46">
        <f t="shared" si="1"/>
        <v>4.54545454545455</v>
      </c>
    </row>
    <row r="68" customFormat="1" spans="1:19">
      <c r="A68" s="28">
        <v>66</v>
      </c>
      <c r="B68" s="28" t="s">
        <v>1409</v>
      </c>
      <c r="C68" s="28" t="s">
        <v>1398</v>
      </c>
      <c r="D68" s="28" t="s">
        <v>1410</v>
      </c>
      <c r="E68" s="28" t="s">
        <v>591</v>
      </c>
      <c r="F68" s="28" t="s">
        <v>592</v>
      </c>
      <c r="G68" s="28">
        <v>270</v>
      </c>
      <c r="H68" s="28" t="s">
        <v>1372</v>
      </c>
      <c r="I68" s="28" t="s">
        <v>66</v>
      </c>
      <c r="J68" s="28">
        <v>1.8</v>
      </c>
      <c r="K68" s="28">
        <v>0.2</v>
      </c>
      <c r="L68" s="28" t="s">
        <v>1299</v>
      </c>
      <c r="M68" s="28" t="s">
        <v>1306</v>
      </c>
      <c r="N68" s="28" t="s">
        <v>66</v>
      </c>
      <c r="O68" s="28">
        <v>1.2</v>
      </c>
      <c r="P68" s="28">
        <v>0.81</v>
      </c>
      <c r="Q68" s="28">
        <f t="shared" si="2"/>
        <v>1.48148148148148</v>
      </c>
      <c r="R68" s="45">
        <v>3</v>
      </c>
      <c r="S68" s="46">
        <f t="shared" si="1"/>
        <v>1.5</v>
      </c>
    </row>
    <row r="69" customFormat="1" spans="1:19">
      <c r="A69" s="28">
        <v>67</v>
      </c>
      <c r="B69" s="28" t="s">
        <v>1411</v>
      </c>
      <c r="C69" s="28" t="s">
        <v>1398</v>
      </c>
      <c r="D69" s="28" t="s">
        <v>1410</v>
      </c>
      <c r="E69" s="28" t="s">
        <v>591</v>
      </c>
      <c r="F69" s="28" t="s">
        <v>592</v>
      </c>
      <c r="G69" s="28">
        <v>28</v>
      </c>
      <c r="H69" s="28" t="s">
        <v>1293</v>
      </c>
      <c r="I69" s="28" t="s">
        <v>66</v>
      </c>
      <c r="J69" s="28">
        <v>0.152</v>
      </c>
      <c r="K69" s="28">
        <v>20</v>
      </c>
      <c r="L69" s="28" t="s">
        <v>1299</v>
      </c>
      <c r="M69" s="28" t="s">
        <v>1306</v>
      </c>
      <c r="N69" s="28" t="s">
        <v>66</v>
      </c>
      <c r="O69" s="28">
        <v>0.042</v>
      </c>
      <c r="P69" s="28">
        <v>0.028</v>
      </c>
      <c r="Q69" s="28">
        <f t="shared" si="2"/>
        <v>1.5</v>
      </c>
      <c r="R69" s="45">
        <v>1</v>
      </c>
      <c r="S69" s="46">
        <f t="shared" si="1"/>
        <v>3.61904761904762</v>
      </c>
    </row>
    <row r="70" customFormat="1" spans="1:19">
      <c r="A70" s="28">
        <v>68</v>
      </c>
      <c r="B70" s="28" t="s">
        <v>1412</v>
      </c>
      <c r="C70" s="28" t="s">
        <v>1398</v>
      </c>
      <c r="D70" s="28" t="s">
        <v>1413</v>
      </c>
      <c r="E70" s="28" t="s">
        <v>591</v>
      </c>
      <c r="F70" s="28" t="s">
        <v>594</v>
      </c>
      <c r="G70" s="28">
        <v>270</v>
      </c>
      <c r="H70" s="28" t="s">
        <v>1372</v>
      </c>
      <c r="I70" s="28" t="s">
        <v>66</v>
      </c>
      <c r="J70" s="28">
        <v>1.8</v>
      </c>
      <c r="K70" s="28">
        <v>0.2</v>
      </c>
      <c r="L70" s="28" t="s">
        <v>1299</v>
      </c>
      <c r="M70" s="28" t="s">
        <v>1306</v>
      </c>
      <c r="N70" s="28" t="s">
        <v>66</v>
      </c>
      <c r="O70" s="28">
        <v>1.2</v>
      </c>
      <c r="P70" s="28">
        <v>0.81</v>
      </c>
      <c r="Q70" s="28">
        <f t="shared" si="2"/>
        <v>1.48148148148148</v>
      </c>
      <c r="R70" s="45">
        <v>3</v>
      </c>
      <c r="S70" s="46">
        <f t="shared" ref="S70:S133" si="3">J70/O70</f>
        <v>1.5</v>
      </c>
    </row>
    <row r="71" customFormat="1" spans="1:19">
      <c r="A71" s="28">
        <v>69</v>
      </c>
      <c r="B71" s="28" t="s">
        <v>1414</v>
      </c>
      <c r="C71" s="28" t="s">
        <v>1398</v>
      </c>
      <c r="D71" s="28" t="s">
        <v>1413</v>
      </c>
      <c r="E71" s="28" t="s">
        <v>591</v>
      </c>
      <c r="F71" s="28" t="s">
        <v>594</v>
      </c>
      <c r="G71" s="28">
        <v>28</v>
      </c>
      <c r="H71" s="28" t="s">
        <v>1293</v>
      </c>
      <c r="I71" s="28" t="s">
        <v>66</v>
      </c>
      <c r="J71" s="28">
        <v>0.152</v>
      </c>
      <c r="K71" s="28">
        <v>20</v>
      </c>
      <c r="L71" s="28" t="s">
        <v>1299</v>
      </c>
      <c r="M71" s="28" t="s">
        <v>1306</v>
      </c>
      <c r="N71" s="28" t="s">
        <v>66</v>
      </c>
      <c r="O71" s="28">
        <v>0.042</v>
      </c>
      <c r="P71" s="28">
        <v>0.028</v>
      </c>
      <c r="Q71" s="28">
        <f t="shared" si="2"/>
        <v>1.5</v>
      </c>
      <c r="R71" s="45">
        <v>1</v>
      </c>
      <c r="S71" s="46">
        <f t="shared" si="3"/>
        <v>3.61904761904762</v>
      </c>
    </row>
    <row r="72" customFormat="1" spans="1:19">
      <c r="A72" s="28">
        <v>70</v>
      </c>
      <c r="B72" s="28" t="s">
        <v>1415</v>
      </c>
      <c r="C72" s="28" t="s">
        <v>1398</v>
      </c>
      <c r="D72" s="28" t="s">
        <v>1416</v>
      </c>
      <c r="E72" s="28" t="s">
        <v>591</v>
      </c>
      <c r="F72" s="28" t="s">
        <v>596</v>
      </c>
      <c r="G72" s="28">
        <v>270</v>
      </c>
      <c r="H72" s="28" t="s">
        <v>1372</v>
      </c>
      <c r="I72" s="28" t="s">
        <v>66</v>
      </c>
      <c r="J72" s="28">
        <v>1.8</v>
      </c>
      <c r="K72" s="28">
        <v>0.2</v>
      </c>
      <c r="L72" s="28" t="s">
        <v>1299</v>
      </c>
      <c r="M72" s="28" t="s">
        <v>1306</v>
      </c>
      <c r="N72" s="28" t="s">
        <v>66</v>
      </c>
      <c r="O72" s="28">
        <v>1.2</v>
      </c>
      <c r="P72" s="28">
        <v>0.81</v>
      </c>
      <c r="Q72" s="28">
        <f t="shared" si="2"/>
        <v>1.48148148148148</v>
      </c>
      <c r="R72" s="45">
        <v>3</v>
      </c>
      <c r="S72" s="46">
        <f t="shared" si="3"/>
        <v>1.5</v>
      </c>
    </row>
    <row r="73" customFormat="1" spans="1:19">
      <c r="A73" s="28">
        <v>71</v>
      </c>
      <c r="B73" s="28" t="s">
        <v>1417</v>
      </c>
      <c r="C73" s="28" t="s">
        <v>1398</v>
      </c>
      <c r="D73" s="28" t="s">
        <v>1416</v>
      </c>
      <c r="E73" s="28" t="s">
        <v>591</v>
      </c>
      <c r="F73" s="28" t="s">
        <v>596</v>
      </c>
      <c r="G73" s="28">
        <v>28</v>
      </c>
      <c r="H73" s="28" t="s">
        <v>1293</v>
      </c>
      <c r="I73" s="28" t="s">
        <v>66</v>
      </c>
      <c r="J73" s="28">
        <v>0.152</v>
      </c>
      <c r="K73" s="28">
        <v>20</v>
      </c>
      <c r="L73" s="28" t="s">
        <v>1299</v>
      </c>
      <c r="M73" s="28" t="s">
        <v>1306</v>
      </c>
      <c r="N73" s="28" t="s">
        <v>66</v>
      </c>
      <c r="O73" s="28">
        <v>0.042</v>
      </c>
      <c r="P73" s="28">
        <v>0.028</v>
      </c>
      <c r="Q73" s="28">
        <f t="shared" si="2"/>
        <v>1.5</v>
      </c>
      <c r="R73" s="45">
        <v>1</v>
      </c>
      <c r="S73" s="46">
        <f t="shared" si="3"/>
        <v>3.61904761904762</v>
      </c>
    </row>
    <row r="74" customFormat="1" spans="1:19">
      <c r="A74" s="28">
        <v>72</v>
      </c>
      <c r="B74" s="28" t="s">
        <v>1418</v>
      </c>
      <c r="C74" s="28" t="s">
        <v>1398</v>
      </c>
      <c r="D74" s="28" t="s">
        <v>1419</v>
      </c>
      <c r="E74" s="28" t="s">
        <v>591</v>
      </c>
      <c r="F74" s="28" t="s">
        <v>598</v>
      </c>
      <c r="G74" s="28">
        <v>270</v>
      </c>
      <c r="H74" s="28" t="s">
        <v>1372</v>
      </c>
      <c r="I74" s="28" t="s">
        <v>66</v>
      </c>
      <c r="J74" s="28">
        <v>1.8</v>
      </c>
      <c r="K74" s="28">
        <v>0.2</v>
      </c>
      <c r="L74" s="28" t="s">
        <v>1299</v>
      </c>
      <c r="M74" s="28" t="s">
        <v>1306</v>
      </c>
      <c r="N74" s="28" t="s">
        <v>66</v>
      </c>
      <c r="O74" s="28">
        <v>1.2</v>
      </c>
      <c r="P74" s="28">
        <v>0.81</v>
      </c>
      <c r="Q74" s="28">
        <f t="shared" si="2"/>
        <v>1.48148148148148</v>
      </c>
      <c r="R74" s="45">
        <v>3</v>
      </c>
      <c r="S74" s="46">
        <f t="shared" si="3"/>
        <v>1.5</v>
      </c>
    </row>
    <row r="75" customFormat="1" spans="1:19">
      <c r="A75" s="28">
        <v>73</v>
      </c>
      <c r="B75" s="28" t="s">
        <v>1420</v>
      </c>
      <c r="C75" s="28" t="s">
        <v>1398</v>
      </c>
      <c r="D75" s="28" t="s">
        <v>1419</v>
      </c>
      <c r="E75" s="28" t="s">
        <v>591</v>
      </c>
      <c r="F75" s="28" t="s">
        <v>598</v>
      </c>
      <c r="G75" s="28">
        <v>28</v>
      </c>
      <c r="H75" s="28" t="s">
        <v>1293</v>
      </c>
      <c r="I75" s="28" t="s">
        <v>66</v>
      </c>
      <c r="J75" s="28">
        <v>0.152</v>
      </c>
      <c r="K75" s="28">
        <v>20</v>
      </c>
      <c r="L75" s="28" t="s">
        <v>1299</v>
      </c>
      <c r="M75" s="28" t="s">
        <v>1306</v>
      </c>
      <c r="N75" s="28" t="s">
        <v>66</v>
      </c>
      <c r="O75" s="28">
        <v>0.042</v>
      </c>
      <c r="P75" s="28">
        <v>0.028</v>
      </c>
      <c r="Q75" s="28">
        <f t="shared" si="2"/>
        <v>1.5</v>
      </c>
      <c r="R75" s="45">
        <v>1</v>
      </c>
      <c r="S75" s="46">
        <f t="shared" si="3"/>
        <v>3.61904761904762</v>
      </c>
    </row>
    <row r="76" s="34" customFormat="1" spans="1:19">
      <c r="A76" s="28">
        <v>74</v>
      </c>
      <c r="B76" s="28" t="s">
        <v>1421</v>
      </c>
      <c r="C76" s="28" t="s">
        <v>1398</v>
      </c>
      <c r="D76" s="28" t="s">
        <v>669</v>
      </c>
      <c r="E76" s="28" t="s">
        <v>670</v>
      </c>
      <c r="F76" s="28" t="s">
        <v>671</v>
      </c>
      <c r="G76" s="28">
        <v>270</v>
      </c>
      <c r="H76" s="28" t="s">
        <v>1372</v>
      </c>
      <c r="I76" s="28" t="s">
        <v>66</v>
      </c>
      <c r="J76" s="28">
        <v>2.7</v>
      </c>
      <c r="K76" s="28">
        <v>0.05</v>
      </c>
      <c r="L76" s="28" t="s">
        <v>1299</v>
      </c>
      <c r="M76" s="28" t="s">
        <v>1306</v>
      </c>
      <c r="N76" s="28" t="s">
        <v>66</v>
      </c>
      <c r="O76" s="28">
        <v>0.58</v>
      </c>
      <c r="P76" s="28" t="s">
        <v>1296</v>
      </c>
      <c r="Q76" s="28" t="s">
        <v>1296</v>
      </c>
      <c r="R76" s="45" t="s">
        <v>1296</v>
      </c>
      <c r="S76" s="46">
        <f t="shared" si="3"/>
        <v>4.6551724137931</v>
      </c>
    </row>
    <row r="77" customFormat="1" spans="1:19">
      <c r="A77" s="28">
        <v>75</v>
      </c>
      <c r="B77" s="28" t="s">
        <v>1422</v>
      </c>
      <c r="C77" s="28" t="s">
        <v>1398</v>
      </c>
      <c r="D77" s="28" t="s">
        <v>669</v>
      </c>
      <c r="E77" s="28" t="s">
        <v>670</v>
      </c>
      <c r="F77" s="28" t="s">
        <v>671</v>
      </c>
      <c r="G77" s="28">
        <v>28</v>
      </c>
      <c r="H77" s="28" t="s">
        <v>1293</v>
      </c>
      <c r="I77" s="28" t="s">
        <v>66</v>
      </c>
      <c r="J77" s="28">
        <v>0.2</v>
      </c>
      <c r="K77" s="28">
        <v>0.1</v>
      </c>
      <c r="L77" s="28" t="s">
        <v>1299</v>
      </c>
      <c r="M77" s="28" t="s">
        <v>1306</v>
      </c>
      <c r="N77" s="28" t="s">
        <v>66</v>
      </c>
      <c r="O77" s="28">
        <v>0.04</v>
      </c>
      <c r="P77" s="28">
        <v>0.0224</v>
      </c>
      <c r="Q77" s="28">
        <f>O77/P77</f>
        <v>1.78571428571429</v>
      </c>
      <c r="R77" s="45">
        <v>0.8</v>
      </c>
      <c r="S77" s="46">
        <f t="shared" si="3"/>
        <v>5</v>
      </c>
    </row>
    <row r="78" customFormat="1" spans="1:19">
      <c r="A78" s="28">
        <v>76</v>
      </c>
      <c r="B78" s="28" t="s">
        <v>1423</v>
      </c>
      <c r="C78" s="28" t="s">
        <v>1398</v>
      </c>
      <c r="D78" s="28" t="s">
        <v>1424</v>
      </c>
      <c r="E78" s="28" t="s">
        <v>684</v>
      </c>
      <c r="F78" s="28" t="s">
        <v>685</v>
      </c>
      <c r="G78" s="28">
        <v>28</v>
      </c>
      <c r="H78" s="28" t="s">
        <v>1293</v>
      </c>
      <c r="I78" s="28" t="s">
        <v>66</v>
      </c>
      <c r="J78" s="28">
        <v>0.3</v>
      </c>
      <c r="K78" s="28">
        <v>0.1</v>
      </c>
      <c r="L78" s="28" t="s">
        <v>1299</v>
      </c>
      <c r="M78" s="28" t="s">
        <v>1306</v>
      </c>
      <c r="N78" s="28" t="s">
        <v>66</v>
      </c>
      <c r="O78" s="28">
        <v>0.04</v>
      </c>
      <c r="P78" s="28">
        <v>0.0168</v>
      </c>
      <c r="Q78" s="28">
        <f>O78/P78</f>
        <v>2.38095238095238</v>
      </c>
      <c r="R78" s="45">
        <v>0.6</v>
      </c>
      <c r="S78" s="46">
        <f t="shared" si="3"/>
        <v>7.5</v>
      </c>
    </row>
    <row r="79" customFormat="1" spans="1:19">
      <c r="A79" s="28">
        <v>77</v>
      </c>
      <c r="B79" s="28" t="s">
        <v>1425</v>
      </c>
      <c r="C79" s="28" t="s">
        <v>1398</v>
      </c>
      <c r="D79" s="28" t="s">
        <v>1426</v>
      </c>
      <c r="E79" s="28" t="s">
        <v>684</v>
      </c>
      <c r="F79" s="28" t="s">
        <v>687</v>
      </c>
      <c r="G79" s="28">
        <v>28</v>
      </c>
      <c r="H79" s="28" t="s">
        <v>1293</v>
      </c>
      <c r="I79" s="28" t="s">
        <v>66</v>
      </c>
      <c r="J79" s="28">
        <v>0.3</v>
      </c>
      <c r="K79" s="28">
        <v>0.1</v>
      </c>
      <c r="L79" s="28" t="s">
        <v>1299</v>
      </c>
      <c r="M79" s="28" t="s">
        <v>1306</v>
      </c>
      <c r="N79" s="28" t="s">
        <v>66</v>
      </c>
      <c r="O79" s="28">
        <v>0.04</v>
      </c>
      <c r="P79" s="28">
        <v>0.0168</v>
      </c>
      <c r="Q79" s="28">
        <f>O79/P79</f>
        <v>2.38095238095238</v>
      </c>
      <c r="R79" s="45">
        <v>0.6</v>
      </c>
      <c r="S79" s="46">
        <f t="shared" si="3"/>
        <v>7.5</v>
      </c>
    </row>
    <row r="80" s="34" customFormat="1" spans="1:19">
      <c r="A80" s="28">
        <v>78</v>
      </c>
      <c r="B80" s="28" t="s">
        <v>1427</v>
      </c>
      <c r="C80" s="28" t="s">
        <v>1428</v>
      </c>
      <c r="D80" s="28" t="s">
        <v>691</v>
      </c>
      <c r="E80" s="28" t="s">
        <v>692</v>
      </c>
      <c r="F80" s="28" t="s">
        <v>693</v>
      </c>
      <c r="G80" s="28">
        <v>28</v>
      </c>
      <c r="H80" s="28" t="s">
        <v>1293</v>
      </c>
      <c r="I80" s="28" t="s">
        <v>66</v>
      </c>
      <c r="J80" s="28">
        <v>0.05</v>
      </c>
      <c r="K80" s="28">
        <v>0.05</v>
      </c>
      <c r="L80" s="28" t="s">
        <v>1294</v>
      </c>
      <c r="M80" s="28" t="s">
        <v>1295</v>
      </c>
      <c r="N80" s="28" t="s">
        <v>66</v>
      </c>
      <c r="O80" s="28">
        <v>0.01</v>
      </c>
      <c r="P80" s="28" t="s">
        <v>1296</v>
      </c>
      <c r="Q80" s="28" t="s">
        <v>1296</v>
      </c>
      <c r="R80" s="45" t="s">
        <v>1296</v>
      </c>
      <c r="S80" s="46">
        <f t="shared" si="3"/>
        <v>5</v>
      </c>
    </row>
    <row r="81" s="34" customFormat="1" spans="1:19">
      <c r="A81" s="28">
        <v>79</v>
      </c>
      <c r="B81" s="28" t="s">
        <v>1429</v>
      </c>
      <c r="C81" s="28" t="s">
        <v>1428</v>
      </c>
      <c r="D81" s="28" t="s">
        <v>1430</v>
      </c>
      <c r="E81" s="28" t="s">
        <v>695</v>
      </c>
      <c r="F81" s="28" t="s">
        <v>696</v>
      </c>
      <c r="G81" s="28">
        <v>28</v>
      </c>
      <c r="H81" s="28" t="s">
        <v>1293</v>
      </c>
      <c r="I81" s="28" t="s">
        <v>66</v>
      </c>
      <c r="J81" s="28">
        <v>0.015</v>
      </c>
      <c r="K81" s="28">
        <v>0.05</v>
      </c>
      <c r="L81" s="28" t="s">
        <v>1294</v>
      </c>
      <c r="M81" s="28" t="s">
        <v>1295</v>
      </c>
      <c r="N81" s="28" t="s">
        <v>61</v>
      </c>
      <c r="O81" s="28">
        <v>0.003</v>
      </c>
      <c r="P81" s="28" t="s">
        <v>1296</v>
      </c>
      <c r="Q81" s="28" t="s">
        <v>1296</v>
      </c>
      <c r="R81" s="45" t="s">
        <v>1296</v>
      </c>
      <c r="S81" s="46">
        <f t="shared" si="3"/>
        <v>5</v>
      </c>
    </row>
    <row r="82" s="34" customFormat="1" spans="1:19">
      <c r="A82" s="28">
        <v>80</v>
      </c>
      <c r="B82" s="28" t="s">
        <v>1431</v>
      </c>
      <c r="C82" s="28" t="s">
        <v>1428</v>
      </c>
      <c r="D82" s="28" t="s">
        <v>1432</v>
      </c>
      <c r="E82" s="28" t="s">
        <v>695</v>
      </c>
      <c r="F82" s="28" t="s">
        <v>698</v>
      </c>
      <c r="G82" s="28">
        <v>28</v>
      </c>
      <c r="H82" s="28" t="s">
        <v>1293</v>
      </c>
      <c r="I82" s="28" t="s">
        <v>66</v>
      </c>
      <c r="J82" s="28">
        <v>0.015</v>
      </c>
      <c r="K82" s="28">
        <v>0.05</v>
      </c>
      <c r="L82" s="28" t="s">
        <v>1294</v>
      </c>
      <c r="M82" s="28" t="s">
        <v>1295</v>
      </c>
      <c r="N82" s="28" t="s">
        <v>61</v>
      </c>
      <c r="O82" s="28">
        <v>0.003</v>
      </c>
      <c r="P82" s="28" t="s">
        <v>1296</v>
      </c>
      <c r="Q82" s="28" t="s">
        <v>1296</v>
      </c>
      <c r="R82" s="45" t="s">
        <v>1296</v>
      </c>
      <c r="S82" s="46">
        <f t="shared" si="3"/>
        <v>5</v>
      </c>
    </row>
    <row r="83" s="34" customFormat="1" spans="1:19">
      <c r="A83" s="28">
        <v>81</v>
      </c>
      <c r="B83" s="28" t="s">
        <v>1433</v>
      </c>
      <c r="C83" s="28" t="s">
        <v>1428</v>
      </c>
      <c r="D83" s="28" t="s">
        <v>1434</v>
      </c>
      <c r="E83" s="28" t="s">
        <v>700</v>
      </c>
      <c r="F83" s="28" t="s">
        <v>701</v>
      </c>
      <c r="G83" s="28">
        <v>28</v>
      </c>
      <c r="H83" s="28" t="s">
        <v>1293</v>
      </c>
      <c r="I83" s="28" t="s">
        <v>66</v>
      </c>
      <c r="J83" s="28">
        <v>0.015</v>
      </c>
      <c r="K83" s="28">
        <v>0.05</v>
      </c>
      <c r="L83" s="28" t="s">
        <v>1294</v>
      </c>
      <c r="M83" s="28" t="s">
        <v>1295</v>
      </c>
      <c r="N83" s="28" t="s">
        <v>61</v>
      </c>
      <c r="O83" s="28">
        <v>0.003</v>
      </c>
      <c r="P83" s="28" t="s">
        <v>1296</v>
      </c>
      <c r="Q83" s="28" t="s">
        <v>1296</v>
      </c>
      <c r="R83" s="45" t="s">
        <v>1296</v>
      </c>
      <c r="S83" s="46">
        <f t="shared" si="3"/>
        <v>5</v>
      </c>
    </row>
    <row r="84" s="34" customFormat="1" spans="1:19">
      <c r="A84" s="28">
        <v>82</v>
      </c>
      <c r="B84" s="28" t="s">
        <v>1435</v>
      </c>
      <c r="C84" s="28" t="s">
        <v>1428</v>
      </c>
      <c r="D84" s="28" t="s">
        <v>1436</v>
      </c>
      <c r="E84" s="28" t="s">
        <v>700</v>
      </c>
      <c r="F84" s="28" t="s">
        <v>703</v>
      </c>
      <c r="G84" s="28">
        <v>28</v>
      </c>
      <c r="H84" s="28" t="s">
        <v>1293</v>
      </c>
      <c r="I84" s="28" t="s">
        <v>66</v>
      </c>
      <c r="J84" s="28">
        <v>0.015</v>
      </c>
      <c r="K84" s="28">
        <v>0.05</v>
      </c>
      <c r="L84" s="28" t="s">
        <v>1294</v>
      </c>
      <c r="M84" s="28" t="s">
        <v>1295</v>
      </c>
      <c r="N84" s="28" t="s">
        <v>61</v>
      </c>
      <c r="O84" s="28">
        <v>0.003</v>
      </c>
      <c r="P84" s="28" t="s">
        <v>1296</v>
      </c>
      <c r="Q84" s="28" t="s">
        <v>1296</v>
      </c>
      <c r="R84" s="45" t="s">
        <v>1296</v>
      </c>
      <c r="S84" s="46">
        <f t="shared" si="3"/>
        <v>5</v>
      </c>
    </row>
    <row r="85" s="34" customFormat="1" spans="1:19">
      <c r="A85" s="28">
        <v>83</v>
      </c>
      <c r="B85" s="28" t="s">
        <v>1437</v>
      </c>
      <c r="C85" s="28" t="s">
        <v>1428</v>
      </c>
      <c r="D85" s="28" t="s">
        <v>1438</v>
      </c>
      <c r="E85" s="28" t="s">
        <v>705</v>
      </c>
      <c r="F85" s="28" t="s">
        <v>706</v>
      </c>
      <c r="G85" s="28">
        <v>28</v>
      </c>
      <c r="H85" s="28" t="s">
        <v>1293</v>
      </c>
      <c r="I85" s="28" t="s">
        <v>66</v>
      </c>
      <c r="J85" s="28">
        <v>0.015</v>
      </c>
      <c r="K85" s="28">
        <v>0.05</v>
      </c>
      <c r="L85" s="28" t="s">
        <v>1294</v>
      </c>
      <c r="M85" s="28" t="s">
        <v>1295</v>
      </c>
      <c r="N85" s="28" t="s">
        <v>66</v>
      </c>
      <c r="O85" s="28">
        <v>0.003</v>
      </c>
      <c r="P85" s="28" t="s">
        <v>1296</v>
      </c>
      <c r="Q85" s="28" t="s">
        <v>1296</v>
      </c>
      <c r="R85" s="45" t="s">
        <v>1296</v>
      </c>
      <c r="S85" s="46">
        <f t="shared" si="3"/>
        <v>5</v>
      </c>
    </row>
    <row r="86" s="34" customFormat="1" spans="1:19">
      <c r="A86" s="28">
        <v>84</v>
      </c>
      <c r="B86" s="28" t="s">
        <v>1439</v>
      </c>
      <c r="C86" s="28" t="s">
        <v>1428</v>
      </c>
      <c r="D86" s="28" t="s">
        <v>1440</v>
      </c>
      <c r="E86" s="28" t="s">
        <v>705</v>
      </c>
      <c r="F86" s="28" t="s">
        <v>708</v>
      </c>
      <c r="G86" s="28">
        <v>28</v>
      </c>
      <c r="H86" s="28" t="s">
        <v>1293</v>
      </c>
      <c r="I86" s="28" t="s">
        <v>66</v>
      </c>
      <c r="J86" s="28">
        <v>0.015</v>
      </c>
      <c r="K86" s="28">
        <v>0.05</v>
      </c>
      <c r="L86" s="28" t="s">
        <v>1294</v>
      </c>
      <c r="M86" s="28" t="s">
        <v>1295</v>
      </c>
      <c r="N86" s="28" t="s">
        <v>61</v>
      </c>
      <c r="O86" s="28">
        <v>0.003</v>
      </c>
      <c r="P86" s="28" t="s">
        <v>1296</v>
      </c>
      <c r="Q86" s="28" t="s">
        <v>1296</v>
      </c>
      <c r="R86" s="45" t="s">
        <v>1296</v>
      </c>
      <c r="S86" s="46">
        <f t="shared" si="3"/>
        <v>5</v>
      </c>
    </row>
    <row r="87" s="34" customFormat="1" spans="1:19">
      <c r="A87" s="28">
        <v>85</v>
      </c>
      <c r="B87" s="28" t="s">
        <v>1441</v>
      </c>
      <c r="C87" s="28" t="s">
        <v>1428</v>
      </c>
      <c r="D87" s="28" t="s">
        <v>709</v>
      </c>
      <c r="E87" s="28" t="s">
        <v>710</v>
      </c>
      <c r="F87" s="28" t="s">
        <v>711</v>
      </c>
      <c r="G87" s="28">
        <v>28</v>
      </c>
      <c r="H87" s="28" t="s">
        <v>1293</v>
      </c>
      <c r="I87" s="28" t="s">
        <v>66</v>
      </c>
      <c r="J87" s="28">
        <v>0.15</v>
      </c>
      <c r="K87" s="28">
        <v>0.05</v>
      </c>
      <c r="L87" s="28" t="s">
        <v>1299</v>
      </c>
      <c r="M87" s="28" t="s">
        <v>1295</v>
      </c>
      <c r="N87" s="28" t="s">
        <v>66</v>
      </c>
      <c r="O87" s="28">
        <v>0.03</v>
      </c>
      <c r="P87" s="28" t="s">
        <v>1296</v>
      </c>
      <c r="Q87" s="28" t="s">
        <v>1296</v>
      </c>
      <c r="R87" s="45" t="s">
        <v>1296</v>
      </c>
      <c r="S87" s="46">
        <f t="shared" si="3"/>
        <v>5</v>
      </c>
    </row>
    <row r="88" s="34" customFormat="1" spans="1:19">
      <c r="A88" s="28">
        <v>86</v>
      </c>
      <c r="B88" s="28" t="s">
        <v>1442</v>
      </c>
      <c r="C88" s="28" t="s">
        <v>1428</v>
      </c>
      <c r="D88" s="28" t="s">
        <v>1443</v>
      </c>
      <c r="E88" s="28" t="s">
        <v>714</v>
      </c>
      <c r="F88" s="28" t="s">
        <v>715</v>
      </c>
      <c r="G88" s="28">
        <v>28</v>
      </c>
      <c r="H88" s="28" t="s">
        <v>1293</v>
      </c>
      <c r="I88" s="28" t="s">
        <v>66</v>
      </c>
      <c r="J88" s="28">
        <v>0.02</v>
      </c>
      <c r="K88" s="28">
        <v>0.05</v>
      </c>
      <c r="L88" s="28" t="s">
        <v>1294</v>
      </c>
      <c r="M88" s="28" t="s">
        <v>1295</v>
      </c>
      <c r="N88" s="28" t="s">
        <v>61</v>
      </c>
      <c r="O88" s="28">
        <v>0.004</v>
      </c>
      <c r="P88" s="28" t="s">
        <v>1296</v>
      </c>
      <c r="Q88" s="28" t="s">
        <v>1296</v>
      </c>
      <c r="R88" s="45" t="s">
        <v>1296</v>
      </c>
      <c r="S88" s="46">
        <f t="shared" si="3"/>
        <v>5</v>
      </c>
    </row>
    <row r="89" s="34" customFormat="1" spans="1:19">
      <c r="A89" s="28">
        <v>87</v>
      </c>
      <c r="B89" s="28" t="s">
        <v>1444</v>
      </c>
      <c r="C89" s="28" t="s">
        <v>1428</v>
      </c>
      <c r="D89" s="28" t="s">
        <v>1445</v>
      </c>
      <c r="E89" s="28" t="s">
        <v>714</v>
      </c>
      <c r="F89" s="28" t="s">
        <v>717</v>
      </c>
      <c r="G89" s="28">
        <v>28</v>
      </c>
      <c r="H89" s="28" t="s">
        <v>1293</v>
      </c>
      <c r="I89" s="28" t="s">
        <v>66</v>
      </c>
      <c r="J89" s="28">
        <v>0.02</v>
      </c>
      <c r="K89" s="28">
        <v>0.05</v>
      </c>
      <c r="L89" s="28" t="s">
        <v>1294</v>
      </c>
      <c r="M89" s="28" t="s">
        <v>1295</v>
      </c>
      <c r="N89" s="28" t="s">
        <v>61</v>
      </c>
      <c r="O89" s="28">
        <v>0.004</v>
      </c>
      <c r="P89" s="28" t="s">
        <v>1296</v>
      </c>
      <c r="Q89" s="28" t="s">
        <v>1296</v>
      </c>
      <c r="R89" s="45" t="s">
        <v>1296</v>
      </c>
      <c r="S89" s="46">
        <f t="shared" si="3"/>
        <v>5</v>
      </c>
    </row>
    <row r="90" customFormat="1" spans="1:19">
      <c r="A90" s="28">
        <v>88</v>
      </c>
      <c r="B90" s="28" t="s">
        <v>1446</v>
      </c>
      <c r="C90" s="28" t="s">
        <v>1428</v>
      </c>
      <c r="D90" s="28" t="s">
        <v>718</v>
      </c>
      <c r="E90" s="28" t="s">
        <v>719</v>
      </c>
      <c r="F90" s="28" t="s">
        <v>720</v>
      </c>
      <c r="G90" s="28">
        <v>28</v>
      </c>
      <c r="H90" s="28" t="s">
        <v>1447</v>
      </c>
      <c r="I90" s="28" t="s">
        <v>66</v>
      </c>
      <c r="J90" s="28">
        <v>0.05</v>
      </c>
      <c r="K90" s="28">
        <v>0.05</v>
      </c>
      <c r="L90" s="28" t="s">
        <v>1294</v>
      </c>
      <c r="M90" s="28" t="s">
        <v>1295</v>
      </c>
      <c r="N90" s="28" t="s">
        <v>66</v>
      </c>
      <c r="O90" s="28">
        <v>0.015</v>
      </c>
      <c r="P90" s="28">
        <v>0.0084</v>
      </c>
      <c r="Q90" s="28">
        <f t="shared" ref="Q90:Q106" si="4">O90/P90</f>
        <v>1.78571428571429</v>
      </c>
      <c r="R90" s="45">
        <v>0.3</v>
      </c>
      <c r="S90" s="46">
        <f t="shared" si="3"/>
        <v>3.33333333333333</v>
      </c>
    </row>
    <row r="91" customFormat="1" spans="1:19">
      <c r="A91" s="28">
        <v>89</v>
      </c>
      <c r="B91" s="28" t="s">
        <v>1448</v>
      </c>
      <c r="C91" s="28" t="s">
        <v>1428</v>
      </c>
      <c r="D91" s="28" t="s">
        <v>722</v>
      </c>
      <c r="E91" s="28" t="s">
        <v>723</v>
      </c>
      <c r="F91" s="28" t="s">
        <v>724</v>
      </c>
      <c r="G91" s="28">
        <v>28</v>
      </c>
      <c r="H91" s="28" t="s">
        <v>1449</v>
      </c>
      <c r="I91" s="28" t="s">
        <v>66</v>
      </c>
      <c r="J91" s="28">
        <v>0.05</v>
      </c>
      <c r="K91" s="28">
        <v>0.05</v>
      </c>
      <c r="L91" s="28" t="s">
        <v>1294</v>
      </c>
      <c r="M91" s="28" t="s">
        <v>1295</v>
      </c>
      <c r="N91" s="28" t="s">
        <v>66</v>
      </c>
      <c r="O91" s="28">
        <v>0.015</v>
      </c>
      <c r="P91" s="28">
        <v>0.0084</v>
      </c>
      <c r="Q91" s="28">
        <f t="shared" si="4"/>
        <v>1.78571428571429</v>
      </c>
      <c r="R91" s="45">
        <v>0.3</v>
      </c>
      <c r="S91" s="46">
        <f t="shared" si="3"/>
        <v>3.33333333333333</v>
      </c>
    </row>
    <row r="92" customFormat="1" spans="1:19">
      <c r="A92" s="28">
        <v>90</v>
      </c>
      <c r="B92" s="28" t="s">
        <v>1450</v>
      </c>
      <c r="C92" s="28" t="s">
        <v>1428</v>
      </c>
      <c r="D92" s="28" t="s">
        <v>722</v>
      </c>
      <c r="E92" s="28" t="s">
        <v>723</v>
      </c>
      <c r="F92" s="28" t="s">
        <v>724</v>
      </c>
      <c r="G92" s="28">
        <v>28</v>
      </c>
      <c r="H92" s="28" t="s">
        <v>1449</v>
      </c>
      <c r="I92" s="28" t="s">
        <v>66</v>
      </c>
      <c r="J92" s="28">
        <v>0.2</v>
      </c>
      <c r="K92" s="28">
        <v>0.05</v>
      </c>
      <c r="L92" s="28" t="s">
        <v>1294</v>
      </c>
      <c r="M92" s="28" t="s">
        <v>1295</v>
      </c>
      <c r="N92" s="28" t="s">
        <v>66</v>
      </c>
      <c r="O92" s="28">
        <v>0.04</v>
      </c>
      <c r="P92" s="28">
        <v>0.0084</v>
      </c>
      <c r="Q92" s="28">
        <f t="shared" si="4"/>
        <v>4.76190476190476</v>
      </c>
      <c r="R92" s="45">
        <v>0.3</v>
      </c>
      <c r="S92" s="46">
        <f t="shared" si="3"/>
        <v>5</v>
      </c>
    </row>
    <row r="93" customFormat="1" spans="1:19">
      <c r="A93" s="28">
        <v>91</v>
      </c>
      <c r="B93" s="28" t="s">
        <v>1451</v>
      </c>
      <c r="C93" s="28" t="s">
        <v>1428</v>
      </c>
      <c r="D93" s="28" t="s">
        <v>726</v>
      </c>
      <c r="E93" s="28" t="s">
        <v>727</v>
      </c>
      <c r="F93" s="28" t="s">
        <v>728</v>
      </c>
      <c r="G93" s="28">
        <v>28</v>
      </c>
      <c r="H93" s="28" t="s">
        <v>1449</v>
      </c>
      <c r="I93" s="28" t="s">
        <v>66</v>
      </c>
      <c r="J93" s="28">
        <v>0.05</v>
      </c>
      <c r="K93" s="28">
        <v>0.05</v>
      </c>
      <c r="L93" s="28" t="s">
        <v>1294</v>
      </c>
      <c r="M93" s="28" t="s">
        <v>1295</v>
      </c>
      <c r="N93" s="28" t="s">
        <v>66</v>
      </c>
      <c r="O93" s="28">
        <v>0.015</v>
      </c>
      <c r="P93" s="28">
        <v>0.0084</v>
      </c>
      <c r="Q93" s="28">
        <f t="shared" si="4"/>
        <v>1.78571428571429</v>
      </c>
      <c r="R93" s="45">
        <v>0.3</v>
      </c>
      <c r="S93" s="46">
        <f t="shared" si="3"/>
        <v>3.33333333333333</v>
      </c>
    </row>
    <row r="94" customFormat="1" spans="1:19">
      <c r="A94" s="28">
        <v>92</v>
      </c>
      <c r="B94" s="28" t="s">
        <v>1452</v>
      </c>
      <c r="C94" s="28" t="s">
        <v>1428</v>
      </c>
      <c r="D94" s="28" t="s">
        <v>726</v>
      </c>
      <c r="E94" s="28" t="s">
        <v>727</v>
      </c>
      <c r="F94" s="28" t="s">
        <v>728</v>
      </c>
      <c r="G94" s="28">
        <v>28</v>
      </c>
      <c r="H94" s="28" t="s">
        <v>1449</v>
      </c>
      <c r="I94" s="28" t="s">
        <v>66</v>
      </c>
      <c r="J94" s="28">
        <v>0.2</v>
      </c>
      <c r="K94" s="28">
        <v>0.05</v>
      </c>
      <c r="L94" s="28" t="s">
        <v>1294</v>
      </c>
      <c r="M94" s="28" t="s">
        <v>1295</v>
      </c>
      <c r="N94" s="28" t="s">
        <v>66</v>
      </c>
      <c r="O94" s="28">
        <v>0.04</v>
      </c>
      <c r="P94" s="28">
        <v>0.0084</v>
      </c>
      <c r="Q94" s="28">
        <f t="shared" si="4"/>
        <v>4.76190476190476</v>
      </c>
      <c r="R94" s="45">
        <v>0.3</v>
      </c>
      <c r="S94" s="46">
        <f t="shared" si="3"/>
        <v>5</v>
      </c>
    </row>
    <row r="95" customFormat="1" spans="1:19">
      <c r="A95" s="28">
        <v>93</v>
      </c>
      <c r="B95" s="28" t="s">
        <v>1453</v>
      </c>
      <c r="C95" s="28" t="s">
        <v>1428</v>
      </c>
      <c r="D95" s="28" t="s">
        <v>735</v>
      </c>
      <c r="E95" s="28" t="s">
        <v>736</v>
      </c>
      <c r="F95" s="28" t="s">
        <v>737</v>
      </c>
      <c r="G95" s="28">
        <v>28</v>
      </c>
      <c r="H95" s="28" t="s">
        <v>1449</v>
      </c>
      <c r="I95" s="28" t="s">
        <v>66</v>
      </c>
      <c r="J95" s="28">
        <v>0.4</v>
      </c>
      <c r="K95" s="28">
        <v>0.05</v>
      </c>
      <c r="L95" s="28" t="s">
        <v>1294</v>
      </c>
      <c r="M95" s="28" t="s">
        <v>1295</v>
      </c>
      <c r="N95" s="28" t="s">
        <v>66</v>
      </c>
      <c r="O95" s="28">
        <v>0.12</v>
      </c>
      <c r="P95" s="28">
        <v>0.0756</v>
      </c>
      <c r="Q95" s="28">
        <f t="shared" si="4"/>
        <v>1.58730158730159</v>
      </c>
      <c r="R95" s="45">
        <v>2.7</v>
      </c>
      <c r="S95" s="46">
        <f t="shared" si="3"/>
        <v>3.33333333333333</v>
      </c>
    </row>
    <row r="96" customFormat="1" spans="1:19">
      <c r="A96" s="28">
        <v>94</v>
      </c>
      <c r="B96" s="28" t="s">
        <v>1454</v>
      </c>
      <c r="C96" s="28" t="s">
        <v>1428</v>
      </c>
      <c r="D96" s="28" t="s">
        <v>738</v>
      </c>
      <c r="E96" s="28" t="s">
        <v>736</v>
      </c>
      <c r="F96" s="28" t="s">
        <v>739</v>
      </c>
      <c r="G96" s="28">
        <v>28</v>
      </c>
      <c r="H96" s="28" t="s">
        <v>1449</v>
      </c>
      <c r="I96" s="28" t="s">
        <v>66</v>
      </c>
      <c r="J96" s="28">
        <v>0.4</v>
      </c>
      <c r="K96" s="28">
        <v>0.05</v>
      </c>
      <c r="L96" s="28" t="s">
        <v>1294</v>
      </c>
      <c r="M96" s="28" t="s">
        <v>1295</v>
      </c>
      <c r="N96" s="28" t="s">
        <v>66</v>
      </c>
      <c r="O96" s="28">
        <v>0.12</v>
      </c>
      <c r="P96" s="28">
        <v>0.0756</v>
      </c>
      <c r="Q96" s="28">
        <f t="shared" si="4"/>
        <v>1.58730158730159</v>
      </c>
      <c r="R96" s="45">
        <v>2.7</v>
      </c>
      <c r="S96" s="46">
        <f t="shared" si="3"/>
        <v>3.33333333333333</v>
      </c>
    </row>
    <row r="97" customFormat="1" spans="1:19">
      <c r="A97" s="28">
        <v>95</v>
      </c>
      <c r="B97" s="28" t="s">
        <v>1455</v>
      </c>
      <c r="C97" s="28" t="s">
        <v>1428</v>
      </c>
      <c r="D97" s="28" t="s">
        <v>741</v>
      </c>
      <c r="E97" s="28" t="s">
        <v>742</v>
      </c>
      <c r="F97" s="28" t="s">
        <v>743</v>
      </c>
      <c r="G97" s="28">
        <v>28</v>
      </c>
      <c r="H97" s="28" t="s">
        <v>1449</v>
      </c>
      <c r="I97" s="28" t="s">
        <v>66</v>
      </c>
      <c r="J97" s="28">
        <v>0.5</v>
      </c>
      <c r="K97" s="28">
        <v>0.05</v>
      </c>
      <c r="L97" s="28" t="s">
        <v>1294</v>
      </c>
      <c r="M97" s="28" t="s">
        <v>1295</v>
      </c>
      <c r="N97" s="28" t="s">
        <v>61</v>
      </c>
      <c r="O97" s="28">
        <v>0.15</v>
      </c>
      <c r="P97" s="28">
        <v>0.098</v>
      </c>
      <c r="Q97" s="28">
        <f t="shared" si="4"/>
        <v>1.53061224489796</v>
      </c>
      <c r="R97" s="45">
        <v>3.5</v>
      </c>
      <c r="S97" s="46">
        <f t="shared" si="3"/>
        <v>3.33333333333333</v>
      </c>
    </row>
    <row r="98" customFormat="1" spans="1:19">
      <c r="A98" s="28">
        <v>96</v>
      </c>
      <c r="B98" s="28" t="s">
        <v>1456</v>
      </c>
      <c r="C98" s="28" t="s">
        <v>1428</v>
      </c>
      <c r="D98" s="28" t="s">
        <v>744</v>
      </c>
      <c r="E98" s="28" t="s">
        <v>742</v>
      </c>
      <c r="F98" s="28" t="s">
        <v>745</v>
      </c>
      <c r="G98" s="28">
        <v>28</v>
      </c>
      <c r="H98" s="28" t="s">
        <v>1449</v>
      </c>
      <c r="I98" s="28" t="s">
        <v>66</v>
      </c>
      <c r="J98" s="28">
        <v>0.5</v>
      </c>
      <c r="K98" s="28">
        <v>0.05</v>
      </c>
      <c r="L98" s="28" t="s">
        <v>1294</v>
      </c>
      <c r="M98" s="28" t="s">
        <v>1295</v>
      </c>
      <c r="N98" s="28" t="s">
        <v>61</v>
      </c>
      <c r="O98" s="28">
        <v>0.15</v>
      </c>
      <c r="P98" s="28">
        <v>0.098</v>
      </c>
      <c r="Q98" s="28">
        <f t="shared" si="4"/>
        <v>1.53061224489796</v>
      </c>
      <c r="R98" s="45">
        <v>3.5</v>
      </c>
      <c r="S98" s="46">
        <f t="shared" si="3"/>
        <v>3.33333333333333</v>
      </c>
    </row>
    <row r="99" customFormat="1" spans="1:19">
      <c r="A99" s="28">
        <v>97</v>
      </c>
      <c r="B99" s="28" t="s">
        <v>1457</v>
      </c>
      <c r="C99" s="28" t="s">
        <v>1428</v>
      </c>
      <c r="D99" s="28" t="s">
        <v>1458</v>
      </c>
      <c r="E99" s="28" t="s">
        <v>742</v>
      </c>
      <c r="F99" s="28" t="s">
        <v>747</v>
      </c>
      <c r="G99" s="28">
        <v>28</v>
      </c>
      <c r="H99" s="28" t="s">
        <v>1449</v>
      </c>
      <c r="I99" s="28" t="s">
        <v>66</v>
      </c>
      <c r="J99" s="28">
        <v>0.5</v>
      </c>
      <c r="K99" s="28">
        <v>0.05</v>
      </c>
      <c r="L99" s="28" t="s">
        <v>1294</v>
      </c>
      <c r="M99" s="28" t="s">
        <v>1295</v>
      </c>
      <c r="N99" s="28" t="s">
        <v>61</v>
      </c>
      <c r="O99" s="28">
        <v>0.15</v>
      </c>
      <c r="P99" s="28">
        <v>0.084</v>
      </c>
      <c r="Q99" s="28">
        <f t="shared" si="4"/>
        <v>1.78571428571429</v>
      </c>
      <c r="R99" s="45">
        <v>3</v>
      </c>
      <c r="S99" s="46">
        <f t="shared" si="3"/>
        <v>3.33333333333333</v>
      </c>
    </row>
    <row r="100" customFormat="1" spans="1:19">
      <c r="A100" s="28">
        <v>98</v>
      </c>
      <c r="B100" s="28" t="s">
        <v>1459</v>
      </c>
      <c r="C100" s="28" t="s">
        <v>1428</v>
      </c>
      <c r="D100" s="28" t="s">
        <v>1460</v>
      </c>
      <c r="E100" s="28" t="s">
        <v>742</v>
      </c>
      <c r="F100" s="28" t="s">
        <v>749</v>
      </c>
      <c r="G100" s="28">
        <v>28</v>
      </c>
      <c r="H100" s="28" t="s">
        <v>1449</v>
      </c>
      <c r="I100" s="28" t="s">
        <v>66</v>
      </c>
      <c r="J100" s="28">
        <v>0.5</v>
      </c>
      <c r="K100" s="28">
        <v>0.05</v>
      </c>
      <c r="L100" s="28" t="s">
        <v>1294</v>
      </c>
      <c r="M100" s="28" t="s">
        <v>1295</v>
      </c>
      <c r="N100" s="28" t="s">
        <v>61</v>
      </c>
      <c r="O100" s="28">
        <v>0.15</v>
      </c>
      <c r="P100" s="28">
        <v>0.084</v>
      </c>
      <c r="Q100" s="28">
        <f t="shared" si="4"/>
        <v>1.78571428571429</v>
      </c>
      <c r="R100" s="45">
        <v>3</v>
      </c>
      <c r="S100" s="46">
        <f t="shared" si="3"/>
        <v>3.33333333333333</v>
      </c>
    </row>
    <row r="101" customFormat="1" spans="1:19">
      <c r="A101" s="28">
        <v>99</v>
      </c>
      <c r="B101" s="28" t="s">
        <v>1461</v>
      </c>
      <c r="C101" s="28" t="s">
        <v>1428</v>
      </c>
      <c r="D101" s="28" t="s">
        <v>1462</v>
      </c>
      <c r="E101" s="28" t="s">
        <v>751</v>
      </c>
      <c r="F101" s="28" t="s">
        <v>752</v>
      </c>
      <c r="G101" s="28">
        <v>28</v>
      </c>
      <c r="H101" s="28" t="s">
        <v>1449</v>
      </c>
      <c r="I101" s="28" t="s">
        <v>66</v>
      </c>
      <c r="J101" s="28">
        <v>0.5</v>
      </c>
      <c r="K101" s="28">
        <v>0.05</v>
      </c>
      <c r="L101" s="28" t="s">
        <v>1294</v>
      </c>
      <c r="M101" s="28" t="s">
        <v>1295</v>
      </c>
      <c r="N101" s="28" t="s">
        <v>66</v>
      </c>
      <c r="O101" s="28">
        <v>0.12</v>
      </c>
      <c r="P101" s="28">
        <v>0.0728</v>
      </c>
      <c r="Q101" s="28">
        <f t="shared" si="4"/>
        <v>1.64835164835165</v>
      </c>
      <c r="R101" s="45">
        <v>2.6</v>
      </c>
      <c r="S101" s="46">
        <f t="shared" si="3"/>
        <v>4.16666666666667</v>
      </c>
    </row>
    <row r="102" customFormat="1" spans="1:19">
      <c r="A102" s="28">
        <v>100</v>
      </c>
      <c r="B102" s="28" t="s">
        <v>1463</v>
      </c>
      <c r="C102" s="28" t="s">
        <v>1428</v>
      </c>
      <c r="D102" s="28" t="s">
        <v>1464</v>
      </c>
      <c r="E102" s="28" t="s">
        <v>751</v>
      </c>
      <c r="F102" s="28" t="s">
        <v>754</v>
      </c>
      <c r="G102" s="28">
        <v>28</v>
      </c>
      <c r="H102" s="28" t="s">
        <v>1449</v>
      </c>
      <c r="I102" s="28" t="s">
        <v>66</v>
      </c>
      <c r="J102" s="28">
        <v>0.5</v>
      </c>
      <c r="K102" s="28">
        <v>0.05</v>
      </c>
      <c r="L102" s="28" t="s">
        <v>1294</v>
      </c>
      <c r="M102" s="28" t="s">
        <v>1295</v>
      </c>
      <c r="N102" s="28" t="s">
        <v>66</v>
      </c>
      <c r="O102" s="28">
        <v>0.12</v>
      </c>
      <c r="P102" s="28">
        <v>0.0728</v>
      </c>
      <c r="Q102" s="28">
        <f t="shared" si="4"/>
        <v>1.64835164835165</v>
      </c>
      <c r="R102" s="45">
        <v>2.6</v>
      </c>
      <c r="S102" s="46">
        <f t="shared" si="3"/>
        <v>4.16666666666667</v>
      </c>
    </row>
    <row r="103" customFormat="1" spans="1:19">
      <c r="A103" s="28">
        <v>101</v>
      </c>
      <c r="B103" s="28" t="s">
        <v>1465</v>
      </c>
      <c r="C103" s="28" t="s">
        <v>1428</v>
      </c>
      <c r="D103" s="28" t="s">
        <v>1466</v>
      </c>
      <c r="E103" s="28" t="s">
        <v>751</v>
      </c>
      <c r="F103" s="28" t="s">
        <v>756</v>
      </c>
      <c r="G103" s="28">
        <v>28</v>
      </c>
      <c r="H103" s="28" t="s">
        <v>1449</v>
      </c>
      <c r="I103" s="28" t="s">
        <v>66</v>
      </c>
      <c r="J103" s="28">
        <v>0.5</v>
      </c>
      <c r="K103" s="28">
        <v>0.05</v>
      </c>
      <c r="L103" s="28" t="s">
        <v>1294</v>
      </c>
      <c r="M103" s="28" t="s">
        <v>1295</v>
      </c>
      <c r="N103" s="28" t="s">
        <v>66</v>
      </c>
      <c r="O103" s="28">
        <v>0.12</v>
      </c>
      <c r="P103" s="28">
        <v>0.0728</v>
      </c>
      <c r="Q103" s="28">
        <f t="shared" si="4"/>
        <v>1.64835164835165</v>
      </c>
      <c r="R103" s="45">
        <v>2.6</v>
      </c>
      <c r="S103" s="46">
        <f t="shared" si="3"/>
        <v>4.16666666666667</v>
      </c>
    </row>
    <row r="104" customFormat="1" spans="1:19">
      <c r="A104" s="28">
        <v>102</v>
      </c>
      <c r="B104" s="28" t="s">
        <v>1467</v>
      </c>
      <c r="C104" s="28" t="s">
        <v>1428</v>
      </c>
      <c r="D104" s="28" t="s">
        <v>1468</v>
      </c>
      <c r="E104" s="28" t="s">
        <v>751</v>
      </c>
      <c r="F104" s="28" t="s">
        <v>758</v>
      </c>
      <c r="G104" s="28">
        <v>28</v>
      </c>
      <c r="H104" s="28" t="s">
        <v>1449</v>
      </c>
      <c r="I104" s="28" t="s">
        <v>66</v>
      </c>
      <c r="J104" s="28">
        <v>0.5</v>
      </c>
      <c r="K104" s="28">
        <v>0.05</v>
      </c>
      <c r="L104" s="28" t="s">
        <v>1294</v>
      </c>
      <c r="M104" s="28" t="s">
        <v>1295</v>
      </c>
      <c r="N104" s="28" t="s">
        <v>66</v>
      </c>
      <c r="O104" s="28">
        <v>0.12</v>
      </c>
      <c r="P104" s="28">
        <v>0.0728</v>
      </c>
      <c r="Q104" s="28">
        <f t="shared" si="4"/>
        <v>1.64835164835165</v>
      </c>
      <c r="R104" s="45">
        <v>2.6</v>
      </c>
      <c r="S104" s="46">
        <f t="shared" si="3"/>
        <v>4.16666666666667</v>
      </c>
    </row>
    <row r="105" customFormat="1" spans="1:19">
      <c r="A105" s="28">
        <v>103</v>
      </c>
      <c r="B105" s="28" t="s">
        <v>1469</v>
      </c>
      <c r="C105" s="28" t="s">
        <v>1428</v>
      </c>
      <c r="D105" s="28" t="s">
        <v>765</v>
      </c>
      <c r="E105" s="28" t="s">
        <v>766</v>
      </c>
      <c r="F105" s="28" t="s">
        <v>767</v>
      </c>
      <c r="G105" s="28">
        <v>28</v>
      </c>
      <c r="H105" s="28" t="s">
        <v>1449</v>
      </c>
      <c r="I105" s="28" t="s">
        <v>66</v>
      </c>
      <c r="J105" s="28">
        <v>0.4</v>
      </c>
      <c r="K105" s="28">
        <v>0.05</v>
      </c>
      <c r="L105" s="28" t="s">
        <v>1294</v>
      </c>
      <c r="M105" s="28" t="s">
        <v>1295</v>
      </c>
      <c r="N105" s="28" t="s">
        <v>66</v>
      </c>
      <c r="O105" s="28">
        <v>0.12</v>
      </c>
      <c r="P105" s="28">
        <v>0.07</v>
      </c>
      <c r="Q105" s="28">
        <f t="shared" si="4"/>
        <v>1.71428571428571</v>
      </c>
      <c r="R105" s="45">
        <v>2.5</v>
      </c>
      <c r="S105" s="46">
        <f t="shared" si="3"/>
        <v>3.33333333333333</v>
      </c>
    </row>
    <row r="106" customFormat="1" spans="1:19">
      <c r="A106" s="28">
        <v>104</v>
      </c>
      <c r="B106" s="28" t="s">
        <v>1470</v>
      </c>
      <c r="C106" s="28" t="s">
        <v>1428</v>
      </c>
      <c r="D106" s="28" t="s">
        <v>768</v>
      </c>
      <c r="E106" s="28" t="s">
        <v>766</v>
      </c>
      <c r="F106" s="28" t="s">
        <v>769</v>
      </c>
      <c r="G106" s="28">
        <v>28</v>
      </c>
      <c r="H106" s="28" t="s">
        <v>1449</v>
      </c>
      <c r="I106" s="28" t="s">
        <v>66</v>
      </c>
      <c r="J106" s="28">
        <v>0.4</v>
      </c>
      <c r="K106" s="28">
        <v>0.05</v>
      </c>
      <c r="L106" s="28" t="s">
        <v>1294</v>
      </c>
      <c r="M106" s="28" t="s">
        <v>1295</v>
      </c>
      <c r="N106" s="28" t="s">
        <v>66</v>
      </c>
      <c r="O106" s="28">
        <v>0.12</v>
      </c>
      <c r="P106" s="28">
        <v>0.0728</v>
      </c>
      <c r="Q106" s="28">
        <f t="shared" si="4"/>
        <v>1.64835164835165</v>
      </c>
      <c r="R106" s="45">
        <v>2.6</v>
      </c>
      <c r="S106" s="46">
        <f t="shared" si="3"/>
        <v>3.33333333333333</v>
      </c>
    </row>
    <row r="107" s="34" customFormat="1" spans="1:19">
      <c r="A107" s="28">
        <v>105</v>
      </c>
      <c r="B107" s="28" t="s">
        <v>1471</v>
      </c>
      <c r="C107" s="28" t="s">
        <v>1428</v>
      </c>
      <c r="D107" s="28" t="s">
        <v>770</v>
      </c>
      <c r="E107" s="28" t="s">
        <v>689</v>
      </c>
      <c r="F107" s="28" t="s">
        <v>771</v>
      </c>
      <c r="G107" s="28">
        <v>28</v>
      </c>
      <c r="H107" s="28" t="s">
        <v>1293</v>
      </c>
      <c r="I107" s="28" t="s">
        <v>66</v>
      </c>
      <c r="J107" s="28">
        <v>0.15</v>
      </c>
      <c r="K107" s="28">
        <v>0.05</v>
      </c>
      <c r="L107" s="28" t="s">
        <v>1294</v>
      </c>
      <c r="M107" s="28" t="s">
        <v>1295</v>
      </c>
      <c r="N107" s="28" t="s">
        <v>66</v>
      </c>
      <c r="O107" s="28">
        <v>0.03</v>
      </c>
      <c r="P107" s="28" t="s">
        <v>1296</v>
      </c>
      <c r="Q107" s="28" t="s">
        <v>1296</v>
      </c>
      <c r="R107" s="45" t="s">
        <v>1296</v>
      </c>
      <c r="S107" s="46">
        <f t="shared" si="3"/>
        <v>5</v>
      </c>
    </row>
    <row r="108" s="34" customFormat="1" spans="1:19">
      <c r="A108" s="28">
        <v>106</v>
      </c>
      <c r="B108" s="28" t="s">
        <v>1472</v>
      </c>
      <c r="C108" s="28" t="s">
        <v>1428</v>
      </c>
      <c r="D108" s="28" t="s">
        <v>772</v>
      </c>
      <c r="E108" s="28" t="s">
        <v>689</v>
      </c>
      <c r="F108" s="28" t="s">
        <v>773</v>
      </c>
      <c r="G108" s="28">
        <v>28</v>
      </c>
      <c r="H108" s="28" t="s">
        <v>1293</v>
      </c>
      <c r="I108" s="28" t="s">
        <v>66</v>
      </c>
      <c r="J108" s="28">
        <v>0.15</v>
      </c>
      <c r="K108" s="28">
        <v>0.05</v>
      </c>
      <c r="L108" s="28" t="s">
        <v>1294</v>
      </c>
      <c r="M108" s="28" t="s">
        <v>1295</v>
      </c>
      <c r="N108" s="28" t="s">
        <v>66</v>
      </c>
      <c r="O108" s="28">
        <v>0.03</v>
      </c>
      <c r="P108" s="28" t="s">
        <v>1296</v>
      </c>
      <c r="Q108" s="28" t="s">
        <v>1296</v>
      </c>
      <c r="R108" s="45" t="s">
        <v>1296</v>
      </c>
      <c r="S108" s="46">
        <f t="shared" si="3"/>
        <v>5</v>
      </c>
    </row>
    <row r="109" s="34" customFormat="1" spans="1:19">
      <c r="A109" s="28">
        <v>107</v>
      </c>
      <c r="B109" s="28" t="s">
        <v>1473</v>
      </c>
      <c r="C109" s="28" t="s">
        <v>1428</v>
      </c>
      <c r="D109" s="28" t="s">
        <v>774</v>
      </c>
      <c r="E109" s="28" t="s">
        <v>689</v>
      </c>
      <c r="F109" s="28" t="s">
        <v>775</v>
      </c>
      <c r="G109" s="28">
        <v>28</v>
      </c>
      <c r="H109" s="28" t="s">
        <v>1293</v>
      </c>
      <c r="I109" s="28" t="s">
        <v>66</v>
      </c>
      <c r="J109" s="28">
        <v>0.15</v>
      </c>
      <c r="K109" s="28">
        <v>0.05</v>
      </c>
      <c r="L109" s="28" t="s">
        <v>1294</v>
      </c>
      <c r="M109" s="28" t="s">
        <v>1295</v>
      </c>
      <c r="N109" s="28" t="s">
        <v>66</v>
      </c>
      <c r="O109" s="28">
        <v>0.03</v>
      </c>
      <c r="P109" s="28" t="s">
        <v>1296</v>
      </c>
      <c r="Q109" s="28" t="s">
        <v>1296</v>
      </c>
      <c r="R109" s="45" t="s">
        <v>1296</v>
      </c>
      <c r="S109" s="46">
        <f t="shared" si="3"/>
        <v>5</v>
      </c>
    </row>
    <row r="110" s="34" customFormat="1" spans="1:19">
      <c r="A110" s="28">
        <v>108</v>
      </c>
      <c r="B110" s="28" t="s">
        <v>1474</v>
      </c>
      <c r="C110" s="28" t="s">
        <v>1428</v>
      </c>
      <c r="D110" s="28" t="s">
        <v>777</v>
      </c>
      <c r="E110" s="28" t="s">
        <v>689</v>
      </c>
      <c r="F110" s="28" t="s">
        <v>778</v>
      </c>
      <c r="G110" s="28">
        <v>28</v>
      </c>
      <c r="H110" s="28" t="s">
        <v>1293</v>
      </c>
      <c r="I110" s="28" t="s">
        <v>66</v>
      </c>
      <c r="J110" s="28">
        <v>0.15</v>
      </c>
      <c r="K110" s="28">
        <v>0.05</v>
      </c>
      <c r="L110" s="28" t="s">
        <v>1294</v>
      </c>
      <c r="M110" s="28" t="s">
        <v>1295</v>
      </c>
      <c r="N110" s="28" t="s">
        <v>66</v>
      </c>
      <c r="O110" s="28">
        <v>0.03</v>
      </c>
      <c r="P110" s="28" t="s">
        <v>1296</v>
      </c>
      <c r="Q110" s="28" t="s">
        <v>1296</v>
      </c>
      <c r="R110" s="45" t="s">
        <v>1296</v>
      </c>
      <c r="S110" s="46">
        <f t="shared" si="3"/>
        <v>5</v>
      </c>
    </row>
    <row r="111" s="34" customFormat="1" spans="1:19">
      <c r="A111" s="28">
        <v>109</v>
      </c>
      <c r="B111" s="28" t="s">
        <v>1475</v>
      </c>
      <c r="C111" s="28" t="s">
        <v>1476</v>
      </c>
      <c r="D111" s="28" t="s">
        <v>1477</v>
      </c>
      <c r="E111" s="28" t="s">
        <v>842</v>
      </c>
      <c r="F111" s="28" t="s">
        <v>843</v>
      </c>
      <c r="G111" s="28">
        <v>28</v>
      </c>
      <c r="H111" s="28" t="s">
        <v>1293</v>
      </c>
      <c r="I111" s="28" t="s">
        <v>66</v>
      </c>
      <c r="J111" s="28">
        <v>1</v>
      </c>
      <c r="K111" s="28">
        <v>0.05</v>
      </c>
      <c r="L111" s="28" t="s">
        <v>1294</v>
      </c>
      <c r="M111" s="28" t="s">
        <v>1295</v>
      </c>
      <c r="N111" s="28" t="s">
        <v>61</v>
      </c>
      <c r="O111" s="28">
        <v>0.49</v>
      </c>
      <c r="P111" s="28" t="s">
        <v>1296</v>
      </c>
      <c r="Q111" s="28" t="s">
        <v>1296</v>
      </c>
      <c r="R111" s="45" t="s">
        <v>1296</v>
      </c>
      <c r="S111" s="46">
        <f t="shared" si="3"/>
        <v>2.04081632653061</v>
      </c>
    </row>
    <row r="112" customFormat="1" spans="1:19">
      <c r="A112" s="28">
        <v>110</v>
      </c>
      <c r="B112" s="28" t="s">
        <v>1478</v>
      </c>
      <c r="C112" s="28" t="s">
        <v>1476</v>
      </c>
      <c r="D112" s="28" t="s">
        <v>1477</v>
      </c>
      <c r="E112" s="28" t="s">
        <v>842</v>
      </c>
      <c r="F112" s="28" t="s">
        <v>843</v>
      </c>
      <c r="G112" s="28">
        <v>28</v>
      </c>
      <c r="H112" s="28" t="s">
        <v>1293</v>
      </c>
      <c r="I112" s="28" t="s">
        <v>66</v>
      </c>
      <c r="J112" s="28">
        <v>0.1</v>
      </c>
      <c r="K112" s="28">
        <v>0.05</v>
      </c>
      <c r="L112" s="28" t="s">
        <v>1299</v>
      </c>
      <c r="M112" s="28" t="s">
        <v>1295</v>
      </c>
      <c r="N112" s="28" t="s">
        <v>66</v>
      </c>
      <c r="O112" s="28">
        <v>0.01</v>
      </c>
      <c r="P112" s="28">
        <v>0.0056</v>
      </c>
      <c r="Q112" s="28">
        <f>O112/P112</f>
        <v>1.78571428571429</v>
      </c>
      <c r="R112" s="45">
        <v>0.2</v>
      </c>
      <c r="S112" s="46">
        <f t="shared" si="3"/>
        <v>10</v>
      </c>
    </row>
    <row r="113" s="34" customFormat="1" spans="1:19">
      <c r="A113" s="28">
        <v>111</v>
      </c>
      <c r="B113" s="28" t="s">
        <v>1479</v>
      </c>
      <c r="C113" s="28" t="s">
        <v>1476</v>
      </c>
      <c r="D113" s="28" t="s">
        <v>1480</v>
      </c>
      <c r="E113" s="28" t="s">
        <v>842</v>
      </c>
      <c r="F113" s="28" t="s">
        <v>845</v>
      </c>
      <c r="G113" s="28">
        <v>28</v>
      </c>
      <c r="H113" s="28" t="s">
        <v>1293</v>
      </c>
      <c r="I113" s="28" t="s">
        <v>66</v>
      </c>
      <c r="J113" s="28">
        <v>1</v>
      </c>
      <c r="K113" s="28">
        <v>0.05</v>
      </c>
      <c r="L113" s="28" t="s">
        <v>1294</v>
      </c>
      <c r="M113" s="28" t="s">
        <v>1295</v>
      </c>
      <c r="N113" s="28" t="s">
        <v>61</v>
      </c>
      <c r="O113" s="28">
        <v>0.61</v>
      </c>
      <c r="P113" s="28" t="s">
        <v>1296</v>
      </c>
      <c r="Q113" s="28" t="s">
        <v>1296</v>
      </c>
      <c r="R113" s="45" t="s">
        <v>1296</v>
      </c>
      <c r="S113" s="46">
        <f t="shared" si="3"/>
        <v>1.63934426229508</v>
      </c>
    </row>
    <row r="114" customFormat="1" spans="1:19">
      <c r="A114" s="28">
        <v>112</v>
      </c>
      <c r="B114" s="28" t="s">
        <v>1481</v>
      </c>
      <c r="C114" s="28" t="s">
        <v>1476</v>
      </c>
      <c r="D114" s="28" t="s">
        <v>1480</v>
      </c>
      <c r="E114" s="28" t="s">
        <v>842</v>
      </c>
      <c r="F114" s="28" t="s">
        <v>845</v>
      </c>
      <c r="G114" s="28">
        <v>28</v>
      </c>
      <c r="H114" s="28" t="s">
        <v>1293</v>
      </c>
      <c r="I114" s="28" t="s">
        <v>66</v>
      </c>
      <c r="J114" s="28">
        <v>0.1</v>
      </c>
      <c r="K114" s="28">
        <v>0.05</v>
      </c>
      <c r="L114" s="28" t="s">
        <v>1299</v>
      </c>
      <c r="M114" s="28" t="s">
        <v>1295</v>
      </c>
      <c r="N114" s="28" t="s">
        <v>66</v>
      </c>
      <c r="O114" s="28">
        <v>0.01</v>
      </c>
      <c r="P114" s="28">
        <v>0.00308</v>
      </c>
      <c r="Q114" s="28">
        <f>O114/P114</f>
        <v>3.24675324675325</v>
      </c>
      <c r="R114" s="45">
        <v>0.11</v>
      </c>
      <c r="S114" s="46">
        <f t="shared" si="3"/>
        <v>10</v>
      </c>
    </row>
    <row r="115" s="34" customFormat="1" spans="1:19">
      <c r="A115" s="28">
        <v>113</v>
      </c>
      <c r="B115" s="28" t="s">
        <v>1482</v>
      </c>
      <c r="C115" s="28" t="s">
        <v>1476</v>
      </c>
      <c r="D115" s="28" t="s">
        <v>1483</v>
      </c>
      <c r="E115" s="28" t="s">
        <v>842</v>
      </c>
      <c r="F115" s="28" t="s">
        <v>847</v>
      </c>
      <c r="G115" s="28">
        <v>28</v>
      </c>
      <c r="H115" s="28" t="s">
        <v>1293</v>
      </c>
      <c r="I115" s="28" t="s">
        <v>66</v>
      </c>
      <c r="J115" s="28">
        <v>1</v>
      </c>
      <c r="K115" s="28">
        <v>0.05</v>
      </c>
      <c r="L115" s="28" t="s">
        <v>1294</v>
      </c>
      <c r="M115" s="28" t="s">
        <v>1295</v>
      </c>
      <c r="N115" s="28" t="s">
        <v>61</v>
      </c>
      <c r="O115" s="28">
        <v>0.61</v>
      </c>
      <c r="P115" s="28" t="s">
        <v>1296</v>
      </c>
      <c r="Q115" s="28" t="s">
        <v>1296</v>
      </c>
      <c r="R115" s="45" t="s">
        <v>1296</v>
      </c>
      <c r="S115" s="46">
        <f t="shared" si="3"/>
        <v>1.63934426229508</v>
      </c>
    </row>
    <row r="116" customFormat="1" spans="1:19">
      <c r="A116" s="28">
        <v>114</v>
      </c>
      <c r="B116" s="28" t="s">
        <v>1484</v>
      </c>
      <c r="C116" s="28" t="s">
        <v>1476</v>
      </c>
      <c r="D116" s="28" t="s">
        <v>1483</v>
      </c>
      <c r="E116" s="28" t="s">
        <v>842</v>
      </c>
      <c r="F116" s="28" t="s">
        <v>847</v>
      </c>
      <c r="G116" s="28">
        <v>28</v>
      </c>
      <c r="H116" s="28" t="s">
        <v>1293</v>
      </c>
      <c r="I116" s="28" t="s">
        <v>66</v>
      </c>
      <c r="J116" s="28">
        <v>0.1</v>
      </c>
      <c r="K116" s="28">
        <v>0.05</v>
      </c>
      <c r="L116" s="28" t="s">
        <v>1299</v>
      </c>
      <c r="M116" s="28" t="s">
        <v>1295</v>
      </c>
      <c r="N116" s="28" t="s">
        <v>66</v>
      </c>
      <c r="O116" s="28">
        <v>0.01</v>
      </c>
      <c r="P116" s="28">
        <v>0.00308</v>
      </c>
      <c r="Q116" s="28">
        <f>O116/P116</f>
        <v>3.24675324675325</v>
      </c>
      <c r="R116" s="45">
        <v>0.11</v>
      </c>
      <c r="S116" s="46">
        <f t="shared" si="3"/>
        <v>10</v>
      </c>
    </row>
    <row r="117" customFormat="1" spans="1:19">
      <c r="A117" s="28">
        <v>115</v>
      </c>
      <c r="B117" s="28" t="s">
        <v>1485</v>
      </c>
      <c r="C117" s="28" t="s">
        <v>1476</v>
      </c>
      <c r="D117" s="28" t="s">
        <v>848</v>
      </c>
      <c r="E117" s="28" t="s">
        <v>849</v>
      </c>
      <c r="F117" s="28" t="s">
        <v>850</v>
      </c>
      <c r="G117" s="28">
        <v>28</v>
      </c>
      <c r="H117" s="28" t="s">
        <v>1293</v>
      </c>
      <c r="I117" s="28" t="s">
        <v>61</v>
      </c>
      <c r="J117" s="28">
        <v>0.15</v>
      </c>
      <c r="K117" s="28">
        <v>240</v>
      </c>
      <c r="L117" s="28" t="s">
        <v>1294</v>
      </c>
      <c r="M117" s="28" t="s">
        <v>1295</v>
      </c>
      <c r="N117" s="28" t="s">
        <v>61</v>
      </c>
      <c r="O117" s="28">
        <v>0.08</v>
      </c>
      <c r="P117" s="28">
        <v>0.0448</v>
      </c>
      <c r="Q117" s="28">
        <f>O117/P117</f>
        <v>1.78571428571429</v>
      </c>
      <c r="R117" s="45">
        <v>1.6</v>
      </c>
      <c r="S117" s="46">
        <f t="shared" si="3"/>
        <v>1.875</v>
      </c>
    </row>
    <row r="118" customFormat="1" spans="1:19">
      <c r="A118" s="28">
        <v>116</v>
      </c>
      <c r="B118" s="28" t="s">
        <v>1486</v>
      </c>
      <c r="C118" s="28" t="s">
        <v>1476</v>
      </c>
      <c r="D118" s="28" t="s">
        <v>848</v>
      </c>
      <c r="E118" s="28" t="s">
        <v>849</v>
      </c>
      <c r="F118" s="28" t="s">
        <v>850</v>
      </c>
      <c r="G118" s="28">
        <v>28</v>
      </c>
      <c r="H118" s="28" t="s">
        <v>1293</v>
      </c>
      <c r="I118" s="28" t="s">
        <v>61</v>
      </c>
      <c r="J118" s="28">
        <v>0.54</v>
      </c>
      <c r="K118" s="28">
        <v>240</v>
      </c>
      <c r="L118" s="28" t="s">
        <v>1294</v>
      </c>
      <c r="M118" s="28" t="s">
        <v>1295</v>
      </c>
      <c r="N118" s="28" t="s">
        <v>61</v>
      </c>
      <c r="O118" s="28">
        <v>0.25</v>
      </c>
      <c r="P118" s="28">
        <v>0.1736</v>
      </c>
      <c r="Q118" s="28">
        <f>O118/P118</f>
        <v>1.44009216589862</v>
      </c>
      <c r="R118" s="45">
        <v>6.2</v>
      </c>
      <c r="S118" s="46">
        <f t="shared" si="3"/>
        <v>2.16</v>
      </c>
    </row>
    <row r="119" customFormat="1" spans="1:19">
      <c r="A119" s="28">
        <v>117</v>
      </c>
      <c r="B119" s="28" t="s">
        <v>1487</v>
      </c>
      <c r="C119" s="28" t="s">
        <v>1476</v>
      </c>
      <c r="D119" s="28" t="s">
        <v>852</v>
      </c>
      <c r="E119" s="28" t="s">
        <v>853</v>
      </c>
      <c r="F119" s="28" t="s">
        <v>854</v>
      </c>
      <c r="G119" s="28">
        <v>28</v>
      </c>
      <c r="H119" s="28" t="s">
        <v>1293</v>
      </c>
      <c r="I119" s="28" t="s">
        <v>66</v>
      </c>
      <c r="J119" s="28">
        <v>0.05</v>
      </c>
      <c r="K119" s="28">
        <v>0.05</v>
      </c>
      <c r="L119" s="28" t="s">
        <v>1294</v>
      </c>
      <c r="M119" s="28" t="s">
        <v>1295</v>
      </c>
      <c r="N119" s="28" t="s">
        <v>61</v>
      </c>
      <c r="O119" s="28">
        <v>0.01</v>
      </c>
      <c r="P119" s="28">
        <v>0.00252</v>
      </c>
      <c r="Q119" s="28">
        <f>O119/P119</f>
        <v>3.96825396825397</v>
      </c>
      <c r="R119" s="45">
        <v>0.09</v>
      </c>
      <c r="S119" s="46">
        <f t="shared" si="3"/>
        <v>5</v>
      </c>
    </row>
    <row r="120" s="34" customFormat="1" spans="1:19">
      <c r="A120" s="28">
        <v>118</v>
      </c>
      <c r="B120" s="28" t="s">
        <v>1488</v>
      </c>
      <c r="C120" s="28" t="s">
        <v>1476</v>
      </c>
      <c r="D120" s="28" t="s">
        <v>855</v>
      </c>
      <c r="E120" s="28" t="s">
        <v>856</v>
      </c>
      <c r="F120" s="28" t="s">
        <v>857</v>
      </c>
      <c r="G120" s="28">
        <v>28</v>
      </c>
      <c r="H120" s="28" t="s">
        <v>1293</v>
      </c>
      <c r="I120" s="28" t="s">
        <v>66</v>
      </c>
      <c r="J120" s="28">
        <v>0.084</v>
      </c>
      <c r="K120" s="28">
        <v>0.05</v>
      </c>
      <c r="L120" s="28" t="s">
        <v>1299</v>
      </c>
      <c r="M120" s="28" t="s">
        <v>1306</v>
      </c>
      <c r="N120" s="28" t="s">
        <v>66</v>
      </c>
      <c r="O120" s="28">
        <v>0.02</v>
      </c>
      <c r="P120" s="28" t="s">
        <v>1296</v>
      </c>
      <c r="Q120" s="28" t="s">
        <v>1296</v>
      </c>
      <c r="R120" s="45" t="s">
        <v>1296</v>
      </c>
      <c r="S120" s="46">
        <f t="shared" si="3"/>
        <v>4.2</v>
      </c>
    </row>
    <row r="121" s="34" customFormat="1" spans="1:19">
      <c r="A121" s="28">
        <v>119</v>
      </c>
      <c r="B121" s="28" t="s">
        <v>1489</v>
      </c>
      <c r="C121" s="28" t="s">
        <v>1476</v>
      </c>
      <c r="D121" s="28" t="s">
        <v>858</v>
      </c>
      <c r="E121" s="28" t="s">
        <v>859</v>
      </c>
      <c r="F121" s="28" t="s">
        <v>860</v>
      </c>
      <c r="G121" s="28">
        <v>28</v>
      </c>
      <c r="H121" s="28" t="s">
        <v>1490</v>
      </c>
      <c r="I121" s="28" t="s">
        <v>66</v>
      </c>
      <c r="J121" s="28">
        <v>0.016</v>
      </c>
      <c r="K121" s="28">
        <v>0.01</v>
      </c>
      <c r="L121" s="28" t="s">
        <v>1294</v>
      </c>
      <c r="M121" s="28" t="s">
        <v>1295</v>
      </c>
      <c r="N121" s="28" t="s">
        <v>66</v>
      </c>
      <c r="O121" s="28">
        <v>0.0084</v>
      </c>
      <c r="P121" s="28" t="s">
        <v>1296</v>
      </c>
      <c r="Q121" s="28" t="s">
        <v>1296</v>
      </c>
      <c r="R121" s="45" t="s">
        <v>1296</v>
      </c>
      <c r="S121" s="46">
        <f t="shared" si="3"/>
        <v>1.9047619047619</v>
      </c>
    </row>
    <row r="122" customFormat="1" spans="1:19">
      <c r="A122" s="28">
        <v>120</v>
      </c>
      <c r="B122" s="28" t="s">
        <v>1491</v>
      </c>
      <c r="C122" s="28" t="s">
        <v>1476</v>
      </c>
      <c r="D122" s="28" t="s">
        <v>1492</v>
      </c>
      <c r="E122" s="28" t="s">
        <v>884</v>
      </c>
      <c r="F122" s="28" t="s">
        <v>885</v>
      </c>
      <c r="G122" s="28">
        <v>28</v>
      </c>
      <c r="H122" s="28" t="s">
        <v>1493</v>
      </c>
      <c r="I122" s="28" t="s">
        <v>66</v>
      </c>
      <c r="J122" s="28">
        <v>0.09856</v>
      </c>
      <c r="K122" s="28">
        <v>0.002</v>
      </c>
      <c r="L122" s="28" t="s">
        <v>1294</v>
      </c>
      <c r="M122" s="28" t="s">
        <v>1306</v>
      </c>
      <c r="N122" s="28" t="s">
        <v>66</v>
      </c>
      <c r="O122" s="28">
        <v>0.02</v>
      </c>
      <c r="P122" s="28">
        <v>0.01232</v>
      </c>
      <c r="Q122" s="28">
        <f>O122/P122</f>
        <v>1.62337662337662</v>
      </c>
      <c r="R122" s="45">
        <v>0.44</v>
      </c>
      <c r="S122" s="46">
        <f t="shared" si="3"/>
        <v>4.928</v>
      </c>
    </row>
    <row r="123" customFormat="1" spans="1:19">
      <c r="A123" s="28">
        <v>121</v>
      </c>
      <c r="B123" s="28" t="s">
        <v>1494</v>
      </c>
      <c r="C123" s="28" t="s">
        <v>1476</v>
      </c>
      <c r="D123" s="28" t="s">
        <v>1495</v>
      </c>
      <c r="E123" s="28" t="s">
        <v>884</v>
      </c>
      <c r="F123" s="28" t="s">
        <v>887</v>
      </c>
      <c r="G123" s="28">
        <v>28</v>
      </c>
      <c r="H123" s="28" t="s">
        <v>1493</v>
      </c>
      <c r="I123" s="28" t="s">
        <v>66</v>
      </c>
      <c r="J123" s="28">
        <v>0.09856</v>
      </c>
      <c r="K123" s="28">
        <v>0.002</v>
      </c>
      <c r="L123" s="28" t="s">
        <v>1294</v>
      </c>
      <c r="M123" s="28" t="s">
        <v>1306</v>
      </c>
      <c r="N123" s="28" t="s">
        <v>66</v>
      </c>
      <c r="O123" s="28">
        <v>0.02</v>
      </c>
      <c r="P123" s="28">
        <v>0.01176</v>
      </c>
      <c r="Q123" s="28">
        <f>O123/P123</f>
        <v>1.70068027210884</v>
      </c>
      <c r="R123" s="45">
        <v>0.42</v>
      </c>
      <c r="S123" s="46">
        <f t="shared" si="3"/>
        <v>4.928</v>
      </c>
    </row>
    <row r="124" customFormat="1" spans="1:19">
      <c r="A124" s="28">
        <v>122</v>
      </c>
      <c r="B124" s="28" t="s">
        <v>1496</v>
      </c>
      <c r="C124" s="28" t="s">
        <v>1476</v>
      </c>
      <c r="D124" s="28" t="s">
        <v>1497</v>
      </c>
      <c r="E124" s="28" t="s">
        <v>889</v>
      </c>
      <c r="F124" s="28" t="s">
        <v>890</v>
      </c>
      <c r="G124" s="28">
        <v>28</v>
      </c>
      <c r="H124" s="28" t="s">
        <v>1498</v>
      </c>
      <c r="I124" s="28" t="s">
        <v>66</v>
      </c>
      <c r="J124" s="28">
        <v>0.1</v>
      </c>
      <c r="K124" s="28">
        <v>1</v>
      </c>
      <c r="L124" s="28" t="s">
        <v>1294</v>
      </c>
      <c r="M124" s="28" t="s">
        <v>1306</v>
      </c>
      <c r="N124" s="28" t="s">
        <v>66</v>
      </c>
      <c r="O124" s="28">
        <v>0.02</v>
      </c>
      <c r="P124" s="28">
        <v>0.00896</v>
      </c>
      <c r="Q124" s="28">
        <f>O124/P124</f>
        <v>2.23214285714286</v>
      </c>
      <c r="R124" s="45">
        <v>0.32</v>
      </c>
      <c r="S124" s="46">
        <f t="shared" si="3"/>
        <v>5</v>
      </c>
    </row>
    <row r="125" customFormat="1" spans="1:19">
      <c r="A125" s="28">
        <v>123</v>
      </c>
      <c r="B125" s="28" t="s">
        <v>1499</v>
      </c>
      <c r="C125" s="28" t="s">
        <v>1476</v>
      </c>
      <c r="D125" s="28" t="s">
        <v>1500</v>
      </c>
      <c r="E125" s="28" t="s">
        <v>892</v>
      </c>
      <c r="F125" s="28" t="s">
        <v>893</v>
      </c>
      <c r="G125" s="28">
        <v>28</v>
      </c>
      <c r="H125" s="28" t="s">
        <v>1498</v>
      </c>
      <c r="I125" s="28" t="s">
        <v>66</v>
      </c>
      <c r="J125" s="28">
        <v>0.1</v>
      </c>
      <c r="K125" s="28">
        <v>1</v>
      </c>
      <c r="L125" s="28" t="s">
        <v>1294</v>
      </c>
      <c r="M125" s="28" t="s">
        <v>1306</v>
      </c>
      <c r="N125" s="28" t="s">
        <v>66</v>
      </c>
      <c r="O125" s="28">
        <v>0.02</v>
      </c>
      <c r="P125" s="28">
        <v>0.007</v>
      </c>
      <c r="Q125" s="28">
        <f>O125/P125</f>
        <v>2.85714285714286</v>
      </c>
      <c r="R125" s="45">
        <v>0.25</v>
      </c>
      <c r="S125" s="46">
        <f t="shared" si="3"/>
        <v>5</v>
      </c>
    </row>
    <row r="126" customFormat="1" spans="1:19">
      <c r="A126" s="28">
        <v>124</v>
      </c>
      <c r="B126" s="28" t="s">
        <v>1501</v>
      </c>
      <c r="C126" s="28" t="s">
        <v>1476</v>
      </c>
      <c r="D126" s="28" t="s">
        <v>1502</v>
      </c>
      <c r="E126" s="28" t="s">
        <v>895</v>
      </c>
      <c r="F126" s="28" t="s">
        <v>896</v>
      </c>
      <c r="G126" s="28">
        <v>28</v>
      </c>
      <c r="H126" s="28" t="s">
        <v>1498</v>
      </c>
      <c r="I126" s="28" t="s">
        <v>66</v>
      </c>
      <c r="J126" s="28">
        <v>0.15</v>
      </c>
      <c r="K126" s="28">
        <v>1</v>
      </c>
      <c r="L126" s="28" t="s">
        <v>1294</v>
      </c>
      <c r="M126" s="28" t="s">
        <v>1306</v>
      </c>
      <c r="N126" s="28" t="s">
        <v>66</v>
      </c>
      <c r="O126" s="28">
        <v>0.065</v>
      </c>
      <c r="P126" s="28">
        <v>0.042</v>
      </c>
      <c r="Q126" s="28">
        <f>O126/P126</f>
        <v>1.54761904761905</v>
      </c>
      <c r="R126" s="45">
        <v>1.5</v>
      </c>
      <c r="S126" s="46">
        <f t="shared" si="3"/>
        <v>2.30769230769231</v>
      </c>
    </row>
    <row r="127" s="34" customFormat="1" spans="1:19">
      <c r="A127" s="28">
        <v>125</v>
      </c>
      <c r="B127" s="28" t="s">
        <v>1503</v>
      </c>
      <c r="C127" s="28" t="s">
        <v>1476</v>
      </c>
      <c r="D127" s="28" t="s">
        <v>1504</v>
      </c>
      <c r="E127" s="28" t="s">
        <v>898</v>
      </c>
      <c r="F127" s="28" t="s">
        <v>899</v>
      </c>
      <c r="G127" s="28">
        <v>28</v>
      </c>
      <c r="H127" s="28" t="s">
        <v>1293</v>
      </c>
      <c r="I127" s="28" t="s">
        <v>66</v>
      </c>
      <c r="J127" s="28">
        <v>0.6</v>
      </c>
      <c r="K127" s="28">
        <v>35</v>
      </c>
      <c r="L127" s="28" t="s">
        <v>1299</v>
      </c>
      <c r="M127" s="28" t="s">
        <v>1295</v>
      </c>
      <c r="N127" s="28" t="s">
        <v>66</v>
      </c>
      <c r="O127" s="28">
        <v>0.2</v>
      </c>
      <c r="P127" s="28" t="s">
        <v>1296</v>
      </c>
      <c r="Q127" s="28" t="s">
        <v>1296</v>
      </c>
      <c r="R127" s="45" t="s">
        <v>1296</v>
      </c>
      <c r="S127" s="46">
        <f t="shared" si="3"/>
        <v>3</v>
      </c>
    </row>
    <row r="128" s="34" customFormat="1" spans="1:19">
      <c r="A128" s="28">
        <v>126</v>
      </c>
      <c r="B128" s="28" t="s">
        <v>1505</v>
      </c>
      <c r="C128" s="28" t="s">
        <v>1476</v>
      </c>
      <c r="D128" s="28" t="s">
        <v>1506</v>
      </c>
      <c r="E128" s="28" t="s">
        <v>901</v>
      </c>
      <c r="F128" s="28" t="s">
        <v>902</v>
      </c>
      <c r="G128" s="28">
        <v>28</v>
      </c>
      <c r="H128" s="28" t="s">
        <v>1293</v>
      </c>
      <c r="I128" s="28" t="s">
        <v>66</v>
      </c>
      <c r="J128" s="47">
        <v>0.3</v>
      </c>
      <c r="K128" s="28">
        <v>35</v>
      </c>
      <c r="L128" s="28" t="s">
        <v>1299</v>
      </c>
      <c r="M128" s="28" t="s">
        <v>1295</v>
      </c>
      <c r="N128" s="28" t="s">
        <v>66</v>
      </c>
      <c r="O128" s="28">
        <v>0.1</v>
      </c>
      <c r="P128" s="28" t="s">
        <v>1296</v>
      </c>
      <c r="Q128" s="28" t="s">
        <v>1296</v>
      </c>
      <c r="R128" s="45" t="s">
        <v>1296</v>
      </c>
      <c r="S128" s="46">
        <f t="shared" si="3"/>
        <v>3</v>
      </c>
    </row>
    <row r="129" s="34" customFormat="1" spans="1:19">
      <c r="A129" s="28">
        <v>127</v>
      </c>
      <c r="B129" s="28" t="s">
        <v>1507</v>
      </c>
      <c r="C129" s="28" t="s">
        <v>1476</v>
      </c>
      <c r="D129" s="28" t="s">
        <v>910</v>
      </c>
      <c r="E129" s="28" t="s">
        <v>911</v>
      </c>
      <c r="F129" s="28" t="s">
        <v>912</v>
      </c>
      <c r="G129" s="28">
        <v>28</v>
      </c>
      <c r="H129" s="28" t="s">
        <v>1293</v>
      </c>
      <c r="I129" s="28" t="s">
        <v>66</v>
      </c>
      <c r="J129" s="28">
        <v>0.6</v>
      </c>
      <c r="K129" s="28">
        <v>0.05</v>
      </c>
      <c r="L129" s="28" t="s">
        <v>1294</v>
      </c>
      <c r="M129" s="28" t="s">
        <v>1295</v>
      </c>
      <c r="N129" s="28" t="s">
        <v>66</v>
      </c>
      <c r="O129" s="28">
        <v>0.11</v>
      </c>
      <c r="P129" s="28" t="s">
        <v>1296</v>
      </c>
      <c r="Q129" s="28" t="s">
        <v>1296</v>
      </c>
      <c r="R129" s="45" t="s">
        <v>1296</v>
      </c>
      <c r="S129" s="46">
        <f t="shared" si="3"/>
        <v>5.45454545454545</v>
      </c>
    </row>
    <row r="130" s="34" customFormat="1" spans="1:19">
      <c r="A130" s="28">
        <v>128</v>
      </c>
      <c r="B130" s="28" t="s">
        <v>1508</v>
      </c>
      <c r="C130" s="28" t="s">
        <v>1476</v>
      </c>
      <c r="D130" s="28" t="s">
        <v>918</v>
      </c>
      <c r="E130" s="28" t="s">
        <v>919</v>
      </c>
      <c r="F130" s="28" t="s">
        <v>920</v>
      </c>
      <c r="G130" s="28">
        <v>28</v>
      </c>
      <c r="H130" s="28" t="s">
        <v>1293</v>
      </c>
      <c r="I130" s="28" t="s">
        <v>66</v>
      </c>
      <c r="J130" s="28">
        <v>3.5</v>
      </c>
      <c r="K130" s="28">
        <v>0.01</v>
      </c>
      <c r="L130" s="28" t="s">
        <v>1294</v>
      </c>
      <c r="M130" s="28" t="s">
        <v>1295</v>
      </c>
      <c r="N130" s="28" t="s">
        <v>61</v>
      </c>
      <c r="O130" s="28">
        <v>0.5</v>
      </c>
      <c r="P130" s="28" t="s">
        <v>1296</v>
      </c>
      <c r="Q130" s="28" t="s">
        <v>1296</v>
      </c>
      <c r="R130" s="45" t="s">
        <v>1296</v>
      </c>
      <c r="S130" s="46">
        <f t="shared" si="3"/>
        <v>7</v>
      </c>
    </row>
    <row r="131" s="34" customFormat="1" spans="1:19">
      <c r="A131" s="28">
        <v>129</v>
      </c>
      <c r="B131" s="28" t="s">
        <v>1509</v>
      </c>
      <c r="C131" s="28" t="s">
        <v>1476</v>
      </c>
      <c r="D131" s="28" t="s">
        <v>921</v>
      </c>
      <c r="E131" s="28" t="s">
        <v>689</v>
      </c>
      <c r="F131" s="28" t="s">
        <v>689</v>
      </c>
      <c r="G131" s="28">
        <v>28</v>
      </c>
      <c r="H131" s="28" t="s">
        <v>1293</v>
      </c>
      <c r="I131" s="28" t="s">
        <v>66</v>
      </c>
      <c r="J131" s="28">
        <v>0.4</v>
      </c>
      <c r="K131" s="28">
        <v>0.05</v>
      </c>
      <c r="L131" s="28" t="s">
        <v>1299</v>
      </c>
      <c r="M131" s="28" t="s">
        <v>1295</v>
      </c>
      <c r="N131" s="28" t="s">
        <v>66</v>
      </c>
      <c r="O131" s="28">
        <v>0.08</v>
      </c>
      <c r="P131" s="28" t="s">
        <v>1296</v>
      </c>
      <c r="Q131" s="28" t="s">
        <v>1296</v>
      </c>
      <c r="R131" s="45" t="s">
        <v>1296</v>
      </c>
      <c r="S131" s="46">
        <f t="shared" si="3"/>
        <v>5</v>
      </c>
    </row>
    <row r="132" customFormat="1" spans="1:19">
      <c r="A132" s="28">
        <v>130</v>
      </c>
      <c r="B132" s="28" t="s">
        <v>1510</v>
      </c>
      <c r="C132" s="28" t="s">
        <v>1476</v>
      </c>
      <c r="D132" s="28" t="s">
        <v>1511</v>
      </c>
      <c r="E132" s="28" t="s">
        <v>933</v>
      </c>
      <c r="F132" s="28" t="s">
        <v>934</v>
      </c>
      <c r="G132" s="28">
        <v>28</v>
      </c>
      <c r="H132" s="28" t="s">
        <v>1293</v>
      </c>
      <c r="I132" s="28" t="s">
        <v>66</v>
      </c>
      <c r="J132" s="28">
        <v>0.02</v>
      </c>
      <c r="K132" s="28">
        <v>0.01</v>
      </c>
      <c r="L132" s="28" t="s">
        <v>1294</v>
      </c>
      <c r="M132" s="28" t="s">
        <v>1295</v>
      </c>
      <c r="N132" s="28" t="s">
        <v>66</v>
      </c>
      <c r="O132" s="28">
        <v>0.01</v>
      </c>
      <c r="P132" s="28">
        <v>0.00084</v>
      </c>
      <c r="Q132" s="28">
        <f>O132/P132</f>
        <v>11.9047619047619</v>
      </c>
      <c r="R132" s="45">
        <v>0.03</v>
      </c>
      <c r="S132" s="46">
        <f t="shared" si="3"/>
        <v>2</v>
      </c>
    </row>
    <row r="133" customFormat="1" spans="1:19">
      <c r="A133" s="28">
        <v>131</v>
      </c>
      <c r="B133" s="28" t="s">
        <v>1512</v>
      </c>
      <c r="C133" s="28" t="s">
        <v>1476</v>
      </c>
      <c r="D133" s="28" t="s">
        <v>1513</v>
      </c>
      <c r="E133" s="28" t="s">
        <v>933</v>
      </c>
      <c r="F133" s="28" t="s">
        <v>936</v>
      </c>
      <c r="G133" s="28">
        <v>28</v>
      </c>
      <c r="H133" s="28" t="s">
        <v>1293</v>
      </c>
      <c r="I133" s="28" t="s">
        <v>66</v>
      </c>
      <c r="J133" s="28">
        <v>0.02</v>
      </c>
      <c r="K133" s="28">
        <v>0.01</v>
      </c>
      <c r="L133" s="28" t="s">
        <v>1294</v>
      </c>
      <c r="M133" s="28" t="s">
        <v>1295</v>
      </c>
      <c r="N133" s="28" t="s">
        <v>66</v>
      </c>
      <c r="O133" s="28">
        <v>0.01</v>
      </c>
      <c r="P133" s="28">
        <v>0.0028</v>
      </c>
      <c r="Q133" s="28">
        <f>O133/P133</f>
        <v>3.57142857142857</v>
      </c>
      <c r="R133" s="45">
        <v>0.1</v>
      </c>
      <c r="S133" s="46">
        <f t="shared" si="3"/>
        <v>2</v>
      </c>
    </row>
    <row r="134" s="34" customFormat="1" spans="1:19">
      <c r="A134" s="28">
        <v>132</v>
      </c>
      <c r="B134" s="28" t="s">
        <v>1514</v>
      </c>
      <c r="C134" s="28" t="s">
        <v>1476</v>
      </c>
      <c r="D134" s="28" t="s">
        <v>937</v>
      </c>
      <c r="E134" s="28" t="s">
        <v>938</v>
      </c>
      <c r="F134" s="28" t="s">
        <v>939</v>
      </c>
      <c r="G134" s="28">
        <v>28</v>
      </c>
      <c r="H134" s="28" t="s">
        <v>1293</v>
      </c>
      <c r="I134" s="28" t="s">
        <v>66</v>
      </c>
      <c r="J134" s="28">
        <v>0.05</v>
      </c>
      <c r="K134" s="28">
        <v>0.05</v>
      </c>
      <c r="L134" s="28" t="s">
        <v>1294</v>
      </c>
      <c r="M134" s="28" t="s">
        <v>1295</v>
      </c>
      <c r="N134" s="28" t="s">
        <v>66</v>
      </c>
      <c r="O134" s="28">
        <v>0.02</v>
      </c>
      <c r="P134" s="28" t="s">
        <v>1296</v>
      </c>
      <c r="Q134" s="28" t="s">
        <v>1296</v>
      </c>
      <c r="R134" s="45" t="s">
        <v>1296</v>
      </c>
      <c r="S134" s="46">
        <f t="shared" ref="S134:S197" si="5">J134/O134</f>
        <v>2.5</v>
      </c>
    </row>
    <row r="135" customFormat="1" spans="1:19">
      <c r="A135" s="28">
        <v>133</v>
      </c>
      <c r="B135" s="28" t="s">
        <v>1515</v>
      </c>
      <c r="C135" s="28" t="s">
        <v>1516</v>
      </c>
      <c r="D135" s="28" t="s">
        <v>1517</v>
      </c>
      <c r="E135" s="28" t="s">
        <v>945</v>
      </c>
      <c r="F135" s="28" t="s">
        <v>946</v>
      </c>
      <c r="G135" s="28">
        <v>28</v>
      </c>
      <c r="H135" s="28" t="s">
        <v>1293</v>
      </c>
      <c r="I135" s="28" t="s">
        <v>66</v>
      </c>
      <c r="J135" s="28">
        <v>0.1</v>
      </c>
      <c r="K135" s="28">
        <v>0.2</v>
      </c>
      <c r="L135" s="28" t="s">
        <v>1299</v>
      </c>
      <c r="M135" s="28" t="s">
        <v>1306</v>
      </c>
      <c r="N135" s="28" t="s">
        <v>66</v>
      </c>
      <c r="O135" s="28">
        <v>0.045</v>
      </c>
      <c r="P135" s="28">
        <v>0.028</v>
      </c>
      <c r="Q135" s="28">
        <f t="shared" ref="Q135:Q144" si="6">O135/P135</f>
        <v>1.60714285714286</v>
      </c>
      <c r="R135" s="45">
        <v>1</v>
      </c>
      <c r="S135" s="46">
        <f t="shared" si="5"/>
        <v>2.22222222222222</v>
      </c>
    </row>
    <row r="136" customFormat="1" spans="1:19">
      <c r="A136" s="28">
        <v>134</v>
      </c>
      <c r="B136" s="28" t="s">
        <v>1518</v>
      </c>
      <c r="C136" s="28" t="s">
        <v>1516</v>
      </c>
      <c r="D136" s="28" t="s">
        <v>1519</v>
      </c>
      <c r="E136" s="28" t="s">
        <v>945</v>
      </c>
      <c r="F136" s="28" t="s">
        <v>948</v>
      </c>
      <c r="G136" s="28">
        <v>28</v>
      </c>
      <c r="H136" s="28" t="s">
        <v>1293</v>
      </c>
      <c r="I136" s="28" t="s">
        <v>66</v>
      </c>
      <c r="J136" s="28">
        <v>0.1</v>
      </c>
      <c r="K136" s="28">
        <v>0.2</v>
      </c>
      <c r="L136" s="28" t="s">
        <v>1299</v>
      </c>
      <c r="M136" s="28" t="s">
        <v>1306</v>
      </c>
      <c r="N136" s="28" t="s">
        <v>66</v>
      </c>
      <c r="O136" s="28">
        <v>0.045</v>
      </c>
      <c r="P136" s="28">
        <v>0.028</v>
      </c>
      <c r="Q136" s="28">
        <f t="shared" si="6"/>
        <v>1.60714285714286</v>
      </c>
      <c r="R136" s="45">
        <v>1</v>
      </c>
      <c r="S136" s="46">
        <f t="shared" si="5"/>
        <v>2.22222222222222</v>
      </c>
    </row>
    <row r="137" customFormat="1" spans="1:19">
      <c r="A137" s="28">
        <v>135</v>
      </c>
      <c r="B137" s="28" t="s">
        <v>1520</v>
      </c>
      <c r="C137" s="28" t="s">
        <v>1516</v>
      </c>
      <c r="D137" s="28" t="s">
        <v>1521</v>
      </c>
      <c r="E137" s="28" t="s">
        <v>951</v>
      </c>
      <c r="F137" s="28" t="s">
        <v>952</v>
      </c>
      <c r="G137" s="28">
        <v>28</v>
      </c>
      <c r="H137" s="28" t="s">
        <v>1338</v>
      </c>
      <c r="I137" s="28" t="s">
        <v>66</v>
      </c>
      <c r="J137" s="28">
        <v>0.05</v>
      </c>
      <c r="K137" s="28">
        <v>3</v>
      </c>
      <c r="L137" s="28" t="s">
        <v>1294</v>
      </c>
      <c r="M137" s="28" t="s">
        <v>1295</v>
      </c>
      <c r="N137" s="28" t="s">
        <v>61</v>
      </c>
      <c r="O137" s="28">
        <v>0.02</v>
      </c>
      <c r="P137" s="28">
        <v>0.01344</v>
      </c>
      <c r="Q137" s="28">
        <f t="shared" si="6"/>
        <v>1.48809523809524</v>
      </c>
      <c r="R137" s="45">
        <v>0.48</v>
      </c>
      <c r="S137" s="46">
        <f t="shared" si="5"/>
        <v>2.5</v>
      </c>
    </row>
    <row r="138" customFormat="1" spans="1:19">
      <c r="A138" s="28">
        <v>136</v>
      </c>
      <c r="B138" s="28" t="s">
        <v>1522</v>
      </c>
      <c r="C138" s="28" t="s">
        <v>1516</v>
      </c>
      <c r="D138" s="28" t="s">
        <v>1523</v>
      </c>
      <c r="E138" s="28" t="s">
        <v>951</v>
      </c>
      <c r="F138" s="28" t="s">
        <v>954</v>
      </c>
      <c r="G138" s="28">
        <v>28</v>
      </c>
      <c r="H138" s="28" t="s">
        <v>1338</v>
      </c>
      <c r="I138" s="28" t="s">
        <v>66</v>
      </c>
      <c r="J138" s="28">
        <v>0.05</v>
      </c>
      <c r="K138" s="28">
        <v>3</v>
      </c>
      <c r="L138" s="28" t="s">
        <v>1294</v>
      </c>
      <c r="M138" s="28" t="s">
        <v>1295</v>
      </c>
      <c r="N138" s="28" t="s">
        <v>61</v>
      </c>
      <c r="O138" s="28">
        <v>0.02</v>
      </c>
      <c r="P138" s="28">
        <v>0.014</v>
      </c>
      <c r="Q138" s="28">
        <f t="shared" si="6"/>
        <v>1.42857142857143</v>
      </c>
      <c r="R138" s="45">
        <v>0.5</v>
      </c>
      <c r="S138" s="46">
        <f t="shared" si="5"/>
        <v>2.5</v>
      </c>
    </row>
    <row r="139" customFormat="1" spans="1:19">
      <c r="A139" s="28">
        <v>137</v>
      </c>
      <c r="B139" s="28" t="s">
        <v>1524</v>
      </c>
      <c r="C139" s="28" t="s">
        <v>1516</v>
      </c>
      <c r="D139" s="28" t="s">
        <v>1525</v>
      </c>
      <c r="E139" s="28" t="s">
        <v>956</v>
      </c>
      <c r="F139" s="28" t="s">
        <v>957</v>
      </c>
      <c r="G139" s="28">
        <v>28</v>
      </c>
      <c r="H139" s="28" t="s">
        <v>1293</v>
      </c>
      <c r="I139" s="28" t="s">
        <v>66</v>
      </c>
      <c r="J139" s="28">
        <v>0.16</v>
      </c>
      <c r="K139" s="28">
        <v>0.2</v>
      </c>
      <c r="L139" s="28" t="s">
        <v>1299</v>
      </c>
      <c r="M139" s="28" t="s">
        <v>1306</v>
      </c>
      <c r="N139" s="28" t="s">
        <v>66</v>
      </c>
      <c r="O139" s="28">
        <v>0.065</v>
      </c>
      <c r="P139" s="28">
        <v>0.042</v>
      </c>
      <c r="Q139" s="28">
        <f t="shared" si="6"/>
        <v>1.54761904761905</v>
      </c>
      <c r="R139" s="45">
        <v>1.5</v>
      </c>
      <c r="S139" s="46">
        <f t="shared" si="5"/>
        <v>2.46153846153846</v>
      </c>
    </row>
    <row r="140" customFormat="1" spans="1:19">
      <c r="A140" s="28">
        <v>138</v>
      </c>
      <c r="B140" s="28" t="s">
        <v>1526</v>
      </c>
      <c r="C140" s="28" t="s">
        <v>1516</v>
      </c>
      <c r="D140" s="28" t="s">
        <v>1527</v>
      </c>
      <c r="E140" s="28" t="s">
        <v>956</v>
      </c>
      <c r="F140" s="28" t="s">
        <v>959</v>
      </c>
      <c r="G140" s="28">
        <v>28</v>
      </c>
      <c r="H140" s="28" t="s">
        <v>1293</v>
      </c>
      <c r="I140" s="28" t="s">
        <v>66</v>
      </c>
      <c r="J140" s="28">
        <v>0.16</v>
      </c>
      <c r="K140" s="28">
        <v>0.2</v>
      </c>
      <c r="L140" s="28" t="s">
        <v>1299</v>
      </c>
      <c r="M140" s="28" t="s">
        <v>1306</v>
      </c>
      <c r="N140" s="28" t="s">
        <v>66</v>
      </c>
      <c r="O140" s="28">
        <v>0.065</v>
      </c>
      <c r="P140" s="28">
        <v>0.0532</v>
      </c>
      <c r="Q140" s="28">
        <f t="shared" si="6"/>
        <v>1.2218045112782</v>
      </c>
      <c r="R140" s="45">
        <v>1.9</v>
      </c>
      <c r="S140" s="46">
        <f t="shared" si="5"/>
        <v>2.46153846153846</v>
      </c>
    </row>
    <row r="141" customFormat="1" spans="1:19">
      <c r="A141" s="28">
        <v>139</v>
      </c>
      <c r="B141" s="28" t="s">
        <v>1528</v>
      </c>
      <c r="C141" s="28" t="s">
        <v>1516</v>
      </c>
      <c r="D141" s="28" t="s">
        <v>1529</v>
      </c>
      <c r="E141" s="28" t="s">
        <v>956</v>
      </c>
      <c r="F141" s="28" t="s">
        <v>961</v>
      </c>
      <c r="G141" s="28">
        <v>28</v>
      </c>
      <c r="H141" s="28" t="s">
        <v>1293</v>
      </c>
      <c r="I141" s="28" t="s">
        <v>66</v>
      </c>
      <c r="J141" s="28">
        <v>0.16</v>
      </c>
      <c r="K141" s="28">
        <v>0.2</v>
      </c>
      <c r="L141" s="28" t="s">
        <v>1299</v>
      </c>
      <c r="M141" s="28" t="s">
        <v>1306</v>
      </c>
      <c r="N141" s="28" t="s">
        <v>66</v>
      </c>
      <c r="O141" s="28">
        <v>0.065</v>
      </c>
      <c r="P141" s="28">
        <v>0.05236</v>
      </c>
      <c r="Q141" s="28">
        <f t="shared" si="6"/>
        <v>1.24140565317036</v>
      </c>
      <c r="R141" s="45">
        <v>1.87</v>
      </c>
      <c r="S141" s="46">
        <f t="shared" si="5"/>
        <v>2.46153846153846</v>
      </c>
    </row>
    <row r="142" customFormat="1" spans="1:19">
      <c r="A142" s="28">
        <v>140</v>
      </c>
      <c r="B142" s="28" t="s">
        <v>1530</v>
      </c>
      <c r="C142" s="28" t="s">
        <v>1516</v>
      </c>
      <c r="D142" s="28" t="s">
        <v>1531</v>
      </c>
      <c r="E142" s="28" t="s">
        <v>956</v>
      </c>
      <c r="F142" s="28" t="s">
        <v>963</v>
      </c>
      <c r="G142" s="28">
        <v>28</v>
      </c>
      <c r="H142" s="28" t="s">
        <v>1293</v>
      </c>
      <c r="I142" s="28" t="s">
        <v>66</v>
      </c>
      <c r="J142" s="28">
        <v>0.16</v>
      </c>
      <c r="K142" s="28">
        <v>0.2</v>
      </c>
      <c r="L142" s="28" t="s">
        <v>1299</v>
      </c>
      <c r="M142" s="28" t="s">
        <v>1306</v>
      </c>
      <c r="N142" s="28" t="s">
        <v>66</v>
      </c>
      <c r="O142" s="28">
        <v>0.065</v>
      </c>
      <c r="P142" s="28">
        <v>0.042</v>
      </c>
      <c r="Q142" s="28">
        <f t="shared" si="6"/>
        <v>1.54761904761905</v>
      </c>
      <c r="R142" s="45">
        <v>1.5</v>
      </c>
      <c r="S142" s="46">
        <f t="shared" si="5"/>
        <v>2.46153846153846</v>
      </c>
    </row>
    <row r="143" customFormat="1" spans="1:19">
      <c r="A143" s="28">
        <v>141</v>
      </c>
      <c r="B143" s="28" t="s">
        <v>1532</v>
      </c>
      <c r="C143" s="28" t="s">
        <v>1516</v>
      </c>
      <c r="D143" s="28" t="s">
        <v>1533</v>
      </c>
      <c r="E143" s="28" t="s">
        <v>956</v>
      </c>
      <c r="F143" s="28" t="s">
        <v>965</v>
      </c>
      <c r="G143" s="28">
        <v>28</v>
      </c>
      <c r="H143" s="28" t="s">
        <v>1293</v>
      </c>
      <c r="I143" s="28" t="s">
        <v>66</v>
      </c>
      <c r="J143" s="28">
        <v>0.16</v>
      </c>
      <c r="K143" s="28">
        <v>0.2</v>
      </c>
      <c r="L143" s="28" t="s">
        <v>1299</v>
      </c>
      <c r="M143" s="28" t="s">
        <v>1306</v>
      </c>
      <c r="N143" s="28" t="s">
        <v>66</v>
      </c>
      <c r="O143" s="28">
        <v>0.065</v>
      </c>
      <c r="P143" s="28">
        <v>0.0392</v>
      </c>
      <c r="Q143" s="28">
        <f t="shared" si="6"/>
        <v>1.65816326530612</v>
      </c>
      <c r="R143" s="45">
        <v>1.4</v>
      </c>
      <c r="S143" s="46">
        <f t="shared" si="5"/>
        <v>2.46153846153846</v>
      </c>
    </row>
    <row r="144" customFormat="1" spans="1:19">
      <c r="A144" s="28">
        <v>142</v>
      </c>
      <c r="B144" s="28" t="s">
        <v>1534</v>
      </c>
      <c r="C144" s="28" t="s">
        <v>1516</v>
      </c>
      <c r="D144" s="28" t="s">
        <v>1535</v>
      </c>
      <c r="E144" s="28" t="s">
        <v>956</v>
      </c>
      <c r="F144" s="28" t="s">
        <v>967</v>
      </c>
      <c r="G144" s="28">
        <v>28</v>
      </c>
      <c r="H144" s="28" t="s">
        <v>1293</v>
      </c>
      <c r="I144" s="28" t="s">
        <v>66</v>
      </c>
      <c r="J144" s="28">
        <v>0.16</v>
      </c>
      <c r="K144" s="28">
        <v>0.2</v>
      </c>
      <c r="L144" s="28" t="s">
        <v>1299</v>
      </c>
      <c r="M144" s="28" t="s">
        <v>1306</v>
      </c>
      <c r="N144" s="28" t="s">
        <v>66</v>
      </c>
      <c r="O144" s="28">
        <v>0.065</v>
      </c>
      <c r="P144" s="28">
        <v>0.03976</v>
      </c>
      <c r="Q144" s="28">
        <f t="shared" si="6"/>
        <v>1.63480885311871</v>
      </c>
      <c r="R144" s="45">
        <v>1.42</v>
      </c>
      <c r="S144" s="46">
        <f t="shared" si="5"/>
        <v>2.46153846153846</v>
      </c>
    </row>
    <row r="145" s="34" customFormat="1" spans="1:19">
      <c r="A145" s="28">
        <v>143</v>
      </c>
      <c r="B145" s="28" t="s">
        <v>1536</v>
      </c>
      <c r="C145" s="28" t="s">
        <v>1537</v>
      </c>
      <c r="D145" s="28" t="s">
        <v>969</v>
      </c>
      <c r="E145" s="28" t="s">
        <v>970</v>
      </c>
      <c r="F145" s="28" t="s">
        <v>971</v>
      </c>
      <c r="G145" s="28">
        <v>28</v>
      </c>
      <c r="H145" s="28" t="s">
        <v>1447</v>
      </c>
      <c r="I145" s="28" t="s">
        <v>66</v>
      </c>
      <c r="J145" s="28">
        <v>0.2</v>
      </c>
      <c r="K145" s="28">
        <v>600</v>
      </c>
      <c r="L145" s="28" t="s">
        <v>1294</v>
      </c>
      <c r="M145" s="28" t="s">
        <v>1295</v>
      </c>
      <c r="N145" s="28" t="s">
        <v>61</v>
      </c>
      <c r="O145" s="28">
        <v>0.084</v>
      </c>
      <c r="P145" s="28" t="s">
        <v>1296</v>
      </c>
      <c r="Q145" s="28" t="s">
        <v>1296</v>
      </c>
      <c r="R145" s="45" t="s">
        <v>1296</v>
      </c>
      <c r="S145" s="46">
        <f t="shared" si="5"/>
        <v>2.38095238095238</v>
      </c>
    </row>
    <row r="146" customFormat="1" spans="1:19">
      <c r="A146" s="28">
        <v>144</v>
      </c>
      <c r="B146" s="28" t="s">
        <v>1538</v>
      </c>
      <c r="C146" s="28" t="s">
        <v>1539</v>
      </c>
      <c r="D146" s="28" t="s">
        <v>1540</v>
      </c>
      <c r="E146" s="28" t="s">
        <v>1008</v>
      </c>
      <c r="F146" s="28" t="s">
        <v>1009</v>
      </c>
      <c r="G146" s="28">
        <v>28</v>
      </c>
      <c r="H146" s="28" t="s">
        <v>1293</v>
      </c>
      <c r="I146" s="28" t="s">
        <v>66</v>
      </c>
      <c r="J146" s="28">
        <v>0.1</v>
      </c>
      <c r="K146" s="28">
        <v>0.05</v>
      </c>
      <c r="L146" s="28" t="s">
        <v>1294</v>
      </c>
      <c r="M146" s="28" t="s">
        <v>1295</v>
      </c>
      <c r="N146" s="28" t="s">
        <v>61</v>
      </c>
      <c r="O146" s="28">
        <v>0.03</v>
      </c>
      <c r="P146" s="28">
        <v>0.01624</v>
      </c>
      <c r="Q146" s="28">
        <f>O146/P146</f>
        <v>1.84729064039409</v>
      </c>
      <c r="R146" s="45">
        <v>0.58</v>
      </c>
      <c r="S146" s="46">
        <f t="shared" si="5"/>
        <v>3.33333333333333</v>
      </c>
    </row>
    <row r="147" customFormat="1" spans="1:19">
      <c r="A147" s="28">
        <v>145</v>
      </c>
      <c r="B147" s="28" t="s">
        <v>1541</v>
      </c>
      <c r="C147" s="28" t="s">
        <v>1539</v>
      </c>
      <c r="D147" s="28" t="s">
        <v>1542</v>
      </c>
      <c r="E147" s="28" t="s">
        <v>1008</v>
      </c>
      <c r="F147" s="28" t="s">
        <v>1011</v>
      </c>
      <c r="G147" s="28">
        <v>28</v>
      </c>
      <c r="H147" s="28" t="s">
        <v>1293</v>
      </c>
      <c r="I147" s="28" t="s">
        <v>66</v>
      </c>
      <c r="J147" s="28">
        <v>0.1</v>
      </c>
      <c r="K147" s="28">
        <v>0.05</v>
      </c>
      <c r="L147" s="28" t="s">
        <v>1294</v>
      </c>
      <c r="M147" s="28" t="s">
        <v>1295</v>
      </c>
      <c r="N147" s="28" t="s">
        <v>61</v>
      </c>
      <c r="O147" s="28">
        <v>0.03</v>
      </c>
      <c r="P147" s="28">
        <v>0.01484</v>
      </c>
      <c r="Q147" s="28">
        <f>O147/P147</f>
        <v>2.02156334231806</v>
      </c>
      <c r="R147" s="45">
        <v>0.53</v>
      </c>
      <c r="S147" s="46">
        <f t="shared" si="5"/>
        <v>3.33333333333333</v>
      </c>
    </row>
    <row r="148" customFormat="1" spans="1:19">
      <c r="A148" s="28">
        <v>146</v>
      </c>
      <c r="B148" s="28" t="s">
        <v>1543</v>
      </c>
      <c r="C148" s="28" t="s">
        <v>1539</v>
      </c>
      <c r="D148" s="28" t="s">
        <v>1012</v>
      </c>
      <c r="E148" s="28" t="s">
        <v>1013</v>
      </c>
      <c r="F148" s="28" t="s">
        <v>1014</v>
      </c>
      <c r="G148" s="28">
        <v>28</v>
      </c>
      <c r="H148" s="28" t="s">
        <v>1293</v>
      </c>
      <c r="I148" s="28" t="s">
        <v>66</v>
      </c>
      <c r="J148" s="28">
        <v>0.05</v>
      </c>
      <c r="K148" s="28">
        <v>0.05</v>
      </c>
      <c r="L148" s="28" t="s">
        <v>1294</v>
      </c>
      <c r="M148" s="28" t="s">
        <v>1295</v>
      </c>
      <c r="N148" s="28" t="s">
        <v>61</v>
      </c>
      <c r="O148" s="28">
        <v>0.01</v>
      </c>
      <c r="P148" s="28">
        <v>0.00336000000000003</v>
      </c>
      <c r="Q148" s="28">
        <f>O148/P148</f>
        <v>2.97619047619045</v>
      </c>
      <c r="R148" s="45">
        <v>0.120000000000001</v>
      </c>
      <c r="S148" s="46">
        <f t="shared" si="5"/>
        <v>5</v>
      </c>
    </row>
    <row r="149" s="34" customFormat="1" spans="1:19">
      <c r="A149" s="28">
        <v>147</v>
      </c>
      <c r="B149" s="28" t="s">
        <v>1544</v>
      </c>
      <c r="C149" s="28" t="s">
        <v>1539</v>
      </c>
      <c r="D149" s="28" t="s">
        <v>1015</v>
      </c>
      <c r="E149" s="28" t="s">
        <v>1016</v>
      </c>
      <c r="F149" s="28" t="s">
        <v>1017</v>
      </c>
      <c r="G149" s="28">
        <v>28</v>
      </c>
      <c r="H149" s="28" t="s">
        <v>1293</v>
      </c>
      <c r="I149" s="28" t="s">
        <v>66</v>
      </c>
      <c r="J149" s="28">
        <v>0.02</v>
      </c>
      <c r="K149" s="28">
        <v>0.05</v>
      </c>
      <c r="L149" s="28" t="s">
        <v>1294</v>
      </c>
      <c r="M149" s="28" t="s">
        <v>1295</v>
      </c>
      <c r="N149" s="28" t="s">
        <v>61</v>
      </c>
      <c r="O149" s="28">
        <v>0.006</v>
      </c>
      <c r="P149" s="28" t="s">
        <v>1296</v>
      </c>
      <c r="Q149" s="28" t="s">
        <v>1296</v>
      </c>
      <c r="R149" s="45" t="s">
        <v>1296</v>
      </c>
      <c r="S149" s="46">
        <f t="shared" si="5"/>
        <v>3.33333333333333</v>
      </c>
    </row>
    <row r="150" s="34" customFormat="1" spans="1:19">
      <c r="A150" s="28">
        <v>148</v>
      </c>
      <c r="B150" s="28" t="s">
        <v>1545</v>
      </c>
      <c r="C150" s="28" t="s">
        <v>1539</v>
      </c>
      <c r="D150" s="28" t="s">
        <v>1018</v>
      </c>
      <c r="E150" s="28" t="s">
        <v>1019</v>
      </c>
      <c r="F150" s="28" t="s">
        <v>1020</v>
      </c>
      <c r="G150" s="28">
        <v>28</v>
      </c>
      <c r="H150" s="28" t="s">
        <v>1293</v>
      </c>
      <c r="I150" s="28" t="s">
        <v>66</v>
      </c>
      <c r="J150" s="28">
        <v>0.4</v>
      </c>
      <c r="K150" s="28">
        <v>0.05</v>
      </c>
      <c r="L150" s="28" t="s">
        <v>1299</v>
      </c>
      <c r="M150" s="28" t="s">
        <v>1295</v>
      </c>
      <c r="N150" s="28" t="s">
        <v>66</v>
      </c>
      <c r="O150" s="28">
        <v>0.2</v>
      </c>
      <c r="P150" s="28" t="s">
        <v>1296</v>
      </c>
      <c r="Q150" s="28" t="s">
        <v>1296</v>
      </c>
      <c r="R150" s="45" t="s">
        <v>1296</v>
      </c>
      <c r="S150" s="46">
        <f t="shared" si="5"/>
        <v>2</v>
      </c>
    </row>
    <row r="151" s="34" customFormat="1" spans="1:19">
      <c r="A151" s="28">
        <v>149</v>
      </c>
      <c r="B151" s="28" t="s">
        <v>1546</v>
      </c>
      <c r="C151" s="28" t="s">
        <v>1539</v>
      </c>
      <c r="D151" s="28" t="s">
        <v>1021</v>
      </c>
      <c r="E151" s="28" t="s">
        <v>1022</v>
      </c>
      <c r="F151" s="28" t="s">
        <v>1023</v>
      </c>
      <c r="G151" s="28">
        <v>28</v>
      </c>
      <c r="H151" s="28" t="s">
        <v>1293</v>
      </c>
      <c r="I151" s="28" t="s">
        <v>66</v>
      </c>
      <c r="J151" s="28">
        <v>0.05</v>
      </c>
      <c r="K151" s="28">
        <v>0.05</v>
      </c>
      <c r="L151" s="28" t="s">
        <v>1294</v>
      </c>
      <c r="M151" s="28" t="s">
        <v>1295</v>
      </c>
      <c r="N151" s="28" t="s">
        <v>61</v>
      </c>
      <c r="O151" s="28">
        <v>0.02</v>
      </c>
      <c r="P151" s="28" t="s">
        <v>1296</v>
      </c>
      <c r="Q151" s="28" t="s">
        <v>1296</v>
      </c>
      <c r="R151" s="45" t="s">
        <v>1296</v>
      </c>
      <c r="S151" s="46">
        <f t="shared" si="5"/>
        <v>2.5</v>
      </c>
    </row>
    <row r="152" customFormat="1" spans="1:19">
      <c r="A152" s="28">
        <v>150</v>
      </c>
      <c r="B152" s="28" t="s">
        <v>1547</v>
      </c>
      <c r="C152" s="28" t="s">
        <v>1539</v>
      </c>
      <c r="D152" s="28" t="s">
        <v>1029</v>
      </c>
      <c r="E152" s="28" t="s">
        <v>1030</v>
      </c>
      <c r="F152" s="28" t="s">
        <v>1031</v>
      </c>
      <c r="G152" s="28">
        <v>28</v>
      </c>
      <c r="H152" s="28" t="s">
        <v>1293</v>
      </c>
      <c r="I152" s="28" t="s">
        <v>66</v>
      </c>
      <c r="J152" s="28">
        <v>0.05</v>
      </c>
      <c r="K152" s="28">
        <v>0.05</v>
      </c>
      <c r="L152" s="28" t="s">
        <v>1294</v>
      </c>
      <c r="M152" s="28" t="s">
        <v>1295</v>
      </c>
      <c r="N152" s="28" t="s">
        <v>61</v>
      </c>
      <c r="O152" s="28">
        <v>0.01</v>
      </c>
      <c r="P152" s="28">
        <v>0.00307999999999997</v>
      </c>
      <c r="Q152" s="28">
        <f t="shared" ref="Q152:Q161" si="7">O152/P152</f>
        <v>3.24675324675328</v>
      </c>
      <c r="R152" s="45">
        <v>0.109999999999999</v>
      </c>
      <c r="S152" s="46">
        <f t="shared" si="5"/>
        <v>5</v>
      </c>
    </row>
    <row r="153" customFormat="1" spans="1:19">
      <c r="A153" s="28">
        <v>151</v>
      </c>
      <c r="B153" s="28" t="s">
        <v>1548</v>
      </c>
      <c r="C153" s="28" t="s">
        <v>1539</v>
      </c>
      <c r="D153" s="28" t="s">
        <v>1032</v>
      </c>
      <c r="E153" s="28" t="s">
        <v>1033</v>
      </c>
      <c r="F153" s="28" t="s">
        <v>1034</v>
      </c>
      <c r="G153" s="28">
        <v>28</v>
      </c>
      <c r="H153" s="28" t="s">
        <v>1293</v>
      </c>
      <c r="I153" s="28" t="s">
        <v>66</v>
      </c>
      <c r="J153" s="28">
        <v>0.05</v>
      </c>
      <c r="K153" s="28">
        <v>0.05</v>
      </c>
      <c r="L153" s="28" t="s">
        <v>1294</v>
      </c>
      <c r="M153" s="28" t="s">
        <v>1295</v>
      </c>
      <c r="N153" s="28" t="s">
        <v>61</v>
      </c>
      <c r="O153" s="28">
        <v>0.01</v>
      </c>
      <c r="P153" s="28">
        <v>0.0042</v>
      </c>
      <c r="Q153" s="28">
        <f t="shared" si="7"/>
        <v>2.38095238095238</v>
      </c>
      <c r="R153" s="45">
        <v>0.15</v>
      </c>
      <c r="S153" s="46">
        <f t="shared" si="5"/>
        <v>5</v>
      </c>
    </row>
    <row r="154" customFormat="1" spans="1:19">
      <c r="A154" s="28">
        <v>152</v>
      </c>
      <c r="B154" s="28" t="s">
        <v>1549</v>
      </c>
      <c r="C154" s="28" t="s">
        <v>1539</v>
      </c>
      <c r="D154" s="28" t="s">
        <v>1035</v>
      </c>
      <c r="E154" s="28" t="s">
        <v>1036</v>
      </c>
      <c r="F154" s="28" t="s">
        <v>1037</v>
      </c>
      <c r="G154" s="28">
        <v>28</v>
      </c>
      <c r="H154" s="28" t="s">
        <v>1293</v>
      </c>
      <c r="I154" s="28" t="s">
        <v>66</v>
      </c>
      <c r="J154" s="28">
        <v>0.05</v>
      </c>
      <c r="K154" s="28">
        <v>0.05</v>
      </c>
      <c r="L154" s="28" t="s">
        <v>1294</v>
      </c>
      <c r="M154" s="28" t="s">
        <v>1295</v>
      </c>
      <c r="N154" s="28" t="s">
        <v>61</v>
      </c>
      <c r="O154" s="28">
        <v>0.01</v>
      </c>
      <c r="P154" s="28">
        <v>0.00307999999999997</v>
      </c>
      <c r="Q154" s="28">
        <f t="shared" si="7"/>
        <v>3.24675324675328</v>
      </c>
      <c r="R154" s="45">
        <v>0.109999999999999</v>
      </c>
      <c r="S154" s="46">
        <f t="shared" si="5"/>
        <v>5</v>
      </c>
    </row>
    <row r="155" customFormat="1" spans="1:19">
      <c r="A155" s="28">
        <v>153</v>
      </c>
      <c r="B155" s="28" t="s">
        <v>1550</v>
      </c>
      <c r="C155" s="28" t="s">
        <v>1539</v>
      </c>
      <c r="D155" s="28" t="s">
        <v>1038</v>
      </c>
      <c r="E155" s="28" t="s">
        <v>1039</v>
      </c>
      <c r="F155" s="28" t="s">
        <v>1040</v>
      </c>
      <c r="G155" s="28">
        <v>28</v>
      </c>
      <c r="H155" s="28" t="s">
        <v>1293</v>
      </c>
      <c r="I155" s="28" t="s">
        <v>66</v>
      </c>
      <c r="J155" s="28">
        <v>0.05</v>
      </c>
      <c r="K155" s="28">
        <v>0.05</v>
      </c>
      <c r="L155" s="28" t="s">
        <v>1294</v>
      </c>
      <c r="M155" s="28" t="s">
        <v>1295</v>
      </c>
      <c r="N155" s="28" t="s">
        <v>61</v>
      </c>
      <c r="O155" s="28">
        <v>0.01</v>
      </c>
      <c r="P155" s="28">
        <v>0.00532</v>
      </c>
      <c r="Q155" s="28">
        <f t="shared" si="7"/>
        <v>1.8796992481203</v>
      </c>
      <c r="R155" s="45">
        <v>0.19</v>
      </c>
      <c r="S155" s="46">
        <f t="shared" si="5"/>
        <v>5</v>
      </c>
    </row>
    <row r="156" customFormat="1" spans="1:19">
      <c r="A156" s="28">
        <v>154</v>
      </c>
      <c r="B156" s="28" t="s">
        <v>1551</v>
      </c>
      <c r="C156" s="28" t="s">
        <v>1539</v>
      </c>
      <c r="D156" s="28" t="s">
        <v>1041</v>
      </c>
      <c r="E156" s="28" t="s">
        <v>1042</v>
      </c>
      <c r="F156" s="28" t="s">
        <v>1043</v>
      </c>
      <c r="G156" s="28">
        <v>28</v>
      </c>
      <c r="H156" s="28" t="s">
        <v>1293</v>
      </c>
      <c r="I156" s="28" t="s">
        <v>66</v>
      </c>
      <c r="J156" s="28">
        <v>0.05</v>
      </c>
      <c r="K156" s="28">
        <v>0.05</v>
      </c>
      <c r="L156" s="28" t="s">
        <v>1294</v>
      </c>
      <c r="M156" s="28" t="s">
        <v>1295</v>
      </c>
      <c r="N156" s="28" t="s">
        <v>61</v>
      </c>
      <c r="O156" s="28">
        <v>0.01</v>
      </c>
      <c r="P156" s="28">
        <v>0.00279999999999999</v>
      </c>
      <c r="Q156" s="28">
        <f t="shared" si="7"/>
        <v>3.57142857142859</v>
      </c>
      <c r="R156" s="45">
        <v>0.0999999999999996</v>
      </c>
      <c r="S156" s="46">
        <f t="shared" si="5"/>
        <v>5</v>
      </c>
    </row>
    <row r="157" customFormat="1" spans="1:19">
      <c r="A157" s="28">
        <v>155</v>
      </c>
      <c r="B157" s="28" t="s">
        <v>1552</v>
      </c>
      <c r="C157" s="28" t="s">
        <v>1539</v>
      </c>
      <c r="D157" s="28" t="s">
        <v>1060</v>
      </c>
      <c r="E157" s="28" t="s">
        <v>1061</v>
      </c>
      <c r="F157" s="28" t="s">
        <v>1062</v>
      </c>
      <c r="G157" s="28">
        <v>28</v>
      </c>
      <c r="H157" s="28" t="s">
        <v>1293</v>
      </c>
      <c r="I157" s="28" t="s">
        <v>66</v>
      </c>
      <c r="J157" s="28">
        <v>0.05</v>
      </c>
      <c r="K157" s="28">
        <v>0.05</v>
      </c>
      <c r="L157" s="28" t="s">
        <v>1294</v>
      </c>
      <c r="M157" s="28" t="s">
        <v>1295</v>
      </c>
      <c r="N157" s="28" t="s">
        <v>61</v>
      </c>
      <c r="O157" s="28">
        <v>0.01</v>
      </c>
      <c r="P157" s="28">
        <v>0.0028</v>
      </c>
      <c r="Q157" s="28">
        <f t="shared" si="7"/>
        <v>3.57142857142857</v>
      </c>
      <c r="R157" s="45">
        <v>0.1</v>
      </c>
      <c r="S157" s="46">
        <f t="shared" si="5"/>
        <v>5</v>
      </c>
    </row>
    <row r="158" customFormat="1" spans="1:19">
      <c r="A158" s="28">
        <v>156</v>
      </c>
      <c r="B158" s="28" t="s">
        <v>1553</v>
      </c>
      <c r="C158" s="28" t="s">
        <v>1539</v>
      </c>
      <c r="D158" s="28" t="s">
        <v>1063</v>
      </c>
      <c r="E158" s="28" t="s">
        <v>1064</v>
      </c>
      <c r="F158" s="28" t="s">
        <v>1065</v>
      </c>
      <c r="G158" s="28">
        <v>28</v>
      </c>
      <c r="H158" s="28" t="s">
        <v>1293</v>
      </c>
      <c r="I158" s="28" t="s">
        <v>66</v>
      </c>
      <c r="J158" s="28">
        <v>0.05</v>
      </c>
      <c r="K158" s="28">
        <v>0.05</v>
      </c>
      <c r="L158" s="28" t="s">
        <v>1294</v>
      </c>
      <c r="M158" s="28" t="s">
        <v>1295</v>
      </c>
      <c r="N158" s="28" t="s">
        <v>61</v>
      </c>
      <c r="O158" s="28">
        <v>0.01</v>
      </c>
      <c r="P158" s="28">
        <v>0.00336000000000003</v>
      </c>
      <c r="Q158" s="28">
        <f t="shared" si="7"/>
        <v>2.97619047619045</v>
      </c>
      <c r="R158" s="45">
        <v>0.120000000000001</v>
      </c>
      <c r="S158" s="46">
        <f t="shared" si="5"/>
        <v>5</v>
      </c>
    </row>
    <row r="159" customFormat="1" spans="1:19">
      <c r="A159" s="28">
        <v>157</v>
      </c>
      <c r="B159" s="28" t="s">
        <v>1554</v>
      </c>
      <c r="C159" s="28" t="s">
        <v>1539</v>
      </c>
      <c r="D159" s="28" t="s">
        <v>1066</v>
      </c>
      <c r="E159" s="28" t="s">
        <v>1067</v>
      </c>
      <c r="F159" s="28" t="s">
        <v>1068</v>
      </c>
      <c r="G159" s="28">
        <v>28</v>
      </c>
      <c r="H159" s="28" t="s">
        <v>1293</v>
      </c>
      <c r="I159" s="28" t="s">
        <v>66</v>
      </c>
      <c r="J159" s="28">
        <v>0.05</v>
      </c>
      <c r="K159" s="28">
        <v>0.05</v>
      </c>
      <c r="L159" s="28" t="s">
        <v>1294</v>
      </c>
      <c r="M159" s="28" t="s">
        <v>1295</v>
      </c>
      <c r="N159" s="28" t="s">
        <v>61</v>
      </c>
      <c r="O159" s="28">
        <v>0.01</v>
      </c>
      <c r="P159" s="28">
        <v>0.0042</v>
      </c>
      <c r="Q159" s="28">
        <f t="shared" si="7"/>
        <v>2.38095238095238</v>
      </c>
      <c r="R159" s="45">
        <v>0.15</v>
      </c>
      <c r="S159" s="46">
        <f t="shared" si="5"/>
        <v>5</v>
      </c>
    </row>
    <row r="160" customFormat="1" spans="1:19">
      <c r="A160" s="28">
        <v>158</v>
      </c>
      <c r="B160" s="28" t="s">
        <v>1555</v>
      </c>
      <c r="C160" s="28" t="s">
        <v>1539</v>
      </c>
      <c r="D160" s="28" t="s">
        <v>1069</v>
      </c>
      <c r="E160" s="28" t="s">
        <v>1070</v>
      </c>
      <c r="F160" s="28" t="s">
        <v>1071</v>
      </c>
      <c r="G160" s="28">
        <v>28</v>
      </c>
      <c r="H160" s="28" t="s">
        <v>1293</v>
      </c>
      <c r="I160" s="28" t="s">
        <v>66</v>
      </c>
      <c r="J160" s="28">
        <v>0.05</v>
      </c>
      <c r="K160" s="28">
        <v>0.05</v>
      </c>
      <c r="L160" s="28" t="s">
        <v>1294</v>
      </c>
      <c r="M160" s="28" t="s">
        <v>1295</v>
      </c>
      <c r="N160" s="28" t="s">
        <v>61</v>
      </c>
      <c r="O160" s="28">
        <v>0.01</v>
      </c>
      <c r="P160" s="28">
        <v>0.0042</v>
      </c>
      <c r="Q160" s="28">
        <f t="shared" si="7"/>
        <v>2.38095238095238</v>
      </c>
      <c r="R160" s="45">
        <v>0.15</v>
      </c>
      <c r="S160" s="46">
        <f t="shared" si="5"/>
        <v>5</v>
      </c>
    </row>
    <row r="161" customFormat="1" spans="1:19">
      <c r="A161" s="28">
        <v>159</v>
      </c>
      <c r="B161" s="28" t="s">
        <v>1556</v>
      </c>
      <c r="C161" s="28" t="s">
        <v>1557</v>
      </c>
      <c r="D161" s="28" t="s">
        <v>1558</v>
      </c>
      <c r="E161" s="28" t="s">
        <v>1074</v>
      </c>
      <c r="F161" s="28" t="s">
        <v>1075</v>
      </c>
      <c r="G161" s="28">
        <v>28</v>
      </c>
      <c r="H161" s="28" t="s">
        <v>1293</v>
      </c>
      <c r="I161" s="28" t="s">
        <v>66</v>
      </c>
      <c r="J161" s="28">
        <v>0.05</v>
      </c>
      <c r="K161" s="28">
        <v>180</v>
      </c>
      <c r="L161" s="28" t="s">
        <v>1299</v>
      </c>
      <c r="M161" s="28" t="s">
        <v>1306</v>
      </c>
      <c r="N161" s="28" t="s">
        <v>66</v>
      </c>
      <c r="O161" s="28">
        <v>0.02</v>
      </c>
      <c r="P161" s="28">
        <v>0.01232</v>
      </c>
      <c r="Q161" s="28">
        <f t="shared" si="7"/>
        <v>1.62337662337662</v>
      </c>
      <c r="R161" s="45">
        <v>0.44</v>
      </c>
      <c r="S161" s="46">
        <f t="shared" si="5"/>
        <v>2.5</v>
      </c>
    </row>
    <row r="162" s="34" customFormat="1" spans="1:19">
      <c r="A162" s="28">
        <v>160</v>
      </c>
      <c r="B162" s="28" t="s">
        <v>1559</v>
      </c>
      <c r="C162" s="28" t="s">
        <v>1557</v>
      </c>
      <c r="D162" s="28" t="s">
        <v>1558</v>
      </c>
      <c r="E162" s="28" t="s">
        <v>1074</v>
      </c>
      <c r="F162" s="28" t="s">
        <v>1075</v>
      </c>
      <c r="G162" s="28">
        <v>800</v>
      </c>
      <c r="H162" s="28" t="s">
        <v>1560</v>
      </c>
      <c r="I162" s="28" t="s">
        <v>61</v>
      </c>
      <c r="J162" s="28">
        <v>200</v>
      </c>
      <c r="K162" s="28">
        <v>180</v>
      </c>
      <c r="L162" s="28" t="s">
        <v>1294</v>
      </c>
      <c r="M162" s="28" t="s">
        <v>1295</v>
      </c>
      <c r="N162" s="28" t="s">
        <v>66</v>
      </c>
      <c r="O162" s="28">
        <v>200</v>
      </c>
      <c r="P162" s="28" t="s">
        <v>1296</v>
      </c>
      <c r="Q162" s="28" t="s">
        <v>1296</v>
      </c>
      <c r="R162" s="28" t="s">
        <v>1296</v>
      </c>
      <c r="S162" s="46">
        <f t="shared" si="5"/>
        <v>1</v>
      </c>
    </row>
    <row r="163" customFormat="1" spans="1:19">
      <c r="A163" s="28">
        <v>161</v>
      </c>
      <c r="B163" s="28" t="s">
        <v>1561</v>
      </c>
      <c r="C163" s="28" t="s">
        <v>1557</v>
      </c>
      <c r="D163" s="28" t="s">
        <v>1562</v>
      </c>
      <c r="E163" s="28" t="s">
        <v>1074</v>
      </c>
      <c r="F163" s="28" t="s">
        <v>1078</v>
      </c>
      <c r="G163" s="28">
        <v>28</v>
      </c>
      <c r="H163" s="28" t="s">
        <v>1293</v>
      </c>
      <c r="I163" s="28" t="s">
        <v>66</v>
      </c>
      <c r="J163" s="28">
        <v>0.05</v>
      </c>
      <c r="K163" s="28">
        <v>180</v>
      </c>
      <c r="L163" s="28" t="s">
        <v>1299</v>
      </c>
      <c r="M163" s="28" t="s">
        <v>1306</v>
      </c>
      <c r="N163" s="28" t="s">
        <v>66</v>
      </c>
      <c r="O163" s="28">
        <v>0.02</v>
      </c>
      <c r="P163" s="28">
        <v>0.01064</v>
      </c>
      <c r="Q163" s="28">
        <f>O163/P163</f>
        <v>1.8796992481203</v>
      </c>
      <c r="R163" s="45">
        <v>0.380000000000001</v>
      </c>
      <c r="S163" s="46">
        <f t="shared" si="5"/>
        <v>2.5</v>
      </c>
    </row>
    <row r="164" s="34" customFormat="1" spans="1:19">
      <c r="A164" s="28">
        <v>162</v>
      </c>
      <c r="B164" s="28" t="s">
        <v>1563</v>
      </c>
      <c r="C164" s="28" t="s">
        <v>1557</v>
      </c>
      <c r="D164" s="28" t="s">
        <v>1562</v>
      </c>
      <c r="E164" s="28" t="s">
        <v>1074</v>
      </c>
      <c r="F164" s="28" t="s">
        <v>1078</v>
      </c>
      <c r="G164" s="28">
        <v>800</v>
      </c>
      <c r="H164" s="28" t="s">
        <v>1560</v>
      </c>
      <c r="I164" s="28" t="s">
        <v>61</v>
      </c>
      <c r="J164" s="28">
        <v>200</v>
      </c>
      <c r="K164" s="28">
        <v>180</v>
      </c>
      <c r="L164" s="28" t="s">
        <v>1294</v>
      </c>
      <c r="M164" s="28" t="s">
        <v>1295</v>
      </c>
      <c r="N164" s="28" t="s">
        <v>66</v>
      </c>
      <c r="O164" s="28">
        <v>200</v>
      </c>
      <c r="P164" s="28" t="s">
        <v>1296</v>
      </c>
      <c r="Q164" s="28" t="s">
        <v>1296</v>
      </c>
      <c r="R164" s="28" t="s">
        <v>1296</v>
      </c>
      <c r="S164" s="46">
        <f t="shared" si="5"/>
        <v>1</v>
      </c>
    </row>
    <row r="165" customFormat="1" spans="1:19">
      <c r="A165" s="28">
        <v>163</v>
      </c>
      <c r="B165" s="28" t="s">
        <v>1564</v>
      </c>
      <c r="C165" s="28" t="s">
        <v>1557</v>
      </c>
      <c r="D165" s="28" t="s">
        <v>1565</v>
      </c>
      <c r="E165" s="28" t="s">
        <v>1074</v>
      </c>
      <c r="F165" s="28" t="s">
        <v>1081</v>
      </c>
      <c r="G165" s="28">
        <v>28</v>
      </c>
      <c r="H165" s="28" t="s">
        <v>1293</v>
      </c>
      <c r="I165" s="28" t="s">
        <v>66</v>
      </c>
      <c r="J165" s="28">
        <v>0.05</v>
      </c>
      <c r="K165" s="28">
        <v>180</v>
      </c>
      <c r="L165" s="28" t="s">
        <v>1299</v>
      </c>
      <c r="M165" s="28" t="s">
        <v>1306</v>
      </c>
      <c r="N165" s="28" t="s">
        <v>66</v>
      </c>
      <c r="O165" s="28">
        <v>0.02</v>
      </c>
      <c r="P165" s="28">
        <v>0.01064</v>
      </c>
      <c r="Q165" s="28">
        <f>O165/P165</f>
        <v>1.8796992481203</v>
      </c>
      <c r="R165" s="45">
        <v>0.380000000000001</v>
      </c>
      <c r="S165" s="46">
        <f t="shared" si="5"/>
        <v>2.5</v>
      </c>
    </row>
    <row r="166" s="34" customFormat="1" spans="1:19">
      <c r="A166" s="28">
        <v>164</v>
      </c>
      <c r="B166" s="28" t="s">
        <v>1566</v>
      </c>
      <c r="C166" s="28" t="s">
        <v>1557</v>
      </c>
      <c r="D166" s="28" t="s">
        <v>1565</v>
      </c>
      <c r="E166" s="28" t="s">
        <v>1074</v>
      </c>
      <c r="F166" s="28" t="s">
        <v>1081</v>
      </c>
      <c r="G166" s="28">
        <v>800</v>
      </c>
      <c r="H166" s="28" t="s">
        <v>1560</v>
      </c>
      <c r="I166" s="28" t="s">
        <v>61</v>
      </c>
      <c r="J166" s="28">
        <v>200</v>
      </c>
      <c r="K166" s="28">
        <v>180</v>
      </c>
      <c r="L166" s="28" t="s">
        <v>1294</v>
      </c>
      <c r="M166" s="28" t="s">
        <v>1295</v>
      </c>
      <c r="N166" s="28" t="s">
        <v>66</v>
      </c>
      <c r="O166" s="28">
        <v>200</v>
      </c>
      <c r="P166" s="28" t="s">
        <v>1296</v>
      </c>
      <c r="Q166" s="28" t="s">
        <v>1296</v>
      </c>
      <c r="R166" s="28" t="s">
        <v>1296</v>
      </c>
      <c r="S166" s="46">
        <f t="shared" si="5"/>
        <v>1</v>
      </c>
    </row>
    <row r="167" customFormat="1" spans="1:19">
      <c r="A167" s="28">
        <v>165</v>
      </c>
      <c r="B167" s="28" t="s">
        <v>1567</v>
      </c>
      <c r="C167" s="28" t="s">
        <v>1557</v>
      </c>
      <c r="D167" s="28" t="s">
        <v>1568</v>
      </c>
      <c r="E167" s="28" t="s">
        <v>1074</v>
      </c>
      <c r="F167" s="28" t="s">
        <v>1084</v>
      </c>
      <c r="G167" s="28">
        <v>28</v>
      </c>
      <c r="H167" s="28" t="s">
        <v>1293</v>
      </c>
      <c r="I167" s="28" t="s">
        <v>66</v>
      </c>
      <c r="J167" s="28">
        <v>0.05</v>
      </c>
      <c r="K167" s="28">
        <v>180</v>
      </c>
      <c r="L167" s="28" t="s">
        <v>1299</v>
      </c>
      <c r="M167" s="28" t="s">
        <v>1306</v>
      </c>
      <c r="N167" s="28" t="s">
        <v>66</v>
      </c>
      <c r="O167" s="28">
        <v>0.02</v>
      </c>
      <c r="P167" s="28">
        <v>0.01092</v>
      </c>
      <c r="Q167" s="28">
        <f>O167/P167</f>
        <v>1.83150183150183</v>
      </c>
      <c r="R167" s="45">
        <v>0.390000000000001</v>
      </c>
      <c r="S167" s="46">
        <f t="shared" si="5"/>
        <v>2.5</v>
      </c>
    </row>
    <row r="168" s="34" customFormat="1" spans="1:19">
      <c r="A168" s="28">
        <v>166</v>
      </c>
      <c r="B168" s="28" t="s">
        <v>1569</v>
      </c>
      <c r="C168" s="28" t="s">
        <v>1557</v>
      </c>
      <c r="D168" s="28" t="s">
        <v>1568</v>
      </c>
      <c r="E168" s="28" t="s">
        <v>1074</v>
      </c>
      <c r="F168" s="28" t="s">
        <v>1084</v>
      </c>
      <c r="G168" s="28">
        <v>800</v>
      </c>
      <c r="H168" s="28" t="s">
        <v>1560</v>
      </c>
      <c r="I168" s="28" t="s">
        <v>61</v>
      </c>
      <c r="J168" s="28">
        <v>200</v>
      </c>
      <c r="K168" s="28">
        <v>180</v>
      </c>
      <c r="L168" s="28" t="s">
        <v>1294</v>
      </c>
      <c r="M168" s="28" t="s">
        <v>1295</v>
      </c>
      <c r="N168" s="28" t="s">
        <v>66</v>
      </c>
      <c r="O168" s="28">
        <v>200</v>
      </c>
      <c r="P168" s="28" t="s">
        <v>1296</v>
      </c>
      <c r="Q168" s="28" t="s">
        <v>1296</v>
      </c>
      <c r="R168" s="28" t="s">
        <v>1296</v>
      </c>
      <c r="S168" s="46">
        <f t="shared" si="5"/>
        <v>1</v>
      </c>
    </row>
    <row r="169" customFormat="1" spans="1:19">
      <c r="A169" s="28">
        <v>167</v>
      </c>
      <c r="B169" s="28" t="s">
        <v>1570</v>
      </c>
      <c r="C169" s="28" t="s">
        <v>1557</v>
      </c>
      <c r="D169" s="28" t="s">
        <v>1571</v>
      </c>
      <c r="E169" s="28" t="s">
        <v>1074</v>
      </c>
      <c r="F169" s="28" t="s">
        <v>1087</v>
      </c>
      <c r="G169" s="28">
        <v>28</v>
      </c>
      <c r="H169" s="28" t="s">
        <v>1293</v>
      </c>
      <c r="I169" s="28" t="s">
        <v>66</v>
      </c>
      <c r="J169" s="28">
        <v>0.05</v>
      </c>
      <c r="K169" s="28">
        <v>180</v>
      </c>
      <c r="L169" s="28" t="s">
        <v>1299</v>
      </c>
      <c r="M169" s="28" t="s">
        <v>1306</v>
      </c>
      <c r="N169" s="28" t="s">
        <v>66</v>
      </c>
      <c r="O169" s="28">
        <v>0.02</v>
      </c>
      <c r="P169" s="28">
        <v>0.01092</v>
      </c>
      <c r="Q169" s="28">
        <f>O169/P169</f>
        <v>1.83150183150183</v>
      </c>
      <c r="R169" s="45">
        <v>0.390000000000001</v>
      </c>
      <c r="S169" s="46">
        <f t="shared" si="5"/>
        <v>2.5</v>
      </c>
    </row>
    <row r="170" s="34" customFormat="1" spans="1:19">
      <c r="A170" s="28">
        <v>168</v>
      </c>
      <c r="B170" s="28" t="s">
        <v>1572</v>
      </c>
      <c r="C170" s="28" t="s">
        <v>1557</v>
      </c>
      <c r="D170" s="28" t="s">
        <v>1571</v>
      </c>
      <c r="E170" s="28" t="s">
        <v>1074</v>
      </c>
      <c r="F170" s="28" t="s">
        <v>1087</v>
      </c>
      <c r="G170" s="28">
        <v>800</v>
      </c>
      <c r="H170" s="28" t="s">
        <v>1560</v>
      </c>
      <c r="I170" s="28" t="s">
        <v>61</v>
      </c>
      <c r="J170" s="28">
        <v>200</v>
      </c>
      <c r="K170" s="28">
        <v>180</v>
      </c>
      <c r="L170" s="28" t="s">
        <v>1294</v>
      </c>
      <c r="M170" s="28" t="s">
        <v>1295</v>
      </c>
      <c r="N170" s="28" t="s">
        <v>66</v>
      </c>
      <c r="O170" s="28">
        <v>200</v>
      </c>
      <c r="P170" s="28" t="s">
        <v>1296</v>
      </c>
      <c r="Q170" s="28" t="s">
        <v>1296</v>
      </c>
      <c r="R170" s="28" t="s">
        <v>1296</v>
      </c>
      <c r="S170" s="46">
        <f t="shared" si="5"/>
        <v>1</v>
      </c>
    </row>
    <row r="171" customFormat="1" spans="1:19">
      <c r="A171" s="28">
        <v>169</v>
      </c>
      <c r="B171" s="28" t="s">
        <v>1573</v>
      </c>
      <c r="C171" s="28" t="s">
        <v>1557</v>
      </c>
      <c r="D171" s="28" t="s">
        <v>1574</v>
      </c>
      <c r="E171" s="28" t="s">
        <v>1074</v>
      </c>
      <c r="F171" s="28" t="s">
        <v>1090</v>
      </c>
      <c r="G171" s="28">
        <v>28</v>
      </c>
      <c r="H171" s="28" t="s">
        <v>1293</v>
      </c>
      <c r="I171" s="28" t="s">
        <v>66</v>
      </c>
      <c r="J171" s="28">
        <v>0.05</v>
      </c>
      <c r="K171" s="28">
        <v>180</v>
      </c>
      <c r="L171" s="28" t="s">
        <v>1299</v>
      </c>
      <c r="M171" s="28" t="s">
        <v>1306</v>
      </c>
      <c r="N171" s="28" t="s">
        <v>66</v>
      </c>
      <c r="O171" s="28">
        <v>0.02</v>
      </c>
      <c r="P171" s="28">
        <v>0.01092</v>
      </c>
      <c r="Q171" s="28">
        <f>O171/P171</f>
        <v>1.83150183150183</v>
      </c>
      <c r="R171" s="45">
        <v>0.390000000000001</v>
      </c>
      <c r="S171" s="46">
        <f t="shared" si="5"/>
        <v>2.5</v>
      </c>
    </row>
    <row r="172" s="34" customFormat="1" spans="1:19">
      <c r="A172" s="28">
        <v>170</v>
      </c>
      <c r="B172" s="28" t="s">
        <v>1575</v>
      </c>
      <c r="C172" s="28" t="s">
        <v>1557</v>
      </c>
      <c r="D172" s="28" t="s">
        <v>1574</v>
      </c>
      <c r="E172" s="28" t="s">
        <v>1074</v>
      </c>
      <c r="F172" s="28" t="s">
        <v>1090</v>
      </c>
      <c r="G172" s="28">
        <v>800</v>
      </c>
      <c r="H172" s="28" t="s">
        <v>1560</v>
      </c>
      <c r="I172" s="28" t="s">
        <v>61</v>
      </c>
      <c r="J172" s="28">
        <v>200</v>
      </c>
      <c r="K172" s="28">
        <v>180</v>
      </c>
      <c r="L172" s="28" t="s">
        <v>1294</v>
      </c>
      <c r="M172" s="28" t="s">
        <v>1295</v>
      </c>
      <c r="N172" s="28" t="s">
        <v>66</v>
      </c>
      <c r="O172" s="28">
        <v>200</v>
      </c>
      <c r="P172" s="28" t="s">
        <v>1296</v>
      </c>
      <c r="Q172" s="28" t="s">
        <v>1296</v>
      </c>
      <c r="R172" s="28" t="s">
        <v>1296</v>
      </c>
      <c r="S172" s="46">
        <f t="shared" si="5"/>
        <v>1</v>
      </c>
    </row>
    <row r="173" customFormat="1" spans="1:19">
      <c r="A173" s="28">
        <v>171</v>
      </c>
      <c r="B173" s="28" t="s">
        <v>1576</v>
      </c>
      <c r="C173" s="28" t="s">
        <v>1557</v>
      </c>
      <c r="D173" s="28" t="s">
        <v>1577</v>
      </c>
      <c r="E173" s="28" t="s">
        <v>1074</v>
      </c>
      <c r="F173" s="28" t="s">
        <v>1092</v>
      </c>
      <c r="G173" s="28">
        <v>28</v>
      </c>
      <c r="H173" s="28" t="s">
        <v>1293</v>
      </c>
      <c r="I173" s="28" t="s">
        <v>66</v>
      </c>
      <c r="J173" s="28">
        <v>0.05</v>
      </c>
      <c r="K173" s="28">
        <v>180</v>
      </c>
      <c r="L173" s="28" t="s">
        <v>1299</v>
      </c>
      <c r="M173" s="28" t="s">
        <v>1306</v>
      </c>
      <c r="N173" s="28" t="s">
        <v>66</v>
      </c>
      <c r="O173" s="28">
        <v>0.02</v>
      </c>
      <c r="P173" s="28">
        <v>0.0112</v>
      </c>
      <c r="Q173" s="28">
        <f>O173/P173</f>
        <v>1.78571428571429</v>
      </c>
      <c r="R173" s="45">
        <v>0.4</v>
      </c>
      <c r="S173" s="46">
        <f t="shared" si="5"/>
        <v>2.5</v>
      </c>
    </row>
    <row r="174" s="34" customFormat="1" spans="1:19">
      <c r="A174" s="28">
        <v>172</v>
      </c>
      <c r="B174" s="28" t="s">
        <v>1578</v>
      </c>
      <c r="C174" s="28" t="s">
        <v>1557</v>
      </c>
      <c r="D174" s="28" t="s">
        <v>1577</v>
      </c>
      <c r="E174" s="28" t="s">
        <v>1074</v>
      </c>
      <c r="F174" s="28" t="s">
        <v>1092</v>
      </c>
      <c r="G174" s="28">
        <v>800</v>
      </c>
      <c r="H174" s="28" t="s">
        <v>1560</v>
      </c>
      <c r="I174" s="28" t="s">
        <v>61</v>
      </c>
      <c r="J174" s="28">
        <v>200</v>
      </c>
      <c r="K174" s="28">
        <v>180</v>
      </c>
      <c r="L174" s="28" t="s">
        <v>1294</v>
      </c>
      <c r="M174" s="28" t="s">
        <v>1295</v>
      </c>
      <c r="N174" s="28" t="s">
        <v>66</v>
      </c>
      <c r="O174" s="28">
        <v>200</v>
      </c>
      <c r="P174" s="28" t="s">
        <v>1296</v>
      </c>
      <c r="Q174" s="28" t="s">
        <v>1296</v>
      </c>
      <c r="R174" s="28" t="s">
        <v>1296</v>
      </c>
      <c r="S174" s="46">
        <f t="shared" si="5"/>
        <v>1</v>
      </c>
    </row>
    <row r="175" customFormat="1" spans="1:19">
      <c r="A175" s="28">
        <v>173</v>
      </c>
      <c r="B175" s="28" t="s">
        <v>1579</v>
      </c>
      <c r="C175" s="28" t="s">
        <v>1557</v>
      </c>
      <c r="D175" s="28" t="s">
        <v>1580</v>
      </c>
      <c r="E175" s="28" t="s">
        <v>1074</v>
      </c>
      <c r="F175" s="28" t="s">
        <v>1094</v>
      </c>
      <c r="G175" s="28">
        <v>28</v>
      </c>
      <c r="H175" s="28" t="s">
        <v>1293</v>
      </c>
      <c r="I175" s="28" t="s">
        <v>66</v>
      </c>
      <c r="J175" s="28">
        <v>0.05</v>
      </c>
      <c r="K175" s="28">
        <v>180</v>
      </c>
      <c r="L175" s="28" t="s">
        <v>1299</v>
      </c>
      <c r="M175" s="28" t="s">
        <v>1306</v>
      </c>
      <c r="N175" s="28" t="s">
        <v>66</v>
      </c>
      <c r="O175" s="28">
        <v>0.02</v>
      </c>
      <c r="P175" s="28">
        <v>0.01232</v>
      </c>
      <c r="Q175" s="28">
        <f>O175/P175</f>
        <v>1.62337662337662</v>
      </c>
      <c r="R175" s="45">
        <v>0.440000000000001</v>
      </c>
      <c r="S175" s="46">
        <f t="shared" si="5"/>
        <v>2.5</v>
      </c>
    </row>
    <row r="176" s="34" customFormat="1" spans="1:19">
      <c r="A176" s="28">
        <v>174</v>
      </c>
      <c r="B176" s="28" t="s">
        <v>1581</v>
      </c>
      <c r="C176" s="28" t="s">
        <v>1557</v>
      </c>
      <c r="D176" s="28" t="s">
        <v>1580</v>
      </c>
      <c r="E176" s="28" t="s">
        <v>1074</v>
      </c>
      <c r="F176" s="28" t="s">
        <v>1094</v>
      </c>
      <c r="G176" s="28">
        <v>800</v>
      </c>
      <c r="H176" s="28" t="s">
        <v>1560</v>
      </c>
      <c r="I176" s="28" t="s">
        <v>61</v>
      </c>
      <c r="J176" s="28">
        <v>200</v>
      </c>
      <c r="K176" s="28">
        <v>180</v>
      </c>
      <c r="L176" s="28" t="s">
        <v>1294</v>
      </c>
      <c r="M176" s="28" t="s">
        <v>1295</v>
      </c>
      <c r="N176" s="28" t="s">
        <v>66</v>
      </c>
      <c r="O176" s="28">
        <v>200</v>
      </c>
      <c r="P176" s="28" t="s">
        <v>1296</v>
      </c>
      <c r="Q176" s="28" t="s">
        <v>1296</v>
      </c>
      <c r="R176" s="28" t="s">
        <v>1296</v>
      </c>
      <c r="S176" s="46">
        <f t="shared" si="5"/>
        <v>1</v>
      </c>
    </row>
    <row r="177" customFormat="1" spans="1:19">
      <c r="A177" s="28">
        <v>175</v>
      </c>
      <c r="B177" s="28" t="s">
        <v>1582</v>
      </c>
      <c r="C177" s="28" t="s">
        <v>1557</v>
      </c>
      <c r="D177" s="28" t="s">
        <v>1583</v>
      </c>
      <c r="E177" s="28" t="s">
        <v>1074</v>
      </c>
      <c r="F177" s="28" t="s">
        <v>1096</v>
      </c>
      <c r="G177" s="28">
        <v>28</v>
      </c>
      <c r="H177" s="28" t="s">
        <v>1293</v>
      </c>
      <c r="I177" s="28" t="s">
        <v>66</v>
      </c>
      <c r="J177" s="28">
        <v>0.05</v>
      </c>
      <c r="K177" s="28">
        <v>180</v>
      </c>
      <c r="L177" s="28" t="s">
        <v>1299</v>
      </c>
      <c r="M177" s="28" t="s">
        <v>1306</v>
      </c>
      <c r="N177" s="28" t="s">
        <v>66</v>
      </c>
      <c r="O177" s="28">
        <v>0.02</v>
      </c>
      <c r="P177" s="28">
        <v>0.0112</v>
      </c>
      <c r="Q177" s="28">
        <f>O177/P177</f>
        <v>1.78571428571429</v>
      </c>
      <c r="R177" s="45">
        <v>0.4</v>
      </c>
      <c r="S177" s="46">
        <f t="shared" si="5"/>
        <v>2.5</v>
      </c>
    </row>
    <row r="178" s="34" customFormat="1" spans="1:19">
      <c r="A178" s="28">
        <v>176</v>
      </c>
      <c r="B178" s="28" t="s">
        <v>1584</v>
      </c>
      <c r="C178" s="28" t="s">
        <v>1557</v>
      </c>
      <c r="D178" s="28" t="s">
        <v>1583</v>
      </c>
      <c r="E178" s="28" t="s">
        <v>1074</v>
      </c>
      <c r="F178" s="28" t="s">
        <v>1096</v>
      </c>
      <c r="G178" s="28">
        <v>800</v>
      </c>
      <c r="H178" s="28" t="s">
        <v>1560</v>
      </c>
      <c r="I178" s="28" t="s">
        <v>61</v>
      </c>
      <c r="J178" s="28">
        <v>200</v>
      </c>
      <c r="K178" s="28">
        <v>180</v>
      </c>
      <c r="L178" s="28" t="s">
        <v>1294</v>
      </c>
      <c r="M178" s="28" t="s">
        <v>1295</v>
      </c>
      <c r="N178" s="28" t="s">
        <v>66</v>
      </c>
      <c r="O178" s="28">
        <v>200</v>
      </c>
      <c r="P178" s="28" t="s">
        <v>1296</v>
      </c>
      <c r="Q178" s="28" t="s">
        <v>1296</v>
      </c>
      <c r="R178" s="28" t="s">
        <v>1296</v>
      </c>
      <c r="S178" s="46">
        <f t="shared" si="5"/>
        <v>1</v>
      </c>
    </row>
    <row r="179" customFormat="1" spans="1:19">
      <c r="A179" s="28">
        <v>177</v>
      </c>
      <c r="B179" s="28" t="s">
        <v>1585</v>
      </c>
      <c r="C179" s="28" t="s">
        <v>1557</v>
      </c>
      <c r="D179" s="28" t="s">
        <v>1586</v>
      </c>
      <c r="E179" s="28" t="s">
        <v>1074</v>
      </c>
      <c r="F179" s="28" t="s">
        <v>1098</v>
      </c>
      <c r="G179" s="28">
        <v>28</v>
      </c>
      <c r="H179" s="28" t="s">
        <v>1293</v>
      </c>
      <c r="I179" s="28" t="s">
        <v>66</v>
      </c>
      <c r="J179" s="28">
        <v>0.05</v>
      </c>
      <c r="K179" s="28">
        <v>180</v>
      </c>
      <c r="L179" s="28" t="s">
        <v>1299</v>
      </c>
      <c r="M179" s="28" t="s">
        <v>1306</v>
      </c>
      <c r="N179" s="28" t="s">
        <v>66</v>
      </c>
      <c r="O179" s="28">
        <v>0.02</v>
      </c>
      <c r="P179" s="28">
        <v>0.0112</v>
      </c>
      <c r="Q179" s="28">
        <f>O179/P179</f>
        <v>1.78571428571429</v>
      </c>
      <c r="R179" s="45">
        <v>0.4</v>
      </c>
      <c r="S179" s="46">
        <f t="shared" si="5"/>
        <v>2.5</v>
      </c>
    </row>
    <row r="180" s="34" customFormat="1" spans="1:19">
      <c r="A180" s="28">
        <v>178</v>
      </c>
      <c r="B180" s="28" t="s">
        <v>1587</v>
      </c>
      <c r="C180" s="28" t="s">
        <v>1557</v>
      </c>
      <c r="D180" s="28" t="s">
        <v>1586</v>
      </c>
      <c r="E180" s="28" t="s">
        <v>1074</v>
      </c>
      <c r="F180" s="28" t="s">
        <v>1098</v>
      </c>
      <c r="G180" s="28">
        <v>800</v>
      </c>
      <c r="H180" s="28" t="s">
        <v>1560</v>
      </c>
      <c r="I180" s="28" t="s">
        <v>61</v>
      </c>
      <c r="J180" s="28">
        <v>200</v>
      </c>
      <c r="K180" s="28">
        <v>180</v>
      </c>
      <c r="L180" s="28" t="s">
        <v>1294</v>
      </c>
      <c r="M180" s="28" t="s">
        <v>1295</v>
      </c>
      <c r="N180" s="28" t="s">
        <v>66</v>
      </c>
      <c r="O180" s="28">
        <v>200</v>
      </c>
      <c r="P180" s="28" t="s">
        <v>1296</v>
      </c>
      <c r="Q180" s="28" t="s">
        <v>1296</v>
      </c>
      <c r="R180" s="28" t="s">
        <v>1296</v>
      </c>
      <c r="S180" s="46">
        <f t="shared" si="5"/>
        <v>1</v>
      </c>
    </row>
    <row r="181" customFormat="1" spans="1:19">
      <c r="A181" s="28">
        <v>179</v>
      </c>
      <c r="B181" s="28" t="s">
        <v>1588</v>
      </c>
      <c r="C181" s="28" t="s">
        <v>1557</v>
      </c>
      <c r="D181" s="28" t="s">
        <v>1589</v>
      </c>
      <c r="E181" s="28" t="s">
        <v>689</v>
      </c>
      <c r="F181" s="28" t="s">
        <v>1100</v>
      </c>
      <c r="G181" s="28">
        <v>28</v>
      </c>
      <c r="H181" s="28" t="s">
        <v>1293</v>
      </c>
      <c r="I181" s="28" t="s">
        <v>66</v>
      </c>
      <c r="J181" s="28">
        <v>0.3</v>
      </c>
      <c r="K181" s="28">
        <v>1</v>
      </c>
      <c r="L181" s="28" t="s">
        <v>1299</v>
      </c>
      <c r="M181" s="28" t="s">
        <v>1306</v>
      </c>
      <c r="N181" s="28" t="s">
        <v>66</v>
      </c>
      <c r="O181" s="28">
        <v>0.15</v>
      </c>
      <c r="P181" s="28">
        <v>0.098</v>
      </c>
      <c r="Q181" s="28">
        <f t="shared" ref="Q181:Q190" si="8">O181/P181</f>
        <v>1.53061224489796</v>
      </c>
      <c r="R181" s="45">
        <v>3.5</v>
      </c>
      <c r="S181" s="46">
        <f t="shared" si="5"/>
        <v>2</v>
      </c>
    </row>
    <row r="182" customFormat="1" spans="1:19">
      <c r="A182" s="28">
        <v>180</v>
      </c>
      <c r="B182" s="28" t="s">
        <v>1590</v>
      </c>
      <c r="C182" s="28" t="s">
        <v>1557</v>
      </c>
      <c r="D182" s="28" t="s">
        <v>1589</v>
      </c>
      <c r="E182" s="28" t="s">
        <v>689</v>
      </c>
      <c r="F182" s="28" t="s">
        <v>1100</v>
      </c>
      <c r="G182" s="28">
        <v>28</v>
      </c>
      <c r="H182" s="28" t="s">
        <v>1293</v>
      </c>
      <c r="I182" s="28" t="s">
        <v>66</v>
      </c>
      <c r="J182" s="28">
        <v>0.3</v>
      </c>
      <c r="K182" s="28">
        <v>1</v>
      </c>
      <c r="L182" s="28" t="s">
        <v>1299</v>
      </c>
      <c r="M182" s="28" t="s">
        <v>1306</v>
      </c>
      <c r="N182" s="28" t="s">
        <v>66</v>
      </c>
      <c r="O182" s="28">
        <v>0.15</v>
      </c>
      <c r="P182" s="28">
        <v>0.098</v>
      </c>
      <c r="Q182" s="28">
        <f t="shared" si="8"/>
        <v>1.53061224489796</v>
      </c>
      <c r="R182" s="45">
        <v>3.5</v>
      </c>
      <c r="S182" s="46">
        <f t="shared" si="5"/>
        <v>2</v>
      </c>
    </row>
    <row r="183" customFormat="1" spans="1:19">
      <c r="A183" s="28">
        <v>181</v>
      </c>
      <c r="B183" s="28" t="s">
        <v>1591</v>
      </c>
      <c r="C183" s="28" t="s">
        <v>1557</v>
      </c>
      <c r="D183" s="28" t="s">
        <v>1592</v>
      </c>
      <c r="E183" s="28" t="s">
        <v>689</v>
      </c>
      <c r="F183" s="28" t="s">
        <v>1102</v>
      </c>
      <c r="G183" s="28">
        <v>28</v>
      </c>
      <c r="H183" s="28" t="s">
        <v>1293</v>
      </c>
      <c r="I183" s="28" t="s">
        <v>66</v>
      </c>
      <c r="J183" s="28">
        <v>0.3</v>
      </c>
      <c r="K183" s="28">
        <v>1</v>
      </c>
      <c r="L183" s="28" t="s">
        <v>1299</v>
      </c>
      <c r="M183" s="28" t="s">
        <v>1306</v>
      </c>
      <c r="N183" s="28" t="s">
        <v>66</v>
      </c>
      <c r="O183" s="28">
        <v>0.15</v>
      </c>
      <c r="P183" s="28">
        <v>0.098</v>
      </c>
      <c r="Q183" s="28">
        <f t="shared" si="8"/>
        <v>1.53061224489796</v>
      </c>
      <c r="R183" s="45">
        <v>3.5</v>
      </c>
      <c r="S183" s="46">
        <f t="shared" si="5"/>
        <v>2</v>
      </c>
    </row>
    <row r="184" customFormat="1" spans="1:19">
      <c r="A184" s="28">
        <v>182</v>
      </c>
      <c r="B184" s="28" t="s">
        <v>1593</v>
      </c>
      <c r="C184" s="28" t="s">
        <v>1557</v>
      </c>
      <c r="D184" s="28" t="s">
        <v>1592</v>
      </c>
      <c r="E184" s="28" t="s">
        <v>689</v>
      </c>
      <c r="F184" s="28" t="s">
        <v>1102</v>
      </c>
      <c r="G184" s="28">
        <v>28</v>
      </c>
      <c r="H184" s="28" t="s">
        <v>1293</v>
      </c>
      <c r="I184" s="28" t="s">
        <v>66</v>
      </c>
      <c r="J184" s="28">
        <v>0.3</v>
      </c>
      <c r="K184" s="28">
        <v>1</v>
      </c>
      <c r="L184" s="28" t="s">
        <v>1299</v>
      </c>
      <c r="M184" s="28" t="s">
        <v>1306</v>
      </c>
      <c r="N184" s="28" t="s">
        <v>66</v>
      </c>
      <c r="O184" s="28">
        <v>0.15</v>
      </c>
      <c r="P184" s="28">
        <v>0.098</v>
      </c>
      <c r="Q184" s="28">
        <f t="shared" si="8"/>
        <v>1.53061224489796</v>
      </c>
      <c r="R184" s="45">
        <v>3.5</v>
      </c>
      <c r="S184" s="46">
        <f t="shared" si="5"/>
        <v>2</v>
      </c>
    </row>
    <row r="185" customFormat="1" spans="1:19">
      <c r="A185" s="28">
        <v>183</v>
      </c>
      <c r="B185" s="28" t="s">
        <v>1594</v>
      </c>
      <c r="C185" s="28" t="s">
        <v>1557</v>
      </c>
      <c r="D185" s="28" t="s">
        <v>1595</v>
      </c>
      <c r="E185" s="28" t="s">
        <v>689</v>
      </c>
      <c r="F185" s="28" t="s">
        <v>1104</v>
      </c>
      <c r="G185" s="28">
        <v>28</v>
      </c>
      <c r="H185" s="28" t="s">
        <v>1293</v>
      </c>
      <c r="I185" s="28" t="s">
        <v>66</v>
      </c>
      <c r="J185" s="28">
        <v>0.3</v>
      </c>
      <c r="K185" s="28">
        <v>1</v>
      </c>
      <c r="L185" s="28" t="s">
        <v>1299</v>
      </c>
      <c r="M185" s="28" t="s">
        <v>1306</v>
      </c>
      <c r="N185" s="28" t="s">
        <v>66</v>
      </c>
      <c r="O185" s="28">
        <v>0.15</v>
      </c>
      <c r="P185" s="28">
        <v>0.098</v>
      </c>
      <c r="Q185" s="28">
        <f t="shared" si="8"/>
        <v>1.53061224489796</v>
      </c>
      <c r="R185" s="45">
        <v>3.5</v>
      </c>
      <c r="S185" s="46">
        <f t="shared" si="5"/>
        <v>2</v>
      </c>
    </row>
    <row r="186" customFormat="1" spans="1:19">
      <c r="A186" s="28">
        <v>184</v>
      </c>
      <c r="B186" s="28" t="s">
        <v>1596</v>
      </c>
      <c r="C186" s="28" t="s">
        <v>1557</v>
      </c>
      <c r="D186" s="28" t="s">
        <v>1595</v>
      </c>
      <c r="E186" s="28" t="s">
        <v>689</v>
      </c>
      <c r="F186" s="28" t="s">
        <v>1104</v>
      </c>
      <c r="G186" s="28">
        <v>28</v>
      </c>
      <c r="H186" s="28" t="s">
        <v>1293</v>
      </c>
      <c r="I186" s="28" t="s">
        <v>66</v>
      </c>
      <c r="J186" s="28">
        <v>0.3</v>
      </c>
      <c r="K186" s="28">
        <v>1</v>
      </c>
      <c r="L186" s="28" t="s">
        <v>1299</v>
      </c>
      <c r="M186" s="28" t="s">
        <v>1306</v>
      </c>
      <c r="N186" s="28" t="s">
        <v>66</v>
      </c>
      <c r="O186" s="28">
        <v>0.15</v>
      </c>
      <c r="P186" s="28">
        <v>0.098</v>
      </c>
      <c r="Q186" s="28">
        <f t="shared" si="8"/>
        <v>1.53061224489796</v>
      </c>
      <c r="R186" s="45">
        <v>3.5</v>
      </c>
      <c r="S186" s="46">
        <f t="shared" si="5"/>
        <v>2</v>
      </c>
    </row>
    <row r="187" customFormat="1" spans="1:19">
      <c r="A187" s="28">
        <v>185</v>
      </c>
      <c r="B187" s="28" t="s">
        <v>1597</v>
      </c>
      <c r="C187" s="28" t="s">
        <v>1557</v>
      </c>
      <c r="D187" s="28" t="s">
        <v>1598</v>
      </c>
      <c r="E187" s="28" t="s">
        <v>689</v>
      </c>
      <c r="F187" s="28" t="s">
        <v>1106</v>
      </c>
      <c r="G187" s="28">
        <v>28</v>
      </c>
      <c r="H187" s="28" t="s">
        <v>1293</v>
      </c>
      <c r="I187" s="28" t="s">
        <v>66</v>
      </c>
      <c r="J187" s="28">
        <v>0.3</v>
      </c>
      <c r="K187" s="28">
        <v>1</v>
      </c>
      <c r="L187" s="28" t="s">
        <v>1299</v>
      </c>
      <c r="M187" s="28" t="s">
        <v>1306</v>
      </c>
      <c r="N187" s="28" t="s">
        <v>66</v>
      </c>
      <c r="O187" s="28">
        <v>0.15</v>
      </c>
      <c r="P187" s="28">
        <v>0.098</v>
      </c>
      <c r="Q187" s="28">
        <f t="shared" si="8"/>
        <v>1.53061224489796</v>
      </c>
      <c r="R187" s="45">
        <v>3.5</v>
      </c>
      <c r="S187" s="46">
        <f t="shared" si="5"/>
        <v>2</v>
      </c>
    </row>
    <row r="188" customFormat="1" spans="1:19">
      <c r="A188" s="28">
        <v>186</v>
      </c>
      <c r="B188" s="28" t="s">
        <v>1599</v>
      </c>
      <c r="C188" s="28" t="s">
        <v>1557</v>
      </c>
      <c r="D188" s="28" t="s">
        <v>1598</v>
      </c>
      <c r="E188" s="28" t="s">
        <v>689</v>
      </c>
      <c r="F188" s="28" t="s">
        <v>1106</v>
      </c>
      <c r="G188" s="28">
        <v>28</v>
      </c>
      <c r="H188" s="28" t="s">
        <v>1293</v>
      </c>
      <c r="I188" s="28" t="s">
        <v>66</v>
      </c>
      <c r="J188" s="28">
        <v>0.3</v>
      </c>
      <c r="K188" s="28">
        <v>1</v>
      </c>
      <c r="L188" s="28" t="s">
        <v>1299</v>
      </c>
      <c r="M188" s="28" t="s">
        <v>1306</v>
      </c>
      <c r="N188" s="28" t="s">
        <v>66</v>
      </c>
      <c r="O188" s="28">
        <v>0.15</v>
      </c>
      <c r="P188" s="28">
        <v>0.098</v>
      </c>
      <c r="Q188" s="28">
        <f t="shared" si="8"/>
        <v>1.53061224489796</v>
      </c>
      <c r="R188" s="45">
        <v>3.5</v>
      </c>
      <c r="S188" s="46">
        <f t="shared" si="5"/>
        <v>2</v>
      </c>
    </row>
    <row r="189" customFormat="1" spans="1:19">
      <c r="A189" s="28">
        <v>187</v>
      </c>
      <c r="B189" s="28" t="s">
        <v>1600</v>
      </c>
      <c r="C189" s="28" t="s">
        <v>1557</v>
      </c>
      <c r="D189" s="28" t="s">
        <v>1601</v>
      </c>
      <c r="E189" s="28" t="s">
        <v>689</v>
      </c>
      <c r="F189" s="28" t="s">
        <v>1108</v>
      </c>
      <c r="G189" s="28">
        <v>28</v>
      </c>
      <c r="H189" s="28" t="s">
        <v>1293</v>
      </c>
      <c r="I189" s="28" t="s">
        <v>66</v>
      </c>
      <c r="J189" s="28">
        <v>0.3</v>
      </c>
      <c r="K189" s="28">
        <v>1</v>
      </c>
      <c r="L189" s="28" t="s">
        <v>1299</v>
      </c>
      <c r="M189" s="28" t="s">
        <v>1306</v>
      </c>
      <c r="N189" s="28" t="s">
        <v>66</v>
      </c>
      <c r="O189" s="28">
        <v>0.15</v>
      </c>
      <c r="P189" s="28">
        <v>0.098</v>
      </c>
      <c r="Q189" s="28">
        <f t="shared" si="8"/>
        <v>1.53061224489796</v>
      </c>
      <c r="R189" s="45">
        <v>3.5</v>
      </c>
      <c r="S189" s="46">
        <f t="shared" si="5"/>
        <v>2</v>
      </c>
    </row>
    <row r="190" customFormat="1" spans="1:19">
      <c r="A190" s="28">
        <v>188</v>
      </c>
      <c r="B190" s="28" t="s">
        <v>1602</v>
      </c>
      <c r="C190" s="28" t="s">
        <v>1557</v>
      </c>
      <c r="D190" s="28" t="s">
        <v>1601</v>
      </c>
      <c r="E190" s="28" t="s">
        <v>689</v>
      </c>
      <c r="F190" s="28" t="s">
        <v>1108</v>
      </c>
      <c r="G190" s="28">
        <v>28</v>
      </c>
      <c r="H190" s="28" t="s">
        <v>1293</v>
      </c>
      <c r="I190" s="28" t="s">
        <v>66</v>
      </c>
      <c r="J190" s="28">
        <v>0.3</v>
      </c>
      <c r="K190" s="28">
        <v>1</v>
      </c>
      <c r="L190" s="28" t="s">
        <v>1299</v>
      </c>
      <c r="M190" s="28" t="s">
        <v>1306</v>
      </c>
      <c r="N190" s="28" t="s">
        <v>66</v>
      </c>
      <c r="O190" s="28">
        <v>0.15</v>
      </c>
      <c r="P190" s="28">
        <v>0.098</v>
      </c>
      <c r="Q190" s="28">
        <f t="shared" si="8"/>
        <v>1.53061224489796</v>
      </c>
      <c r="R190" s="45">
        <v>3.5</v>
      </c>
      <c r="S190" s="46">
        <f t="shared" si="5"/>
        <v>2</v>
      </c>
    </row>
    <row r="191" s="34" customFormat="1" spans="1:19">
      <c r="A191" s="28">
        <v>189</v>
      </c>
      <c r="B191" s="28" t="s">
        <v>1603</v>
      </c>
      <c r="C191" s="28" t="s">
        <v>1557</v>
      </c>
      <c r="D191" s="28" t="s">
        <v>1604</v>
      </c>
      <c r="E191" s="28" t="s">
        <v>689</v>
      </c>
      <c r="F191" s="28" t="s">
        <v>1110</v>
      </c>
      <c r="G191" s="28" t="s">
        <v>689</v>
      </c>
      <c r="H191" s="28" t="s">
        <v>689</v>
      </c>
      <c r="I191" s="28" t="s">
        <v>689</v>
      </c>
      <c r="J191" s="28" t="s">
        <v>689</v>
      </c>
      <c r="K191" s="28" t="s">
        <v>689</v>
      </c>
      <c r="L191" s="28" t="s">
        <v>1299</v>
      </c>
      <c r="M191" s="28" t="s">
        <v>1306</v>
      </c>
      <c r="N191" s="28" t="s">
        <v>66</v>
      </c>
      <c r="O191" s="28" t="e">
        <v>#N/A</v>
      </c>
      <c r="P191" s="28" t="s">
        <v>1296</v>
      </c>
      <c r="Q191" s="28" t="s">
        <v>1296</v>
      </c>
      <c r="R191" s="28" t="s">
        <v>1296</v>
      </c>
      <c r="S191" s="46" t="e">
        <f t="shared" si="5"/>
        <v>#VALUE!</v>
      </c>
    </row>
    <row r="192" s="34" customFormat="1" spans="1:19">
      <c r="A192" s="28">
        <v>190</v>
      </c>
      <c r="B192" s="28" t="s">
        <v>1605</v>
      </c>
      <c r="C192" s="28" t="s">
        <v>1606</v>
      </c>
      <c r="D192" s="28" t="s">
        <v>1607</v>
      </c>
      <c r="E192" s="28" t="s">
        <v>1244</v>
      </c>
      <c r="F192" s="28" t="s">
        <v>1245</v>
      </c>
      <c r="G192" s="28">
        <v>28</v>
      </c>
      <c r="H192" s="28" t="s">
        <v>1293</v>
      </c>
      <c r="I192" s="28" t="s">
        <v>66</v>
      </c>
      <c r="J192" s="28">
        <v>0.05</v>
      </c>
      <c r="K192" s="28">
        <v>0.05</v>
      </c>
      <c r="L192" s="28" t="s">
        <v>1294</v>
      </c>
      <c r="M192" s="28" t="s">
        <v>1295</v>
      </c>
      <c r="N192" s="28" t="s">
        <v>61</v>
      </c>
      <c r="O192" s="28">
        <v>0.02</v>
      </c>
      <c r="P192" s="28" t="s">
        <v>1296</v>
      </c>
      <c r="Q192" s="28" t="s">
        <v>1296</v>
      </c>
      <c r="R192" s="45" t="s">
        <v>1296</v>
      </c>
      <c r="S192" s="46">
        <f t="shared" si="5"/>
        <v>2.5</v>
      </c>
    </row>
    <row r="193" s="34" customFormat="1" spans="1:19">
      <c r="A193" s="28">
        <v>191</v>
      </c>
      <c r="B193" s="28" t="s">
        <v>1608</v>
      </c>
      <c r="C193" s="28" t="s">
        <v>1606</v>
      </c>
      <c r="D193" s="28" t="s">
        <v>1609</v>
      </c>
      <c r="E193" s="28" t="s">
        <v>1247</v>
      </c>
      <c r="F193" s="28" t="s">
        <v>1248</v>
      </c>
      <c r="G193" s="28">
        <v>28</v>
      </c>
      <c r="H193" s="28" t="s">
        <v>1293</v>
      </c>
      <c r="I193" s="28" t="s">
        <v>66</v>
      </c>
      <c r="J193" s="28">
        <v>0.05</v>
      </c>
      <c r="K193" s="28">
        <v>0.05</v>
      </c>
      <c r="L193" s="28" t="s">
        <v>1294</v>
      </c>
      <c r="M193" s="28" t="s">
        <v>1295</v>
      </c>
      <c r="N193" s="28" t="s">
        <v>61</v>
      </c>
      <c r="O193" s="28">
        <v>0.02</v>
      </c>
      <c r="P193" s="28" t="s">
        <v>1296</v>
      </c>
      <c r="Q193" s="28" t="s">
        <v>1296</v>
      </c>
      <c r="R193" s="45" t="s">
        <v>1296</v>
      </c>
      <c r="S193" s="46">
        <f t="shared" si="5"/>
        <v>2.5</v>
      </c>
    </row>
    <row r="194" s="34" customFormat="1" spans="1:19">
      <c r="A194" s="28">
        <v>192</v>
      </c>
      <c r="B194" s="28" t="s">
        <v>1610</v>
      </c>
      <c r="C194" s="28" t="s">
        <v>1606</v>
      </c>
      <c r="D194" s="28" t="s">
        <v>1611</v>
      </c>
      <c r="E194" s="28" t="s">
        <v>1244</v>
      </c>
      <c r="F194" s="28" t="s">
        <v>1250</v>
      </c>
      <c r="G194" s="28">
        <v>28</v>
      </c>
      <c r="H194" s="28" t="s">
        <v>1293</v>
      </c>
      <c r="I194" s="28" t="s">
        <v>66</v>
      </c>
      <c r="J194" s="28">
        <v>0.05</v>
      </c>
      <c r="K194" s="28">
        <v>0.05</v>
      </c>
      <c r="L194" s="28" t="s">
        <v>1294</v>
      </c>
      <c r="M194" s="28" t="s">
        <v>1295</v>
      </c>
      <c r="N194" s="28" t="s">
        <v>61</v>
      </c>
      <c r="O194" s="28">
        <v>0.02</v>
      </c>
      <c r="P194" s="28" t="s">
        <v>1296</v>
      </c>
      <c r="Q194" s="28" t="s">
        <v>1296</v>
      </c>
      <c r="R194" s="45" t="s">
        <v>1296</v>
      </c>
      <c r="S194" s="46">
        <f t="shared" si="5"/>
        <v>2.5</v>
      </c>
    </row>
    <row r="195" s="34" customFormat="1" spans="1:19">
      <c r="A195" s="28">
        <v>193</v>
      </c>
      <c r="B195" s="28" t="s">
        <v>1612</v>
      </c>
      <c r="C195" s="28" t="s">
        <v>1606</v>
      </c>
      <c r="D195" s="28" t="s">
        <v>1613</v>
      </c>
      <c r="E195" s="28" t="s">
        <v>1247</v>
      </c>
      <c r="F195" s="28" t="s">
        <v>1252</v>
      </c>
      <c r="G195" s="28">
        <v>28</v>
      </c>
      <c r="H195" s="28" t="s">
        <v>1293</v>
      </c>
      <c r="I195" s="28" t="s">
        <v>66</v>
      </c>
      <c r="J195" s="28">
        <v>0.05</v>
      </c>
      <c r="K195" s="28">
        <v>0.05</v>
      </c>
      <c r="L195" s="28" t="s">
        <v>1294</v>
      </c>
      <c r="M195" s="28" t="s">
        <v>1295</v>
      </c>
      <c r="N195" s="28" t="s">
        <v>61</v>
      </c>
      <c r="O195" s="28">
        <v>0.02</v>
      </c>
      <c r="P195" s="28" t="s">
        <v>1296</v>
      </c>
      <c r="Q195" s="28" t="s">
        <v>1296</v>
      </c>
      <c r="R195" s="45" t="s">
        <v>1296</v>
      </c>
      <c r="S195" s="46">
        <f t="shared" si="5"/>
        <v>2.5</v>
      </c>
    </row>
    <row r="196" s="34" customFormat="1" spans="1:19">
      <c r="A196" s="28">
        <v>194</v>
      </c>
      <c r="B196" s="28" t="s">
        <v>1614</v>
      </c>
      <c r="C196" s="28" t="s">
        <v>1606</v>
      </c>
      <c r="D196" s="28" t="s">
        <v>1253</v>
      </c>
      <c r="E196" s="28" t="s">
        <v>1254</v>
      </c>
      <c r="F196" s="28" t="s">
        <v>1255</v>
      </c>
      <c r="G196" s="28">
        <v>28</v>
      </c>
      <c r="H196" s="28" t="s">
        <v>1293</v>
      </c>
      <c r="I196" s="28" t="s">
        <v>66</v>
      </c>
      <c r="J196" s="28">
        <v>0.2</v>
      </c>
      <c r="K196" s="28">
        <v>0.05</v>
      </c>
      <c r="L196" s="28" t="s">
        <v>1294</v>
      </c>
      <c r="M196" s="28" t="s">
        <v>1295</v>
      </c>
      <c r="N196" s="28" t="s">
        <v>61</v>
      </c>
      <c r="O196" s="28">
        <v>0.11</v>
      </c>
      <c r="P196" s="28" t="s">
        <v>1296</v>
      </c>
      <c r="Q196" s="28" t="s">
        <v>1296</v>
      </c>
      <c r="R196" s="45" t="s">
        <v>1296</v>
      </c>
      <c r="S196" s="46">
        <f t="shared" si="5"/>
        <v>1.81818181818182</v>
      </c>
    </row>
    <row r="197" customFormat="1" spans="1:19">
      <c r="A197" s="28">
        <v>195</v>
      </c>
      <c r="B197" s="28" t="s">
        <v>1615</v>
      </c>
      <c r="C197" s="28" t="s">
        <v>1616</v>
      </c>
      <c r="D197" s="28" t="s">
        <v>1617</v>
      </c>
      <c r="E197" s="28" t="s">
        <v>1258</v>
      </c>
      <c r="F197" s="28" t="s">
        <v>1259</v>
      </c>
      <c r="G197" s="28">
        <v>28</v>
      </c>
      <c r="H197" s="28" t="s">
        <v>1293</v>
      </c>
      <c r="I197" s="28" t="s">
        <v>66</v>
      </c>
      <c r="J197" s="28">
        <v>0.15</v>
      </c>
      <c r="K197" s="28">
        <v>0.05</v>
      </c>
      <c r="L197" s="28" t="s">
        <v>1294</v>
      </c>
      <c r="M197" s="28" t="s">
        <v>1306</v>
      </c>
      <c r="N197" s="28" t="s">
        <v>66</v>
      </c>
      <c r="O197" s="28">
        <v>0.03</v>
      </c>
      <c r="P197" s="28">
        <v>0.0196</v>
      </c>
      <c r="Q197" s="28">
        <f>O197/P197</f>
        <v>1.53061224489796</v>
      </c>
      <c r="R197" s="45">
        <v>0.7</v>
      </c>
      <c r="S197" s="46">
        <f t="shared" si="5"/>
        <v>5</v>
      </c>
    </row>
    <row r="198" customFormat="1" spans="1:19">
      <c r="A198" s="28">
        <v>196</v>
      </c>
      <c r="B198" s="28" t="s">
        <v>1618</v>
      </c>
      <c r="C198" s="28" t="s">
        <v>1616</v>
      </c>
      <c r="D198" s="28" t="s">
        <v>1619</v>
      </c>
      <c r="E198" s="28" t="s">
        <v>1266</v>
      </c>
      <c r="F198" s="28" t="s">
        <v>1267</v>
      </c>
      <c r="G198" s="28">
        <v>28</v>
      </c>
      <c r="H198" s="28" t="s">
        <v>1293</v>
      </c>
      <c r="I198" s="28" t="s">
        <v>66</v>
      </c>
      <c r="J198" s="28">
        <v>0.5</v>
      </c>
      <c r="K198" s="28">
        <v>0.05</v>
      </c>
      <c r="L198" s="28" t="s">
        <v>1294</v>
      </c>
      <c r="M198" s="28" t="s">
        <v>1306</v>
      </c>
      <c r="N198" s="28" t="s">
        <v>66</v>
      </c>
      <c r="O198" s="28">
        <v>0.15</v>
      </c>
      <c r="P198" s="28">
        <v>0.08764</v>
      </c>
      <c r="Q198" s="28">
        <f>O198/P198</f>
        <v>1.71154723870379</v>
      </c>
      <c r="R198" s="45">
        <v>3.13</v>
      </c>
      <c r="S198" s="46">
        <f>J198/O198</f>
        <v>3.33333333333333</v>
      </c>
    </row>
    <row r="199" customFormat="1" spans="1:19">
      <c r="A199" s="28">
        <v>197</v>
      </c>
      <c r="B199" s="28" t="s">
        <v>1620</v>
      </c>
      <c r="C199" s="28" t="s">
        <v>1616</v>
      </c>
      <c r="D199" s="28" t="s">
        <v>1271</v>
      </c>
      <c r="E199" s="28" t="s">
        <v>1272</v>
      </c>
      <c r="F199" s="28" t="s">
        <v>1273</v>
      </c>
      <c r="G199" s="28">
        <v>28</v>
      </c>
      <c r="H199" s="28" t="s">
        <v>1293</v>
      </c>
      <c r="I199" s="28" t="s">
        <v>66</v>
      </c>
      <c r="J199" s="28">
        <v>0.05</v>
      </c>
      <c r="K199" s="28">
        <v>0.05</v>
      </c>
      <c r="L199" s="28" t="s">
        <v>1299</v>
      </c>
      <c r="M199" s="28" t="s">
        <v>1295</v>
      </c>
      <c r="N199" s="28" t="s">
        <v>66</v>
      </c>
      <c r="O199" s="28">
        <v>0.012</v>
      </c>
      <c r="P199" s="28">
        <v>0.00784000000000003</v>
      </c>
      <c r="Q199" s="28">
        <f>O199/P199</f>
        <v>1.53061224489795</v>
      </c>
      <c r="R199" s="45">
        <v>0.280000000000001</v>
      </c>
      <c r="S199" s="46">
        <f>J199/O199</f>
        <v>4.16666666666667</v>
      </c>
    </row>
  </sheetData>
  <autoFilter xmlns:etc="http://www.wps.cn/officeDocument/2017/etCustomData" ref="A2:S199" etc:filterBottomFollowUsedRange="0">
    <extLst/>
  </autoFilter>
  <mergeCells count="2">
    <mergeCell ref="A1:N1"/>
    <mergeCell ref="O1:S1"/>
  </mergeCells>
  <dataValidations count="6">
    <dataValidation allowBlank="1" showInputMessage="1" showErrorMessage="1" sqref="G2 L2:N2"/>
    <dataValidation type="list" allowBlank="1" showInputMessage="1" showErrorMessage="1" sqref="I2 N130 N199 I8:I17 I28:I43 I45:I48 I51:I52 I60:I66 I68:I79 I90:I94 I111:I116 I124:I128 I130:I131 I161:I190 N8:N17 N28:N43 N45:N48 N51:N52 N60:N66 N68:N79 N90:N94 N111:N116 N124:N128 N161:N191">
      <formula1>"是,否"</formula1>
    </dataValidation>
    <dataValidation type="list" allowBlank="1" showInputMessage="1" showErrorMessage="1" sqref="L130 L199 L8:L17 L28:L43 L45:L48 L51:L52 L60:L66 L68:L79 L90:L94 L111:L118 L124:L128 L161:L190">
      <formula1>"单通道供电,双通道供电,三通道供电"</formula1>
    </dataValidation>
    <dataValidation type="list" allowBlank="1" showInputMessage="1" showErrorMessage="1" sqref="G199 G8:G10 G11:G13 G14:G17 G28:G30 G34:G43 G45:G48 G51:G52 G60:G66 G68:G79 G90:G94 G111:G116 G124:G128 G130:G131 G161:G190">
      <formula1>"270V,28V,800V"</formula1>
    </dataValidation>
    <dataValidation type="list" allowBlank="1" showInputMessage="1" showErrorMessage="1" sqref="M199 M8:M17 M28:M43 M45:M48 M51:M52 M60:M66 M68:M79 M90:M94 M111:M116 M124:M128 M130:M131 M161:M191">
      <formula1>"有,无"</formula1>
    </dataValidation>
    <dataValidation type="list" allowBlank="1" showInputMessage="1" showErrorMessage="1" sqref="G31:G33">
      <formula1>"270,28,800"</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H16"/>
  <sheetViews>
    <sheetView zoomScale="115" zoomScaleNormal="115" workbookViewId="0">
      <selection activeCell="E17" sqref="E17"/>
    </sheetView>
  </sheetViews>
  <sheetFormatPr defaultColWidth="8.72727272727273" defaultRowHeight="14" outlineLevelCol="7"/>
  <cols>
    <col min="1" max="1" width="8.72727272727273" style="6"/>
    <col min="2" max="2" width="21.1818181818182" customWidth="1"/>
    <col min="3" max="3" width="17.4545454545455" customWidth="1"/>
    <col min="4" max="4" width="8.72727272727273" style="6"/>
    <col min="5" max="5" width="59.5454545454545" customWidth="1"/>
    <col min="6" max="6" width="29.3636363636364" customWidth="1"/>
    <col min="7" max="7" width="12.6363636363636" customWidth="1"/>
    <col min="8" max="8" width="11.7272727272727" customWidth="1"/>
  </cols>
  <sheetData>
    <row r="1" ht="15.5" customHeight="1" spans="1:8">
      <c r="A1" s="30" t="s">
        <v>1621</v>
      </c>
      <c r="B1" s="30" t="s">
        <v>1622</v>
      </c>
      <c r="C1" s="30" t="s">
        <v>1623</v>
      </c>
      <c r="D1" s="30" t="s">
        <v>1624</v>
      </c>
      <c r="E1" s="30" t="s">
        <v>1625</v>
      </c>
      <c r="F1" s="30" t="s">
        <v>55</v>
      </c>
      <c r="G1" s="30"/>
      <c r="H1" s="30"/>
    </row>
    <row r="2" spans="1:8">
      <c r="A2" s="30"/>
      <c r="B2" s="30"/>
      <c r="C2" s="30"/>
      <c r="D2" s="30"/>
      <c r="E2" s="30"/>
      <c r="F2" s="30" t="s">
        <v>1626</v>
      </c>
      <c r="G2" s="30" t="s">
        <v>1627</v>
      </c>
      <c r="H2" s="30" t="s">
        <v>1628</v>
      </c>
    </row>
    <row r="3" spans="1:8">
      <c r="A3" s="31" t="s">
        <v>1629</v>
      </c>
      <c r="B3" s="31" t="s">
        <v>1630</v>
      </c>
      <c r="C3" s="31" t="s">
        <v>1631</v>
      </c>
      <c r="D3" s="31">
        <v>0</v>
      </c>
      <c r="E3" s="32" t="s">
        <v>1632</v>
      </c>
      <c r="F3" s="31" t="s">
        <v>1633</v>
      </c>
      <c r="G3" s="31">
        <v>0</v>
      </c>
      <c r="H3" s="31">
        <v>0</v>
      </c>
    </row>
    <row r="4" ht="42" customHeight="1" spans="1:8">
      <c r="A4" s="31" t="s">
        <v>1634</v>
      </c>
      <c r="B4" s="31" t="s">
        <v>1635</v>
      </c>
      <c r="C4" s="31" t="s">
        <v>1636</v>
      </c>
      <c r="D4" s="31">
        <v>0</v>
      </c>
      <c r="E4" s="32" t="s">
        <v>1637</v>
      </c>
      <c r="F4" s="31" t="s">
        <v>1633</v>
      </c>
      <c r="G4" s="31">
        <v>0</v>
      </c>
      <c r="H4" s="31">
        <v>0</v>
      </c>
    </row>
    <row r="5" spans="1:8">
      <c r="A5" s="31"/>
      <c r="B5" s="31"/>
      <c r="C5" s="31" t="s">
        <v>1638</v>
      </c>
      <c r="D5" s="31"/>
      <c r="E5" s="32"/>
      <c r="F5" s="31" t="s">
        <v>1633</v>
      </c>
      <c r="G5" s="31">
        <v>0</v>
      </c>
      <c r="H5" s="31">
        <v>0</v>
      </c>
    </row>
    <row r="6" ht="27" spans="1:8">
      <c r="A6" s="31" t="s">
        <v>1639</v>
      </c>
      <c r="B6" s="31" t="s">
        <v>1640</v>
      </c>
      <c r="C6" s="31" t="s">
        <v>1640</v>
      </c>
      <c r="D6" s="31">
        <v>1</v>
      </c>
      <c r="E6" s="32" t="s">
        <v>1641</v>
      </c>
      <c r="F6" s="31" t="s">
        <v>1633</v>
      </c>
      <c r="G6" s="31">
        <v>0</v>
      </c>
      <c r="H6" s="31">
        <v>0</v>
      </c>
    </row>
    <row r="7" ht="27" spans="1:8">
      <c r="A7" s="31" t="s">
        <v>1642</v>
      </c>
      <c r="B7" s="31" t="s">
        <v>1643</v>
      </c>
      <c r="C7" s="31" t="s">
        <v>1644</v>
      </c>
      <c r="D7" s="31">
        <v>3</v>
      </c>
      <c r="E7" s="32" t="s">
        <v>1645</v>
      </c>
      <c r="F7" s="31" t="s">
        <v>1646</v>
      </c>
      <c r="G7" s="31" t="s">
        <v>1647</v>
      </c>
      <c r="H7" s="31">
        <v>0</v>
      </c>
    </row>
    <row r="8" ht="53.25" customHeight="1" spans="1:8">
      <c r="A8" s="31" t="s">
        <v>1648</v>
      </c>
      <c r="B8" s="31" t="s">
        <v>1649</v>
      </c>
      <c r="C8" s="31" t="s">
        <v>1650</v>
      </c>
      <c r="D8" s="31">
        <v>6.77</v>
      </c>
      <c r="E8" s="32" t="s">
        <v>1651</v>
      </c>
      <c r="F8" s="31" t="s">
        <v>1652</v>
      </c>
      <c r="G8" s="31" t="s">
        <v>1653</v>
      </c>
      <c r="H8" s="31" t="s">
        <v>1654</v>
      </c>
    </row>
    <row r="9" spans="1:8">
      <c r="A9" s="31"/>
      <c r="B9" s="31"/>
      <c r="C9" s="31" t="s">
        <v>1655</v>
      </c>
      <c r="D9" s="31"/>
      <c r="E9" s="32"/>
      <c r="F9" s="31" t="s">
        <v>1656</v>
      </c>
      <c r="G9" s="31" t="s">
        <v>1657</v>
      </c>
      <c r="H9" s="31" t="s">
        <v>1658</v>
      </c>
    </row>
    <row r="10" spans="1:8">
      <c r="A10" s="31"/>
      <c r="B10" s="31"/>
      <c r="C10" s="31" t="s">
        <v>1659</v>
      </c>
      <c r="D10" s="31"/>
      <c r="E10" s="32"/>
      <c r="F10" s="31" t="s">
        <v>1660</v>
      </c>
      <c r="G10" s="31" t="s">
        <v>1661</v>
      </c>
      <c r="H10" s="31" t="s">
        <v>1662</v>
      </c>
    </row>
    <row r="11" spans="1:8">
      <c r="A11" s="31" t="s">
        <v>1663</v>
      </c>
      <c r="B11" s="31" t="s">
        <v>1664</v>
      </c>
      <c r="C11" s="31" t="s">
        <v>1665</v>
      </c>
      <c r="D11" s="31">
        <v>43.6</v>
      </c>
      <c r="E11" s="32" t="s">
        <v>1666</v>
      </c>
      <c r="F11" s="31" t="s">
        <v>1660</v>
      </c>
      <c r="G11" s="31" t="s">
        <v>1667</v>
      </c>
      <c r="H11" s="31" t="s">
        <v>1668</v>
      </c>
    </row>
    <row r="12" ht="22" customHeight="1" spans="1:8">
      <c r="A12" s="31" t="s">
        <v>1669</v>
      </c>
      <c r="B12" s="31" t="s">
        <v>1670</v>
      </c>
      <c r="C12" s="31" t="s">
        <v>1671</v>
      </c>
      <c r="D12" s="31">
        <v>13.85</v>
      </c>
      <c r="E12" s="32" t="s">
        <v>1672</v>
      </c>
      <c r="F12" s="31" t="s">
        <v>1660</v>
      </c>
      <c r="G12" s="31" t="s">
        <v>1673</v>
      </c>
      <c r="H12" s="31" t="s">
        <v>1658</v>
      </c>
    </row>
    <row r="13" spans="1:8">
      <c r="A13" s="31"/>
      <c r="B13" s="31"/>
      <c r="C13" s="31" t="s">
        <v>1674</v>
      </c>
      <c r="D13" s="31"/>
      <c r="E13" s="32" t="s">
        <v>1633</v>
      </c>
      <c r="F13" s="31" t="s">
        <v>1633</v>
      </c>
      <c r="G13" s="31" t="s">
        <v>1633</v>
      </c>
      <c r="H13" s="31" t="s">
        <v>1633</v>
      </c>
    </row>
    <row r="14" spans="1:8">
      <c r="A14" s="31"/>
      <c r="B14" s="31"/>
      <c r="C14" s="31" t="s">
        <v>1675</v>
      </c>
      <c r="D14" s="31"/>
      <c r="E14" s="32" t="s">
        <v>1666</v>
      </c>
      <c r="F14" s="31" t="s">
        <v>1676</v>
      </c>
      <c r="G14" s="31" t="s">
        <v>1677</v>
      </c>
      <c r="H14" s="31" t="s">
        <v>1678</v>
      </c>
    </row>
    <row r="15" ht="27" spans="1:8">
      <c r="A15" s="31" t="s">
        <v>1679</v>
      </c>
      <c r="B15" s="31" t="s">
        <v>1680</v>
      </c>
      <c r="C15" s="31" t="s">
        <v>1681</v>
      </c>
      <c r="D15" s="31">
        <v>0.5</v>
      </c>
      <c r="E15" s="32" t="s">
        <v>1682</v>
      </c>
      <c r="F15" s="31" t="s">
        <v>1683</v>
      </c>
      <c r="G15" s="31" t="s">
        <v>1684</v>
      </c>
      <c r="H15" s="31">
        <v>0</v>
      </c>
    </row>
    <row r="16" spans="1:8">
      <c r="A16" s="31" t="s">
        <v>1685</v>
      </c>
      <c r="B16" s="31" t="s">
        <v>1686</v>
      </c>
      <c r="C16" s="31" t="s">
        <v>1687</v>
      </c>
      <c r="D16" s="31">
        <v>4</v>
      </c>
      <c r="E16" s="32" t="s">
        <v>1688</v>
      </c>
      <c r="F16" s="31" t="s">
        <v>1689</v>
      </c>
      <c r="G16" s="31" t="s">
        <v>1690</v>
      </c>
      <c r="H16" s="31">
        <v>0</v>
      </c>
    </row>
  </sheetData>
  <mergeCells count="17">
    <mergeCell ref="F1:H1"/>
    <mergeCell ref="A1:A2"/>
    <mergeCell ref="A4:A5"/>
    <mergeCell ref="A8:A10"/>
    <mergeCell ref="A12:A14"/>
    <mergeCell ref="B1:B2"/>
    <mergeCell ref="B4:B5"/>
    <mergeCell ref="B8:B10"/>
    <mergeCell ref="B12:B14"/>
    <mergeCell ref="C1:C2"/>
    <mergeCell ref="D1:D2"/>
    <mergeCell ref="D4:D5"/>
    <mergeCell ref="D8:D10"/>
    <mergeCell ref="D12:D14"/>
    <mergeCell ref="E1:E2"/>
    <mergeCell ref="E4:E5"/>
    <mergeCell ref="E8:E1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L421"/>
  <sheetViews>
    <sheetView zoomScale="85" zoomScaleNormal="85" workbookViewId="0">
      <pane ySplit="2" topLeftCell="A36" activePane="bottomLeft" state="frozen"/>
      <selection/>
      <selection pane="bottomLeft" activeCell="D53" sqref="D53:D57"/>
    </sheetView>
  </sheetViews>
  <sheetFormatPr defaultColWidth="9" defaultRowHeight="14"/>
  <cols>
    <col min="1" max="1" width="6.18181818181818" style="1" customWidth="1"/>
    <col min="2" max="2" width="29.9090909090909" style="1" customWidth="1"/>
    <col min="3" max="3" width="21.9090909090909" style="1" customWidth="1"/>
    <col min="4" max="4" width="36" style="1" customWidth="1"/>
    <col min="5" max="5" width="17.8181818181818" style="1" customWidth="1"/>
    <col min="6" max="7" width="14.7272727272727" style="1" customWidth="1"/>
    <col min="8" max="8" width="12" style="1" customWidth="1"/>
    <col min="9" max="9" width="14.7272727272727" style="1" customWidth="1"/>
    <col min="10" max="10" width="13.4545454545455" style="1" customWidth="1"/>
    <col min="11" max="11" width="15.3636363636364" style="17" customWidth="1"/>
    <col min="13" max="13" width="10.7272727272727" customWidth="1"/>
    <col min="14" max="14" width="11.0909090909091" customWidth="1"/>
    <col min="21" max="29" width="9" customWidth="1"/>
    <col min="32" max="32" width="12.8181818181818"/>
    <col min="33" max="33" width="9.54545454545454"/>
    <col min="34" max="38" width="12.8181818181818"/>
  </cols>
  <sheetData>
    <row r="1" spans="1:38">
      <c r="A1" s="18" t="s">
        <v>47</v>
      </c>
      <c r="B1" s="18" t="s">
        <v>1276</v>
      </c>
      <c r="C1" s="18" t="s">
        <v>48</v>
      </c>
      <c r="D1" s="18" t="s">
        <v>49</v>
      </c>
      <c r="E1" s="18" t="s">
        <v>50</v>
      </c>
      <c r="F1" s="18" t="s">
        <v>51</v>
      </c>
      <c r="G1" s="19" t="s">
        <v>1277</v>
      </c>
      <c r="H1" s="19" t="s">
        <v>1284</v>
      </c>
      <c r="I1" s="18" t="s">
        <v>1691</v>
      </c>
      <c r="J1" s="18" t="s">
        <v>1692</v>
      </c>
      <c r="K1" s="18" t="s">
        <v>1693</v>
      </c>
      <c r="L1" s="18" t="s">
        <v>1694</v>
      </c>
      <c r="M1" s="18"/>
      <c r="N1" s="18"/>
      <c r="O1" s="18"/>
      <c r="P1" s="18"/>
      <c r="Q1" s="18"/>
      <c r="R1" s="18"/>
      <c r="S1" s="18"/>
      <c r="T1" s="18"/>
      <c r="U1" s="20" t="s">
        <v>1695</v>
      </c>
      <c r="V1" s="20"/>
      <c r="W1" s="20"/>
      <c r="X1" s="20"/>
      <c r="Y1" s="20"/>
      <c r="Z1" s="20"/>
      <c r="AA1" s="20"/>
      <c r="AB1" s="20"/>
      <c r="AC1" s="20"/>
      <c r="AD1" s="20" t="s">
        <v>1696</v>
      </c>
      <c r="AE1" s="20"/>
      <c r="AF1" s="20"/>
      <c r="AG1" s="20"/>
      <c r="AH1" s="20"/>
      <c r="AI1" s="20"/>
      <c r="AJ1" s="20"/>
      <c r="AK1" s="20"/>
      <c r="AL1" s="20"/>
    </row>
    <row r="2" ht="42" spans="1:38">
      <c r="A2" s="18"/>
      <c r="B2" s="18"/>
      <c r="C2" s="18"/>
      <c r="D2" s="18"/>
      <c r="E2" s="18"/>
      <c r="F2" s="18"/>
      <c r="G2" s="21"/>
      <c r="H2" s="21"/>
      <c r="I2" s="18"/>
      <c r="J2" s="18"/>
      <c r="K2" s="18"/>
      <c r="L2" s="22" t="s">
        <v>1697</v>
      </c>
      <c r="M2" s="22" t="s">
        <v>1698</v>
      </c>
      <c r="N2" s="22" t="s">
        <v>1699</v>
      </c>
      <c r="O2" s="22" t="s">
        <v>1700</v>
      </c>
      <c r="P2" s="22" t="s">
        <v>1701</v>
      </c>
      <c r="Q2" s="22" t="s">
        <v>1702</v>
      </c>
      <c r="R2" s="22" t="s">
        <v>1703</v>
      </c>
      <c r="S2" s="22" t="s">
        <v>1704</v>
      </c>
      <c r="T2" s="22" t="s">
        <v>1705</v>
      </c>
      <c r="U2" s="23" t="s">
        <v>1697</v>
      </c>
      <c r="V2" s="23" t="s">
        <v>1698</v>
      </c>
      <c r="W2" s="23" t="s">
        <v>1699</v>
      </c>
      <c r="X2" s="23" t="s">
        <v>1700</v>
      </c>
      <c r="Y2" s="23" t="s">
        <v>1701</v>
      </c>
      <c r="Z2" s="23" t="s">
        <v>1702</v>
      </c>
      <c r="AA2" s="23" t="s">
        <v>1703</v>
      </c>
      <c r="AB2" s="23" t="s">
        <v>1704</v>
      </c>
      <c r="AC2" s="23" t="s">
        <v>1705</v>
      </c>
      <c r="AD2" s="23" t="s">
        <v>1697</v>
      </c>
      <c r="AE2" s="23" t="s">
        <v>1698</v>
      </c>
      <c r="AF2" s="23" t="s">
        <v>1699</v>
      </c>
      <c r="AG2" s="23" t="s">
        <v>1700</v>
      </c>
      <c r="AH2" s="23" t="s">
        <v>1701</v>
      </c>
      <c r="AI2" s="23" t="s">
        <v>1702</v>
      </c>
      <c r="AJ2" s="23" t="s">
        <v>1703</v>
      </c>
      <c r="AK2" s="23" t="s">
        <v>1704</v>
      </c>
      <c r="AL2" s="23" t="s">
        <v>1705</v>
      </c>
    </row>
    <row r="3" spans="1:38">
      <c r="A3" s="24">
        <v>1</v>
      </c>
      <c r="B3" s="25" t="s">
        <v>1290</v>
      </c>
      <c r="C3" s="25" t="s">
        <v>1291</v>
      </c>
      <c r="D3" s="25" t="s">
        <v>1292</v>
      </c>
      <c r="E3" s="25" t="s">
        <v>58</v>
      </c>
      <c r="F3" s="25" t="s">
        <v>59</v>
      </c>
      <c r="G3" s="25">
        <f>VLOOKUP(A3,负载电气特性!A:G,7,FALSE)</f>
        <v>28</v>
      </c>
      <c r="H3" s="26" t="s">
        <v>66</v>
      </c>
      <c r="I3" s="25" t="s">
        <v>1706</v>
      </c>
      <c r="J3" s="24" t="s">
        <v>1707</v>
      </c>
      <c r="K3" s="25">
        <v>0.00336</v>
      </c>
      <c r="L3" s="25">
        <v>1</v>
      </c>
      <c r="M3" s="25">
        <v>1</v>
      </c>
      <c r="N3" s="25">
        <v>1</v>
      </c>
      <c r="O3" s="25">
        <v>1</v>
      </c>
      <c r="P3" s="25">
        <v>1</v>
      </c>
      <c r="Q3" s="25">
        <v>1</v>
      </c>
      <c r="R3" s="25">
        <v>1</v>
      </c>
      <c r="S3" s="25">
        <v>1</v>
      </c>
      <c r="T3" s="25">
        <v>1</v>
      </c>
      <c r="U3" s="27">
        <f>_xlfn.LET(_xlpm.maxVal,_xlfn.MAXIFS($K:$K,$A:$A,A3),IF(AND(_xlpm.maxVal=K3,L3&lt;&gt;0),_xlpm.maxVal,""))</f>
        <v>0.00336</v>
      </c>
      <c r="V3" s="27">
        <f>_xlfn.LET(_xlpm.maxVal,_xlfn.MAXIFS($K:$K,$A:$A,A3),IF(AND(_xlpm.maxVal=K3,M3&lt;&gt;0),_xlpm.maxVal,""))</f>
        <v>0.00336</v>
      </c>
      <c r="W3" s="27">
        <f>_xlfn.LET(_xlpm.maxVal,_xlfn.MAXIFS($K:$K,$A:$A,A3),IF(AND(_xlpm.maxVal=K3,N3&lt;&gt;0),_xlpm.maxVal,""))</f>
        <v>0.00336</v>
      </c>
      <c r="X3" s="27">
        <f>_xlfn.LET(_xlpm.maxVal,_xlfn.MAXIFS($K:$K,$A:$A,A3),IF(AND(_xlpm.maxVal=K3,O3&lt;&gt;0),_xlpm.maxVal,""))</f>
        <v>0.00336</v>
      </c>
      <c r="Y3" s="27">
        <f>_xlfn.LET(_xlpm.maxVal,_xlfn.MAXIFS($K:$K,$A:$A,A3),IF(AND(_xlpm.maxVal=K3,P3&lt;&gt;0),_xlpm.maxVal,""))</f>
        <v>0.00336</v>
      </c>
      <c r="Z3" s="27">
        <f>_xlfn.LET(_xlpm.maxVal,_xlfn.MAXIFS($K:$K,$A:$A,A3),IF(AND(_xlpm.maxVal=K3,Q3&lt;&gt;0),_xlpm.maxVal,""))</f>
        <v>0.00336</v>
      </c>
      <c r="AA3" s="27">
        <f>_xlfn.LET(_xlpm.maxVal,_xlfn.MAXIFS($K:$K,$A:$A,A3),IF(AND(_xlpm.maxVal=K3,R3&lt;&gt;0),_xlpm.maxVal,""))</f>
        <v>0.00336</v>
      </c>
      <c r="AB3" s="27">
        <f>_xlfn.LET(_xlpm.maxVal,_xlfn.MAXIFS($K:$K,$A:$A,A3),IF(AND(_xlpm.maxVal=K3,S3&lt;&gt;0),_xlpm.maxVal,""))</f>
        <v>0.00336</v>
      </c>
      <c r="AC3" s="27">
        <f>_xlfn.LET(_xlpm.maxVal,_xlfn.MAXIFS($K:$K,$A:$A,A3),IF(AND(_xlpm.maxVal=K3,T3&lt;&gt;0),_xlpm.maxVal,""))</f>
        <v>0.00336</v>
      </c>
      <c r="AD3" s="27">
        <f>$K3*L3*负载统计!$K$3/60</f>
        <v>0</v>
      </c>
      <c r="AE3" s="27">
        <f>$K3*L3*负载统计!$K$4/60</f>
        <v>0</v>
      </c>
      <c r="AF3" s="27">
        <f>$K3*N3*负载统计!$K$5/60</f>
        <v>5.6e-5</v>
      </c>
      <c r="AG3" s="27">
        <f>$K3*O3*负载统计!$K$6/60</f>
        <v>0.000168</v>
      </c>
      <c r="AH3" s="27">
        <f>$K3*P3*负载统计!$K$7/60</f>
        <v>0.00037912</v>
      </c>
      <c r="AI3" s="27">
        <f>$K3*Q3*负载统计!$K$8/60</f>
        <v>0.0024416</v>
      </c>
      <c r="AJ3" s="27">
        <f>$K3*R3*负载统计!$K$9/60</f>
        <v>0.0007756</v>
      </c>
      <c r="AK3" s="27">
        <f>$K3*S3*负载统计!$K$10/60</f>
        <v>2.8e-5</v>
      </c>
      <c r="AL3" s="27">
        <f>$K3*T3*负载统计!$K$11/60</f>
        <v>0.000224</v>
      </c>
    </row>
    <row r="4" spans="1:38">
      <c r="A4" s="24">
        <v>1</v>
      </c>
      <c r="B4" s="25" t="s">
        <v>1290</v>
      </c>
      <c r="C4" s="25" t="s">
        <v>1291</v>
      </c>
      <c r="D4" s="25" t="s">
        <v>1292</v>
      </c>
      <c r="E4" s="25" t="s">
        <v>58</v>
      </c>
      <c r="F4" s="25" t="s">
        <v>59</v>
      </c>
      <c r="G4" s="25">
        <f>VLOOKUP(A4,负载电气特性!A:G,7,FALSE)</f>
        <v>28</v>
      </c>
      <c r="H4" s="26" t="s">
        <v>66</v>
      </c>
      <c r="I4" s="25" t="s">
        <v>1706</v>
      </c>
      <c r="J4" s="24" t="s">
        <v>1708</v>
      </c>
      <c r="K4" s="25">
        <v>0</v>
      </c>
      <c r="L4" s="25">
        <v>0</v>
      </c>
      <c r="M4" s="25">
        <v>0</v>
      </c>
      <c r="N4" s="25">
        <v>0</v>
      </c>
      <c r="O4" s="25">
        <v>0</v>
      </c>
      <c r="P4" s="25">
        <v>0</v>
      </c>
      <c r="Q4" s="25">
        <v>0</v>
      </c>
      <c r="R4" s="25">
        <v>0</v>
      </c>
      <c r="S4" s="25">
        <v>0</v>
      </c>
      <c r="T4" s="25">
        <v>0</v>
      </c>
      <c r="U4" s="27" t="str">
        <f>_xlfn.LET(_xlpm.maxVal,_xlfn.MAXIFS($K:$K,$A:$A,A4),IF(AND(_xlpm.maxVal=K4,L4&lt;&gt;0),_xlpm.maxVal,""))</f>
        <v/>
      </c>
      <c r="V4" s="27" t="str">
        <f>_xlfn.LET(_xlpm.maxVal,_xlfn.MAXIFS($K:$K,$A:$A,A4),IF(AND(_xlpm.maxVal=K4,M4&lt;&gt;0),_xlpm.maxVal,""))</f>
        <v/>
      </c>
      <c r="W4" s="27" t="str">
        <f>_xlfn.LET(_xlpm.maxVal,_xlfn.MAXIFS($K:$K,$A:$A,A4),IF(AND(_xlpm.maxVal=K4,N4&lt;&gt;0),_xlpm.maxVal,""))</f>
        <v/>
      </c>
      <c r="X4" s="27" t="str">
        <f>_xlfn.LET(_xlpm.maxVal,_xlfn.MAXIFS($K:$K,$A:$A,A4),IF(AND(_xlpm.maxVal=K4,O4&lt;&gt;0),_xlpm.maxVal,""))</f>
        <v/>
      </c>
      <c r="Y4" s="27" t="str">
        <f>_xlfn.LET(_xlpm.maxVal,_xlfn.MAXIFS($K:$K,$A:$A,A4),IF(AND(_xlpm.maxVal=K4,P4&lt;&gt;0),_xlpm.maxVal,""))</f>
        <v/>
      </c>
      <c r="Z4" s="27" t="str">
        <f>_xlfn.LET(_xlpm.maxVal,_xlfn.MAXIFS($K:$K,$A:$A,A4),IF(AND(_xlpm.maxVal=K4,Q4&lt;&gt;0),_xlpm.maxVal,""))</f>
        <v/>
      </c>
      <c r="AA4" s="27" t="str">
        <f>_xlfn.LET(_xlpm.maxVal,_xlfn.MAXIFS($K:$K,$A:$A,A4),IF(AND(_xlpm.maxVal=K4,R4&lt;&gt;0),_xlpm.maxVal,""))</f>
        <v/>
      </c>
      <c r="AB4" s="27" t="str">
        <f>_xlfn.LET(_xlpm.maxVal,_xlfn.MAXIFS($K:$K,$A:$A,A4),IF(AND(_xlpm.maxVal=K4,S4&lt;&gt;0),_xlpm.maxVal,""))</f>
        <v/>
      </c>
      <c r="AC4" s="27" t="str">
        <f>_xlfn.LET(_xlpm.maxVal,_xlfn.MAXIFS($K:$K,$A:$A,A4),IF(AND(_xlpm.maxVal=K4,T4&lt;&gt;0),_xlpm.maxVal,""))</f>
        <v/>
      </c>
      <c r="AD4" s="27">
        <f>$K4*L4*负载统计!$K$3/60</f>
        <v>0</v>
      </c>
      <c r="AE4" s="27">
        <f>$K4*L4*负载统计!$K$4/60</f>
        <v>0</v>
      </c>
      <c r="AF4" s="27">
        <f>$K4*N4*负载统计!$K$5/60</f>
        <v>0</v>
      </c>
      <c r="AG4" s="27">
        <f>$K4*O4*负载统计!$K$6/60</f>
        <v>0</v>
      </c>
      <c r="AH4" s="27">
        <f>$K4*P4*负载统计!$K$7/60</f>
        <v>0</v>
      </c>
      <c r="AI4" s="27">
        <f>$K4*Q4*负载统计!$K$8/60</f>
        <v>0</v>
      </c>
      <c r="AJ4" s="27">
        <f>$K4*R4*负载统计!$K$9/60</f>
        <v>0</v>
      </c>
      <c r="AK4" s="27">
        <f>$K4*S4*负载统计!$K$10/60</f>
        <v>0</v>
      </c>
      <c r="AL4" s="27">
        <f>$K4*T4*负载统计!$K$11/60</f>
        <v>0</v>
      </c>
    </row>
    <row r="5" spans="1:38">
      <c r="A5" s="24">
        <v>2</v>
      </c>
      <c r="B5" s="25" t="s">
        <v>1297</v>
      </c>
      <c r="C5" s="25" t="s">
        <v>1291</v>
      </c>
      <c r="D5" s="25" t="s">
        <v>1298</v>
      </c>
      <c r="E5" s="25" t="s">
        <v>68</v>
      </c>
      <c r="F5" s="25" t="s">
        <v>69</v>
      </c>
      <c r="G5" s="25">
        <f>VLOOKUP(A5,负载电气特性!A:G,7,FALSE)</f>
        <v>28</v>
      </c>
      <c r="H5" s="26" t="s">
        <v>66</v>
      </c>
      <c r="I5" s="25" t="s">
        <v>1706</v>
      </c>
      <c r="J5" s="24" t="s">
        <v>1707</v>
      </c>
      <c r="K5" s="25">
        <v>0.032</v>
      </c>
      <c r="L5" s="25">
        <v>1</v>
      </c>
      <c r="M5" s="25">
        <v>1</v>
      </c>
      <c r="N5" s="25">
        <v>1</v>
      </c>
      <c r="O5" s="25">
        <v>1</v>
      </c>
      <c r="P5" s="25">
        <v>1</v>
      </c>
      <c r="Q5" s="25">
        <v>1</v>
      </c>
      <c r="R5" s="25">
        <v>1</v>
      </c>
      <c r="S5" s="25">
        <v>1</v>
      </c>
      <c r="T5" s="25">
        <v>1</v>
      </c>
      <c r="U5" s="27">
        <f>_xlfn.LET(_xlpm.maxVal,_xlfn.MAXIFS($K:$K,$A:$A,A5),IF(AND(_xlpm.maxVal=K5,L5&lt;&gt;0),_xlpm.maxVal,""))</f>
        <v>0.032</v>
      </c>
      <c r="V5" s="27">
        <f>_xlfn.LET(_xlpm.maxVal,_xlfn.MAXIFS($K:$K,$A:$A,A5),IF(AND(_xlpm.maxVal=K5,M5&lt;&gt;0),_xlpm.maxVal,""))</f>
        <v>0.032</v>
      </c>
      <c r="W5" s="27">
        <f>_xlfn.LET(_xlpm.maxVal,_xlfn.MAXIFS($K:$K,$A:$A,A5),IF(AND(_xlpm.maxVal=K5,N5&lt;&gt;0),_xlpm.maxVal,""))</f>
        <v>0.032</v>
      </c>
      <c r="X5" s="27">
        <f>_xlfn.LET(_xlpm.maxVal,_xlfn.MAXIFS($K:$K,$A:$A,A5),IF(AND(_xlpm.maxVal=K5,O5&lt;&gt;0),_xlpm.maxVal,""))</f>
        <v>0.032</v>
      </c>
      <c r="Y5" s="27">
        <f>_xlfn.LET(_xlpm.maxVal,_xlfn.MAXIFS($K:$K,$A:$A,A5),IF(AND(_xlpm.maxVal=K5,P5&lt;&gt;0),_xlpm.maxVal,""))</f>
        <v>0.032</v>
      </c>
      <c r="Z5" s="27">
        <f>_xlfn.LET(_xlpm.maxVal,_xlfn.MAXIFS($K:$K,$A:$A,A5),IF(AND(_xlpm.maxVal=K5,Q5&lt;&gt;0),_xlpm.maxVal,""))</f>
        <v>0.032</v>
      </c>
      <c r="AA5" s="27">
        <f>_xlfn.LET(_xlpm.maxVal,_xlfn.MAXIFS($K:$K,$A:$A,A5),IF(AND(_xlpm.maxVal=K5,R5&lt;&gt;0),_xlpm.maxVal,""))</f>
        <v>0.032</v>
      </c>
      <c r="AB5" s="27">
        <f>_xlfn.LET(_xlpm.maxVal,_xlfn.MAXIFS($K:$K,$A:$A,A5),IF(AND(_xlpm.maxVal=K5,S5&lt;&gt;0),_xlpm.maxVal,""))</f>
        <v>0.032</v>
      </c>
      <c r="AC5" s="27">
        <f>_xlfn.LET(_xlpm.maxVal,_xlfn.MAXIFS($K:$K,$A:$A,A5),IF(AND(_xlpm.maxVal=K5,T5&lt;&gt;0),_xlpm.maxVal,""))</f>
        <v>0.032</v>
      </c>
      <c r="AD5" s="27">
        <f>$K5*L5*负载统计!$K$3/60</f>
        <v>0</v>
      </c>
      <c r="AE5" s="27">
        <f>$K5*L5*负载统计!$K$4/60</f>
        <v>0</v>
      </c>
      <c r="AF5" s="27">
        <f>$K5*N5*负载统计!$K$5/60</f>
        <v>0.000533333333333333</v>
      </c>
      <c r="AG5" s="27">
        <f>$K5*O5*负载统计!$K$6/60</f>
        <v>0.0016</v>
      </c>
      <c r="AH5" s="27">
        <f>$K5*P5*负载统计!$K$7/60</f>
        <v>0.00361066666666667</v>
      </c>
      <c r="AI5" s="27">
        <f>$K5*Q5*负载统计!$K$8/60</f>
        <v>0.0232533333333333</v>
      </c>
      <c r="AJ5" s="27">
        <f>$K5*R5*负载统计!$K$9/60</f>
        <v>0.00738666666666667</v>
      </c>
      <c r="AK5" s="27">
        <f>$K5*S5*负载统计!$K$10/60</f>
        <v>0.000266666666666667</v>
      </c>
      <c r="AL5" s="27">
        <f>$K5*T5*负载统计!$K$11/60</f>
        <v>0.00213333333333333</v>
      </c>
    </row>
    <row r="6" spans="1:38">
      <c r="A6" s="24">
        <v>2</v>
      </c>
      <c r="B6" s="25" t="s">
        <v>1297</v>
      </c>
      <c r="C6" s="25" t="s">
        <v>1291</v>
      </c>
      <c r="D6" s="25" t="s">
        <v>1298</v>
      </c>
      <c r="E6" s="25" t="s">
        <v>68</v>
      </c>
      <c r="F6" s="25" t="s">
        <v>69</v>
      </c>
      <c r="G6" s="25">
        <f>VLOOKUP(A6,负载电气特性!A:G,7,FALSE)</f>
        <v>28</v>
      </c>
      <c r="H6" s="26" t="s">
        <v>66</v>
      </c>
      <c r="I6" s="25" t="s">
        <v>1706</v>
      </c>
      <c r="J6" s="24" t="s">
        <v>1708</v>
      </c>
      <c r="K6" s="25">
        <v>0</v>
      </c>
      <c r="L6" s="25">
        <v>0</v>
      </c>
      <c r="M6" s="25">
        <v>0</v>
      </c>
      <c r="N6" s="25">
        <v>0</v>
      </c>
      <c r="O6" s="25">
        <v>0</v>
      </c>
      <c r="P6" s="25">
        <v>0</v>
      </c>
      <c r="Q6" s="25">
        <v>0</v>
      </c>
      <c r="R6" s="25">
        <v>0</v>
      </c>
      <c r="S6" s="25">
        <v>0</v>
      </c>
      <c r="T6" s="25">
        <v>0</v>
      </c>
      <c r="U6" s="27" t="str">
        <f>_xlfn.LET(_xlpm.maxVal,_xlfn.MAXIFS($K:$K,$A:$A,A6),IF(AND(_xlpm.maxVal=K6,L6&lt;&gt;0),_xlpm.maxVal,""))</f>
        <v/>
      </c>
      <c r="V6" s="27" t="str">
        <f>_xlfn.LET(_xlpm.maxVal,_xlfn.MAXIFS($K:$K,$A:$A,A6),IF(AND(_xlpm.maxVal=K6,M6&lt;&gt;0),_xlpm.maxVal,""))</f>
        <v/>
      </c>
      <c r="W6" s="27" t="str">
        <f>_xlfn.LET(_xlpm.maxVal,_xlfn.MAXIFS($K:$K,$A:$A,A6),IF(AND(_xlpm.maxVal=K6,N6&lt;&gt;0),_xlpm.maxVal,""))</f>
        <v/>
      </c>
      <c r="X6" s="27" t="str">
        <f>_xlfn.LET(_xlpm.maxVal,_xlfn.MAXIFS($K:$K,$A:$A,A6),IF(AND(_xlpm.maxVal=K6,O6&lt;&gt;0),_xlpm.maxVal,""))</f>
        <v/>
      </c>
      <c r="Y6" s="27" t="str">
        <f>_xlfn.LET(_xlpm.maxVal,_xlfn.MAXIFS($K:$K,$A:$A,A6),IF(AND(_xlpm.maxVal=K6,P6&lt;&gt;0),_xlpm.maxVal,""))</f>
        <v/>
      </c>
      <c r="Z6" s="27" t="str">
        <f>_xlfn.LET(_xlpm.maxVal,_xlfn.MAXIFS($K:$K,$A:$A,A6),IF(AND(_xlpm.maxVal=K6,Q6&lt;&gt;0),_xlpm.maxVal,""))</f>
        <v/>
      </c>
      <c r="AA6" s="27" t="str">
        <f>_xlfn.LET(_xlpm.maxVal,_xlfn.MAXIFS($K:$K,$A:$A,A6),IF(AND(_xlpm.maxVal=K6,R6&lt;&gt;0),_xlpm.maxVal,""))</f>
        <v/>
      </c>
      <c r="AB6" s="27" t="str">
        <f>_xlfn.LET(_xlpm.maxVal,_xlfn.MAXIFS($K:$K,$A:$A,A6),IF(AND(_xlpm.maxVal=K6,S6&lt;&gt;0),_xlpm.maxVal,""))</f>
        <v/>
      </c>
      <c r="AC6" s="27" t="str">
        <f>_xlfn.LET(_xlpm.maxVal,_xlfn.MAXIFS($K:$K,$A:$A,A6),IF(AND(_xlpm.maxVal=K6,T6&lt;&gt;0),_xlpm.maxVal,""))</f>
        <v/>
      </c>
      <c r="AD6" s="27">
        <f>$K6*L6*负载统计!$K$3/60</f>
        <v>0</v>
      </c>
      <c r="AE6" s="27">
        <f>$K6*L6*负载统计!$K$4/60</f>
        <v>0</v>
      </c>
      <c r="AF6" s="27">
        <f>$K6*N6*负载统计!$K$5/60</f>
        <v>0</v>
      </c>
      <c r="AG6" s="27">
        <f>$K6*O6*负载统计!$K$6/60</f>
        <v>0</v>
      </c>
      <c r="AH6" s="27">
        <f>$K6*P6*负载统计!$K$7/60</f>
        <v>0</v>
      </c>
      <c r="AI6" s="27">
        <f>$K6*Q6*负载统计!$K$8/60</f>
        <v>0</v>
      </c>
      <c r="AJ6" s="27">
        <f>$K6*R6*负载统计!$K$9/60</f>
        <v>0</v>
      </c>
      <c r="AK6" s="27">
        <f>$K6*S6*负载统计!$K$10/60</f>
        <v>0</v>
      </c>
      <c r="AL6" s="27">
        <f>$K6*T6*负载统计!$K$11/60</f>
        <v>0</v>
      </c>
    </row>
    <row r="7" spans="1:38">
      <c r="A7" s="24">
        <v>3</v>
      </c>
      <c r="B7" s="25" t="s">
        <v>1300</v>
      </c>
      <c r="C7" s="25" t="s">
        <v>1291</v>
      </c>
      <c r="D7" s="25" t="s">
        <v>1301</v>
      </c>
      <c r="E7" s="25" t="s">
        <v>68</v>
      </c>
      <c r="F7" s="25" t="s">
        <v>72</v>
      </c>
      <c r="G7" s="25">
        <f>VLOOKUP(A7,负载电气特性!A:G,7,FALSE)</f>
        <v>28</v>
      </c>
      <c r="H7" s="26" t="s">
        <v>66</v>
      </c>
      <c r="I7" s="25" t="s">
        <v>1706</v>
      </c>
      <c r="J7" s="24" t="s">
        <v>1707</v>
      </c>
      <c r="K7" s="25">
        <v>0.032</v>
      </c>
      <c r="L7" s="25">
        <v>1</v>
      </c>
      <c r="M7" s="25">
        <v>1</v>
      </c>
      <c r="N7" s="25">
        <v>1</v>
      </c>
      <c r="O7" s="25">
        <v>1</v>
      </c>
      <c r="P7" s="25">
        <v>1</v>
      </c>
      <c r="Q7" s="25">
        <v>1</v>
      </c>
      <c r="R7" s="25">
        <v>1</v>
      </c>
      <c r="S7" s="25">
        <v>1</v>
      </c>
      <c r="T7" s="25">
        <v>1</v>
      </c>
      <c r="U7" s="27">
        <f>_xlfn.LET(_xlpm.maxVal,_xlfn.MAXIFS($K:$K,$A:$A,A7),IF(AND(_xlpm.maxVal=K7,L7&lt;&gt;0),_xlpm.maxVal,""))</f>
        <v>0.032</v>
      </c>
      <c r="V7" s="27">
        <f>_xlfn.LET(_xlpm.maxVal,_xlfn.MAXIFS($K:$K,$A:$A,A7),IF(AND(_xlpm.maxVal=K7,M7&lt;&gt;0),_xlpm.maxVal,""))</f>
        <v>0.032</v>
      </c>
      <c r="W7" s="27">
        <f>_xlfn.LET(_xlpm.maxVal,_xlfn.MAXIFS($K:$K,$A:$A,A7),IF(AND(_xlpm.maxVal=K7,N7&lt;&gt;0),_xlpm.maxVal,""))</f>
        <v>0.032</v>
      </c>
      <c r="X7" s="27">
        <f>_xlfn.LET(_xlpm.maxVal,_xlfn.MAXIFS($K:$K,$A:$A,A7),IF(AND(_xlpm.maxVal=K7,O7&lt;&gt;0),_xlpm.maxVal,""))</f>
        <v>0.032</v>
      </c>
      <c r="Y7" s="27">
        <f>_xlfn.LET(_xlpm.maxVal,_xlfn.MAXIFS($K:$K,$A:$A,A7),IF(AND(_xlpm.maxVal=K7,P7&lt;&gt;0),_xlpm.maxVal,""))</f>
        <v>0.032</v>
      </c>
      <c r="Z7" s="27">
        <f>_xlfn.LET(_xlpm.maxVal,_xlfn.MAXIFS($K:$K,$A:$A,A7),IF(AND(_xlpm.maxVal=K7,Q7&lt;&gt;0),_xlpm.maxVal,""))</f>
        <v>0.032</v>
      </c>
      <c r="AA7" s="27">
        <f>_xlfn.LET(_xlpm.maxVal,_xlfn.MAXIFS($K:$K,$A:$A,A7),IF(AND(_xlpm.maxVal=K7,R7&lt;&gt;0),_xlpm.maxVal,""))</f>
        <v>0.032</v>
      </c>
      <c r="AB7" s="27">
        <f>_xlfn.LET(_xlpm.maxVal,_xlfn.MAXIFS($K:$K,$A:$A,A7),IF(AND(_xlpm.maxVal=K7,S7&lt;&gt;0),_xlpm.maxVal,""))</f>
        <v>0.032</v>
      </c>
      <c r="AC7" s="27">
        <f>_xlfn.LET(_xlpm.maxVal,_xlfn.MAXIFS($K:$K,$A:$A,A7),IF(AND(_xlpm.maxVal=K7,T7&lt;&gt;0),_xlpm.maxVal,""))</f>
        <v>0.032</v>
      </c>
      <c r="AD7" s="27">
        <f>$K7*L7*负载统计!$K$3/60</f>
        <v>0</v>
      </c>
      <c r="AE7" s="27">
        <f>$K7*L7*负载统计!$K$4/60</f>
        <v>0</v>
      </c>
      <c r="AF7" s="27">
        <f>$K7*N7*负载统计!$K$5/60</f>
        <v>0.000533333333333333</v>
      </c>
      <c r="AG7" s="27">
        <f>$K7*O7*负载统计!$K$6/60</f>
        <v>0.0016</v>
      </c>
      <c r="AH7" s="27">
        <f>$K7*P7*负载统计!$K$7/60</f>
        <v>0.00361066666666667</v>
      </c>
      <c r="AI7" s="27">
        <f>$K7*Q7*负载统计!$K$8/60</f>
        <v>0.0232533333333333</v>
      </c>
      <c r="AJ7" s="27">
        <f>$K7*R7*负载统计!$K$9/60</f>
        <v>0.00738666666666667</v>
      </c>
      <c r="AK7" s="27">
        <f>$K7*S7*负载统计!$K$10/60</f>
        <v>0.000266666666666667</v>
      </c>
      <c r="AL7" s="27">
        <f>$K7*T7*负载统计!$K$11/60</f>
        <v>0.00213333333333333</v>
      </c>
    </row>
    <row r="8" spans="1:38">
      <c r="A8" s="24">
        <v>3</v>
      </c>
      <c r="B8" s="25" t="s">
        <v>1300</v>
      </c>
      <c r="C8" s="25" t="s">
        <v>1291</v>
      </c>
      <c r="D8" s="25" t="s">
        <v>1301</v>
      </c>
      <c r="E8" s="25" t="s">
        <v>68</v>
      </c>
      <c r="F8" s="25" t="s">
        <v>72</v>
      </c>
      <c r="G8" s="25">
        <f>VLOOKUP(A8,负载电气特性!A:G,7,FALSE)</f>
        <v>28</v>
      </c>
      <c r="H8" s="26" t="s">
        <v>66</v>
      </c>
      <c r="I8" s="25" t="s">
        <v>1706</v>
      </c>
      <c r="J8" s="24" t="s">
        <v>1708</v>
      </c>
      <c r="K8" s="25">
        <v>0</v>
      </c>
      <c r="L8" s="25">
        <v>0</v>
      </c>
      <c r="M8" s="25">
        <v>0</v>
      </c>
      <c r="N8" s="25">
        <v>0</v>
      </c>
      <c r="O8" s="25">
        <v>0</v>
      </c>
      <c r="P8" s="25">
        <v>0</v>
      </c>
      <c r="Q8" s="25">
        <v>0</v>
      </c>
      <c r="R8" s="25">
        <v>0</v>
      </c>
      <c r="S8" s="25">
        <v>0</v>
      </c>
      <c r="T8" s="25">
        <v>0</v>
      </c>
      <c r="U8" s="27" t="str">
        <f>_xlfn.LET(_xlpm.maxVal,_xlfn.MAXIFS($K:$K,$A:$A,A8),IF(AND(_xlpm.maxVal=K8,L8&lt;&gt;0),_xlpm.maxVal,""))</f>
        <v/>
      </c>
      <c r="V8" s="27" t="str">
        <f>_xlfn.LET(_xlpm.maxVal,_xlfn.MAXIFS($K:$K,$A:$A,A8),IF(AND(_xlpm.maxVal=K8,M8&lt;&gt;0),_xlpm.maxVal,""))</f>
        <v/>
      </c>
      <c r="W8" s="27" t="str">
        <f>_xlfn.LET(_xlpm.maxVal,_xlfn.MAXIFS($K:$K,$A:$A,A8),IF(AND(_xlpm.maxVal=K8,N8&lt;&gt;0),_xlpm.maxVal,""))</f>
        <v/>
      </c>
      <c r="X8" s="27" t="str">
        <f>_xlfn.LET(_xlpm.maxVal,_xlfn.MAXIFS($K:$K,$A:$A,A8),IF(AND(_xlpm.maxVal=K8,O8&lt;&gt;0),_xlpm.maxVal,""))</f>
        <v/>
      </c>
      <c r="Y8" s="27" t="str">
        <f>_xlfn.LET(_xlpm.maxVal,_xlfn.MAXIFS($K:$K,$A:$A,A8),IF(AND(_xlpm.maxVal=K8,P8&lt;&gt;0),_xlpm.maxVal,""))</f>
        <v/>
      </c>
      <c r="Z8" s="27" t="str">
        <f>_xlfn.LET(_xlpm.maxVal,_xlfn.MAXIFS($K:$K,$A:$A,A8),IF(AND(_xlpm.maxVal=K8,Q8&lt;&gt;0),_xlpm.maxVal,""))</f>
        <v/>
      </c>
      <c r="AA8" s="27" t="str">
        <f>_xlfn.LET(_xlpm.maxVal,_xlfn.MAXIFS($K:$K,$A:$A,A8),IF(AND(_xlpm.maxVal=K8,R8&lt;&gt;0),_xlpm.maxVal,""))</f>
        <v/>
      </c>
      <c r="AB8" s="27" t="str">
        <f>_xlfn.LET(_xlpm.maxVal,_xlfn.MAXIFS($K:$K,$A:$A,A8),IF(AND(_xlpm.maxVal=K8,S8&lt;&gt;0),_xlpm.maxVal,""))</f>
        <v/>
      </c>
      <c r="AC8" s="27" t="str">
        <f>_xlfn.LET(_xlpm.maxVal,_xlfn.MAXIFS($K:$K,$A:$A,A8),IF(AND(_xlpm.maxVal=K8,T8&lt;&gt;0),_xlpm.maxVal,""))</f>
        <v/>
      </c>
      <c r="AD8" s="27">
        <f>$K8*L8*负载统计!$K$3/60</f>
        <v>0</v>
      </c>
      <c r="AE8" s="27">
        <f>$K8*L8*负载统计!$K$4/60</f>
        <v>0</v>
      </c>
      <c r="AF8" s="27">
        <f>$K8*N8*负载统计!$K$5/60</f>
        <v>0</v>
      </c>
      <c r="AG8" s="27">
        <f>$K8*O8*负载统计!$K$6/60</f>
        <v>0</v>
      </c>
      <c r="AH8" s="27">
        <f>$K8*P8*负载统计!$K$7/60</f>
        <v>0</v>
      </c>
      <c r="AI8" s="27">
        <f>$K8*Q8*负载统计!$K$8/60</f>
        <v>0</v>
      </c>
      <c r="AJ8" s="27">
        <f>$K8*R8*负载统计!$K$9/60</f>
        <v>0</v>
      </c>
      <c r="AK8" s="27">
        <f>$K8*S8*负载统计!$K$10/60</f>
        <v>0</v>
      </c>
      <c r="AL8" s="27">
        <f>$K8*T8*负载统计!$K$11/60</f>
        <v>0</v>
      </c>
    </row>
    <row r="9" spans="1:38">
      <c r="A9" s="24">
        <v>4</v>
      </c>
      <c r="B9" s="25" t="s">
        <v>1302</v>
      </c>
      <c r="C9" s="25" t="s">
        <v>1291</v>
      </c>
      <c r="D9" s="25" t="s">
        <v>141</v>
      </c>
      <c r="E9" s="25" t="s">
        <v>142</v>
      </c>
      <c r="F9" s="25" t="s">
        <v>143</v>
      </c>
      <c r="G9" s="25">
        <f>VLOOKUP(A9,负载电气特性!A:G,7,FALSE)</f>
        <v>28</v>
      </c>
      <c r="H9" s="26" t="s">
        <v>66</v>
      </c>
      <c r="I9" s="25" t="s">
        <v>1706</v>
      </c>
      <c r="J9" s="24" t="s">
        <v>1707</v>
      </c>
      <c r="K9" s="25">
        <v>0.36</v>
      </c>
      <c r="L9" s="25">
        <v>1</v>
      </c>
      <c r="M9" s="25">
        <v>1</v>
      </c>
      <c r="N9" s="25">
        <v>1</v>
      </c>
      <c r="O9" s="25">
        <v>1</v>
      </c>
      <c r="P9" s="25">
        <v>1</v>
      </c>
      <c r="Q9" s="25">
        <v>1</v>
      </c>
      <c r="R9" s="25">
        <v>1</v>
      </c>
      <c r="S9" s="25">
        <v>1</v>
      </c>
      <c r="T9" s="25">
        <v>1</v>
      </c>
      <c r="U9" s="27">
        <f>_xlfn.LET(_xlpm.maxVal,_xlfn.MAXIFS($K:$K,$A:$A,A9),IF(AND(_xlpm.maxVal=K9,L9&lt;&gt;0),_xlpm.maxVal,""))</f>
        <v>0.36</v>
      </c>
      <c r="V9" s="27">
        <f>_xlfn.LET(_xlpm.maxVal,_xlfn.MAXIFS($K:$K,$A:$A,A9),IF(AND(_xlpm.maxVal=K9,M9&lt;&gt;0),_xlpm.maxVal,""))</f>
        <v>0.36</v>
      </c>
      <c r="W9" s="27">
        <f>_xlfn.LET(_xlpm.maxVal,_xlfn.MAXIFS($K:$K,$A:$A,A9),IF(AND(_xlpm.maxVal=K9,N9&lt;&gt;0),_xlpm.maxVal,""))</f>
        <v>0.36</v>
      </c>
      <c r="X9" s="27">
        <f>_xlfn.LET(_xlpm.maxVal,_xlfn.MAXIFS($K:$K,$A:$A,A9),IF(AND(_xlpm.maxVal=K9,O9&lt;&gt;0),_xlpm.maxVal,""))</f>
        <v>0.36</v>
      </c>
      <c r="Y9" s="27">
        <f>_xlfn.LET(_xlpm.maxVal,_xlfn.MAXIFS($K:$K,$A:$A,A9),IF(AND(_xlpm.maxVal=K9,P9&lt;&gt;0),_xlpm.maxVal,""))</f>
        <v>0.36</v>
      </c>
      <c r="Z9" s="27">
        <f>_xlfn.LET(_xlpm.maxVal,_xlfn.MAXIFS($K:$K,$A:$A,A9),IF(AND(_xlpm.maxVal=K9,Q9&lt;&gt;0),_xlpm.maxVal,""))</f>
        <v>0.36</v>
      </c>
      <c r="AA9" s="27">
        <f>_xlfn.LET(_xlpm.maxVal,_xlfn.MAXIFS($K:$K,$A:$A,A9),IF(AND(_xlpm.maxVal=K9,R9&lt;&gt;0),_xlpm.maxVal,""))</f>
        <v>0.36</v>
      </c>
      <c r="AB9" s="27">
        <f>_xlfn.LET(_xlpm.maxVal,_xlfn.MAXIFS($K:$K,$A:$A,A9),IF(AND(_xlpm.maxVal=K9,S9&lt;&gt;0),_xlpm.maxVal,""))</f>
        <v>0.36</v>
      </c>
      <c r="AC9" s="27">
        <f>_xlfn.LET(_xlpm.maxVal,_xlfn.MAXIFS($K:$K,$A:$A,A9),IF(AND(_xlpm.maxVal=K9,T9&lt;&gt;0),_xlpm.maxVal,""))</f>
        <v>0.36</v>
      </c>
      <c r="AD9" s="27">
        <f>$K9*L9*负载统计!$K$3/60</f>
        <v>0</v>
      </c>
      <c r="AE9" s="27">
        <f>$K9*L9*负载统计!$K$4/60</f>
        <v>0</v>
      </c>
      <c r="AF9" s="27">
        <f>$K9*N9*负载统计!$K$5/60</f>
        <v>0.006</v>
      </c>
      <c r="AG9" s="27">
        <f>$K9*O9*负载统计!$K$6/60</f>
        <v>0.018</v>
      </c>
      <c r="AH9" s="27">
        <f>$K9*P9*负载统计!$K$7/60</f>
        <v>0.04062</v>
      </c>
      <c r="AI9" s="27">
        <f>$K9*Q9*负载统计!$K$8/60</f>
        <v>0.2616</v>
      </c>
      <c r="AJ9" s="27">
        <f>$K9*R9*负载统计!$K$9/60</f>
        <v>0.0831</v>
      </c>
      <c r="AK9" s="27">
        <f>$K9*S9*负载统计!$K$10/60</f>
        <v>0.003</v>
      </c>
      <c r="AL9" s="27">
        <f>$K9*T9*负载统计!$K$11/60</f>
        <v>0.024</v>
      </c>
    </row>
    <row r="10" spans="1:38">
      <c r="A10" s="24">
        <v>4</v>
      </c>
      <c r="B10" s="25" t="s">
        <v>1302</v>
      </c>
      <c r="C10" s="25" t="s">
        <v>1291</v>
      </c>
      <c r="D10" s="25" t="s">
        <v>141</v>
      </c>
      <c r="E10" s="25" t="s">
        <v>142</v>
      </c>
      <c r="F10" s="25" t="s">
        <v>143</v>
      </c>
      <c r="G10" s="25">
        <f>VLOOKUP(A10,负载电气特性!A:G,7,FALSE)</f>
        <v>28</v>
      </c>
      <c r="H10" s="26" t="s">
        <v>66</v>
      </c>
      <c r="I10" s="25" t="s">
        <v>1706</v>
      </c>
      <c r="J10" s="24" t="s">
        <v>1708</v>
      </c>
      <c r="K10" s="25">
        <v>0</v>
      </c>
      <c r="L10" s="25">
        <v>0</v>
      </c>
      <c r="M10" s="25">
        <v>0</v>
      </c>
      <c r="N10" s="25">
        <v>0</v>
      </c>
      <c r="O10" s="25">
        <v>0</v>
      </c>
      <c r="P10" s="25">
        <v>0</v>
      </c>
      <c r="Q10" s="25">
        <v>0</v>
      </c>
      <c r="R10" s="25">
        <v>0</v>
      </c>
      <c r="S10" s="25">
        <v>0</v>
      </c>
      <c r="T10" s="25">
        <v>0</v>
      </c>
      <c r="U10" s="27" t="str">
        <f>_xlfn.LET(_xlpm.maxVal,_xlfn.MAXIFS($K:$K,$A:$A,A10),IF(AND(_xlpm.maxVal=K10,L10&lt;&gt;0),_xlpm.maxVal,""))</f>
        <v/>
      </c>
      <c r="V10" s="27" t="str">
        <f>_xlfn.LET(_xlpm.maxVal,_xlfn.MAXIFS($K:$K,$A:$A,A10),IF(AND(_xlpm.maxVal=K10,M10&lt;&gt;0),_xlpm.maxVal,""))</f>
        <v/>
      </c>
      <c r="W10" s="27" t="str">
        <f>_xlfn.LET(_xlpm.maxVal,_xlfn.MAXIFS($K:$K,$A:$A,A10),IF(AND(_xlpm.maxVal=K10,N10&lt;&gt;0),_xlpm.maxVal,""))</f>
        <v/>
      </c>
      <c r="X10" s="27" t="str">
        <f>_xlfn.LET(_xlpm.maxVal,_xlfn.MAXIFS($K:$K,$A:$A,A10),IF(AND(_xlpm.maxVal=K10,O10&lt;&gt;0),_xlpm.maxVal,""))</f>
        <v/>
      </c>
      <c r="Y10" s="27" t="str">
        <f>_xlfn.LET(_xlpm.maxVal,_xlfn.MAXIFS($K:$K,$A:$A,A10),IF(AND(_xlpm.maxVal=K10,P10&lt;&gt;0),_xlpm.maxVal,""))</f>
        <v/>
      </c>
      <c r="Z10" s="27" t="str">
        <f>_xlfn.LET(_xlpm.maxVal,_xlfn.MAXIFS($K:$K,$A:$A,A10),IF(AND(_xlpm.maxVal=K10,Q10&lt;&gt;0),_xlpm.maxVal,""))</f>
        <v/>
      </c>
      <c r="AA10" s="27" t="str">
        <f>_xlfn.LET(_xlpm.maxVal,_xlfn.MAXIFS($K:$K,$A:$A,A10),IF(AND(_xlpm.maxVal=K10,R10&lt;&gt;0),_xlpm.maxVal,""))</f>
        <v/>
      </c>
      <c r="AB10" s="27" t="str">
        <f>_xlfn.LET(_xlpm.maxVal,_xlfn.MAXIFS($K:$K,$A:$A,A10),IF(AND(_xlpm.maxVal=K10,S10&lt;&gt;0),_xlpm.maxVal,""))</f>
        <v/>
      </c>
      <c r="AC10" s="27" t="str">
        <f>_xlfn.LET(_xlpm.maxVal,_xlfn.MAXIFS($K:$K,$A:$A,A10),IF(AND(_xlpm.maxVal=K10,T10&lt;&gt;0),_xlpm.maxVal,""))</f>
        <v/>
      </c>
      <c r="AD10" s="27">
        <f>$K10*L10*负载统计!$K$3/60</f>
        <v>0</v>
      </c>
      <c r="AE10" s="27">
        <f>$K10*L10*负载统计!$K$4/60</f>
        <v>0</v>
      </c>
      <c r="AF10" s="27">
        <f>$K10*N10*负载统计!$K$5/60</f>
        <v>0</v>
      </c>
      <c r="AG10" s="27">
        <f>$K10*O10*负载统计!$K$6/60</f>
        <v>0</v>
      </c>
      <c r="AH10" s="27">
        <f>$K10*P10*负载统计!$K$7/60</f>
        <v>0</v>
      </c>
      <c r="AI10" s="27">
        <f>$K10*Q10*负载统计!$K$8/60</f>
        <v>0</v>
      </c>
      <c r="AJ10" s="27">
        <f>$K10*R10*负载统计!$K$9/60</f>
        <v>0</v>
      </c>
      <c r="AK10" s="27">
        <f>$K10*S10*负载统计!$K$10/60</f>
        <v>0</v>
      </c>
      <c r="AL10" s="27">
        <f>$K10*T10*负载统计!$K$11/60</f>
        <v>0</v>
      </c>
    </row>
    <row r="11" spans="1:38">
      <c r="A11" s="24">
        <v>5</v>
      </c>
      <c r="B11" s="25" t="s">
        <v>1303</v>
      </c>
      <c r="C11" s="25" t="s">
        <v>1304</v>
      </c>
      <c r="D11" s="25" t="s">
        <v>1305</v>
      </c>
      <c r="E11" s="25" t="s">
        <v>147</v>
      </c>
      <c r="F11" s="25" t="s">
        <v>148</v>
      </c>
      <c r="G11" s="25">
        <f>VLOOKUP(A11,负载电气特性!A:G,7,FALSE)</f>
        <v>28</v>
      </c>
      <c r="H11" s="26" t="s">
        <v>66</v>
      </c>
      <c r="I11" s="25" t="s">
        <v>1706</v>
      </c>
      <c r="J11" s="24" t="s">
        <v>1707</v>
      </c>
      <c r="K11" s="25">
        <v>0.1</v>
      </c>
      <c r="L11" s="25">
        <v>1</v>
      </c>
      <c r="M11" s="25">
        <v>1</v>
      </c>
      <c r="N11" s="25">
        <v>1</v>
      </c>
      <c r="O11" s="25">
        <v>1</v>
      </c>
      <c r="P11" s="25">
        <v>1</v>
      </c>
      <c r="Q11" s="25">
        <v>1</v>
      </c>
      <c r="R11" s="25">
        <v>1</v>
      </c>
      <c r="S11" s="25">
        <v>1</v>
      </c>
      <c r="T11" s="25">
        <v>1</v>
      </c>
      <c r="U11" s="27">
        <f>_xlfn.LET(_xlpm.maxVal,_xlfn.MAXIFS($K:$K,$A:$A,A11),IF(AND(_xlpm.maxVal=K11,L11&lt;&gt;0),_xlpm.maxVal,""))</f>
        <v>0.1</v>
      </c>
      <c r="V11" s="27">
        <f>_xlfn.LET(_xlpm.maxVal,_xlfn.MAXIFS($K:$K,$A:$A,A11),IF(AND(_xlpm.maxVal=K11,M11&lt;&gt;0),_xlpm.maxVal,""))</f>
        <v>0.1</v>
      </c>
      <c r="W11" s="27">
        <f>_xlfn.LET(_xlpm.maxVal,_xlfn.MAXIFS($K:$K,$A:$A,A11),IF(AND(_xlpm.maxVal=K11,N11&lt;&gt;0),_xlpm.maxVal,""))</f>
        <v>0.1</v>
      </c>
      <c r="X11" s="27">
        <f>_xlfn.LET(_xlpm.maxVal,_xlfn.MAXIFS($K:$K,$A:$A,A11),IF(AND(_xlpm.maxVal=K11,O11&lt;&gt;0),_xlpm.maxVal,""))</f>
        <v>0.1</v>
      </c>
      <c r="Y11" s="27">
        <f>_xlfn.LET(_xlpm.maxVal,_xlfn.MAXIFS($K:$K,$A:$A,A11),IF(AND(_xlpm.maxVal=K11,P11&lt;&gt;0),_xlpm.maxVal,""))</f>
        <v>0.1</v>
      </c>
      <c r="Z11" s="27">
        <f>_xlfn.LET(_xlpm.maxVal,_xlfn.MAXIFS($K:$K,$A:$A,A11),IF(AND(_xlpm.maxVal=K11,Q11&lt;&gt;0),_xlpm.maxVal,""))</f>
        <v>0.1</v>
      </c>
      <c r="AA11" s="27">
        <f>_xlfn.LET(_xlpm.maxVal,_xlfn.MAXIFS($K:$K,$A:$A,A11),IF(AND(_xlpm.maxVal=K11,R11&lt;&gt;0),_xlpm.maxVal,""))</f>
        <v>0.1</v>
      </c>
      <c r="AB11" s="27">
        <f>_xlfn.LET(_xlpm.maxVal,_xlfn.MAXIFS($K:$K,$A:$A,A11),IF(AND(_xlpm.maxVal=K11,S11&lt;&gt;0),_xlpm.maxVal,""))</f>
        <v>0.1</v>
      </c>
      <c r="AC11" s="27">
        <f>_xlfn.LET(_xlpm.maxVal,_xlfn.MAXIFS($K:$K,$A:$A,A11),IF(AND(_xlpm.maxVal=K11,T11&lt;&gt;0),_xlpm.maxVal,""))</f>
        <v>0.1</v>
      </c>
      <c r="AD11" s="27">
        <f>$K11*L11*负载统计!$K$3/60</f>
        <v>0</v>
      </c>
      <c r="AE11" s="27">
        <f>$K11*L11*负载统计!$K$4/60</f>
        <v>0</v>
      </c>
      <c r="AF11" s="27">
        <f>$K11*N11*负载统计!$K$5/60</f>
        <v>0.00166666666666667</v>
      </c>
      <c r="AG11" s="27">
        <f>$K11*O11*负载统计!$K$6/60</f>
        <v>0.005</v>
      </c>
      <c r="AH11" s="27">
        <f>$K11*P11*负载统计!$K$7/60</f>
        <v>0.0112833333333333</v>
      </c>
      <c r="AI11" s="27">
        <f>$K11*Q11*负载统计!$K$8/60</f>
        <v>0.0726666666666667</v>
      </c>
      <c r="AJ11" s="27">
        <f>$K11*R11*负载统计!$K$9/60</f>
        <v>0.0230833333333333</v>
      </c>
      <c r="AK11" s="27">
        <f>$K11*S11*负载统计!$K$10/60</f>
        <v>0.000833333333333333</v>
      </c>
      <c r="AL11" s="27">
        <f>$K11*T11*负载统计!$K$11/60</f>
        <v>0.00666666666666667</v>
      </c>
    </row>
    <row r="12" spans="1:38">
      <c r="A12" s="24">
        <v>5</v>
      </c>
      <c r="B12" s="25" t="s">
        <v>1303</v>
      </c>
      <c r="C12" s="25" t="s">
        <v>1304</v>
      </c>
      <c r="D12" s="25" t="s">
        <v>1305</v>
      </c>
      <c r="E12" s="25" t="s">
        <v>147</v>
      </c>
      <c r="F12" s="25" t="s">
        <v>148</v>
      </c>
      <c r="G12" s="25">
        <f>VLOOKUP(A12,负载电气特性!A:G,7,FALSE)</f>
        <v>28</v>
      </c>
      <c r="H12" s="26" t="s">
        <v>66</v>
      </c>
      <c r="I12" s="25" t="s">
        <v>1706</v>
      </c>
      <c r="J12" s="24" t="s">
        <v>1708</v>
      </c>
      <c r="K12" s="25">
        <v>0</v>
      </c>
      <c r="L12" s="25">
        <v>0</v>
      </c>
      <c r="M12" s="25">
        <v>0</v>
      </c>
      <c r="N12" s="25">
        <v>0</v>
      </c>
      <c r="O12" s="25">
        <v>0</v>
      </c>
      <c r="P12" s="25">
        <v>0</v>
      </c>
      <c r="Q12" s="25">
        <v>0</v>
      </c>
      <c r="R12" s="25">
        <v>0</v>
      </c>
      <c r="S12" s="25">
        <v>0</v>
      </c>
      <c r="T12" s="25">
        <v>0</v>
      </c>
      <c r="U12" s="27" t="str">
        <f>_xlfn.LET(_xlpm.maxVal,_xlfn.MAXIFS($K:$K,$A:$A,A12),IF(AND(_xlpm.maxVal=K12,L12&lt;&gt;0),_xlpm.maxVal,""))</f>
        <v/>
      </c>
      <c r="V12" s="27" t="str">
        <f>_xlfn.LET(_xlpm.maxVal,_xlfn.MAXIFS($K:$K,$A:$A,A12),IF(AND(_xlpm.maxVal=K12,M12&lt;&gt;0),_xlpm.maxVal,""))</f>
        <v/>
      </c>
      <c r="W12" s="27" t="str">
        <f>_xlfn.LET(_xlpm.maxVal,_xlfn.MAXIFS($K:$K,$A:$A,A12),IF(AND(_xlpm.maxVal=K12,N12&lt;&gt;0),_xlpm.maxVal,""))</f>
        <v/>
      </c>
      <c r="X12" s="27" t="str">
        <f>_xlfn.LET(_xlpm.maxVal,_xlfn.MAXIFS($K:$K,$A:$A,A12),IF(AND(_xlpm.maxVal=K12,O12&lt;&gt;0),_xlpm.maxVal,""))</f>
        <v/>
      </c>
      <c r="Y12" s="27" t="str">
        <f>_xlfn.LET(_xlpm.maxVal,_xlfn.MAXIFS($K:$K,$A:$A,A12),IF(AND(_xlpm.maxVal=K12,P12&lt;&gt;0),_xlpm.maxVal,""))</f>
        <v/>
      </c>
      <c r="Z12" s="27" t="str">
        <f>_xlfn.LET(_xlpm.maxVal,_xlfn.MAXIFS($K:$K,$A:$A,A12),IF(AND(_xlpm.maxVal=K12,Q12&lt;&gt;0),_xlpm.maxVal,""))</f>
        <v/>
      </c>
      <c r="AA12" s="27" t="str">
        <f>_xlfn.LET(_xlpm.maxVal,_xlfn.MAXIFS($K:$K,$A:$A,A12),IF(AND(_xlpm.maxVal=K12,R12&lt;&gt;0),_xlpm.maxVal,""))</f>
        <v/>
      </c>
      <c r="AB12" s="27" t="str">
        <f>_xlfn.LET(_xlpm.maxVal,_xlfn.MAXIFS($K:$K,$A:$A,A12),IF(AND(_xlpm.maxVal=K12,S12&lt;&gt;0),_xlpm.maxVal,""))</f>
        <v/>
      </c>
      <c r="AC12" s="27" t="str">
        <f>_xlfn.LET(_xlpm.maxVal,_xlfn.MAXIFS($K:$K,$A:$A,A12),IF(AND(_xlpm.maxVal=K12,T12&lt;&gt;0),_xlpm.maxVal,""))</f>
        <v/>
      </c>
      <c r="AD12" s="27">
        <f>$K12*L12*负载统计!$K$3/60</f>
        <v>0</v>
      </c>
      <c r="AE12" s="27">
        <f>$K12*L12*负载统计!$K$4/60</f>
        <v>0</v>
      </c>
      <c r="AF12" s="27">
        <f>$K12*N12*负载统计!$K$5/60</f>
        <v>0</v>
      </c>
      <c r="AG12" s="27">
        <f>$K12*O12*负载统计!$K$6/60</f>
        <v>0</v>
      </c>
      <c r="AH12" s="27">
        <f>$K12*P12*负载统计!$K$7/60</f>
        <v>0</v>
      </c>
      <c r="AI12" s="27">
        <f>$K12*Q12*负载统计!$K$8/60</f>
        <v>0</v>
      </c>
      <c r="AJ12" s="27">
        <f>$K12*R12*负载统计!$K$9/60</f>
        <v>0</v>
      </c>
      <c r="AK12" s="27">
        <f>$K12*S12*负载统计!$K$10/60</f>
        <v>0</v>
      </c>
      <c r="AL12" s="27">
        <f>$K12*T12*负载统计!$K$11/60</f>
        <v>0</v>
      </c>
    </row>
    <row r="13" spans="1:38">
      <c r="A13" s="24">
        <v>6</v>
      </c>
      <c r="B13" s="25" t="s">
        <v>1307</v>
      </c>
      <c r="C13" s="25" t="s">
        <v>1304</v>
      </c>
      <c r="D13" s="25" t="s">
        <v>1308</v>
      </c>
      <c r="E13" s="25" t="s">
        <v>151</v>
      </c>
      <c r="F13" s="25" t="s">
        <v>152</v>
      </c>
      <c r="G13" s="25">
        <f>VLOOKUP(A13,负载电气特性!A:G,7,FALSE)</f>
        <v>28</v>
      </c>
      <c r="H13" s="26" t="s">
        <v>66</v>
      </c>
      <c r="I13" s="25" t="s">
        <v>1706</v>
      </c>
      <c r="J13" s="24" t="s">
        <v>1707</v>
      </c>
      <c r="K13" s="25">
        <v>0.1</v>
      </c>
      <c r="L13" s="25">
        <v>1</v>
      </c>
      <c r="M13" s="25">
        <v>1</v>
      </c>
      <c r="N13" s="25">
        <v>1</v>
      </c>
      <c r="O13" s="25">
        <v>1</v>
      </c>
      <c r="P13" s="25">
        <v>1</v>
      </c>
      <c r="Q13" s="25">
        <v>1</v>
      </c>
      <c r="R13" s="25">
        <v>1</v>
      </c>
      <c r="S13" s="25">
        <v>1</v>
      </c>
      <c r="T13" s="25">
        <v>1</v>
      </c>
      <c r="U13" s="27">
        <f>_xlfn.LET(_xlpm.maxVal,_xlfn.MAXIFS($K:$K,$A:$A,A13),IF(AND(_xlpm.maxVal=K13,L13&lt;&gt;0),_xlpm.maxVal,""))</f>
        <v>0.1</v>
      </c>
      <c r="V13" s="27">
        <f>_xlfn.LET(_xlpm.maxVal,_xlfn.MAXIFS($K:$K,$A:$A,A13),IF(AND(_xlpm.maxVal=K13,M13&lt;&gt;0),_xlpm.maxVal,""))</f>
        <v>0.1</v>
      </c>
      <c r="W13" s="27">
        <f>_xlfn.LET(_xlpm.maxVal,_xlfn.MAXIFS($K:$K,$A:$A,A13),IF(AND(_xlpm.maxVal=K13,N13&lt;&gt;0),_xlpm.maxVal,""))</f>
        <v>0.1</v>
      </c>
      <c r="X13" s="27">
        <f>_xlfn.LET(_xlpm.maxVal,_xlfn.MAXIFS($K:$K,$A:$A,A13),IF(AND(_xlpm.maxVal=K13,O13&lt;&gt;0),_xlpm.maxVal,""))</f>
        <v>0.1</v>
      </c>
      <c r="Y13" s="27">
        <f>_xlfn.LET(_xlpm.maxVal,_xlfn.MAXIFS($K:$K,$A:$A,A13),IF(AND(_xlpm.maxVal=K13,P13&lt;&gt;0),_xlpm.maxVal,""))</f>
        <v>0.1</v>
      </c>
      <c r="Z13" s="27">
        <f>_xlfn.LET(_xlpm.maxVal,_xlfn.MAXIFS($K:$K,$A:$A,A13),IF(AND(_xlpm.maxVal=K13,Q13&lt;&gt;0),_xlpm.maxVal,""))</f>
        <v>0.1</v>
      </c>
      <c r="AA13" s="27">
        <f>_xlfn.LET(_xlpm.maxVal,_xlfn.MAXIFS($K:$K,$A:$A,A13),IF(AND(_xlpm.maxVal=K13,R13&lt;&gt;0),_xlpm.maxVal,""))</f>
        <v>0.1</v>
      </c>
      <c r="AB13" s="27">
        <f>_xlfn.LET(_xlpm.maxVal,_xlfn.MAXIFS($K:$K,$A:$A,A13),IF(AND(_xlpm.maxVal=K13,S13&lt;&gt;0),_xlpm.maxVal,""))</f>
        <v>0.1</v>
      </c>
      <c r="AC13" s="27">
        <f>_xlfn.LET(_xlpm.maxVal,_xlfn.MAXIFS($K:$K,$A:$A,A13),IF(AND(_xlpm.maxVal=K13,T13&lt;&gt;0),_xlpm.maxVal,""))</f>
        <v>0.1</v>
      </c>
      <c r="AD13" s="27">
        <f>$K13*L13*负载统计!$K$3/60</f>
        <v>0</v>
      </c>
      <c r="AE13" s="27">
        <f>$K13*L13*负载统计!$K$4/60</f>
        <v>0</v>
      </c>
      <c r="AF13" s="27">
        <f>$K13*N13*负载统计!$K$5/60</f>
        <v>0.00166666666666667</v>
      </c>
      <c r="AG13" s="27">
        <f>$K13*O13*负载统计!$K$6/60</f>
        <v>0.005</v>
      </c>
      <c r="AH13" s="27">
        <f>$K13*P13*负载统计!$K$7/60</f>
        <v>0.0112833333333333</v>
      </c>
      <c r="AI13" s="27">
        <f>$K13*Q13*负载统计!$K$8/60</f>
        <v>0.0726666666666667</v>
      </c>
      <c r="AJ13" s="27">
        <f>$K13*R13*负载统计!$K$9/60</f>
        <v>0.0230833333333333</v>
      </c>
      <c r="AK13" s="27">
        <f>$K13*S13*负载统计!$K$10/60</f>
        <v>0.000833333333333333</v>
      </c>
      <c r="AL13" s="27">
        <f>$K13*T13*负载统计!$K$11/60</f>
        <v>0.00666666666666667</v>
      </c>
    </row>
    <row r="14" spans="1:38">
      <c r="A14" s="24">
        <v>6</v>
      </c>
      <c r="B14" s="25" t="s">
        <v>1307</v>
      </c>
      <c r="C14" s="25" t="s">
        <v>1304</v>
      </c>
      <c r="D14" s="25" t="s">
        <v>1308</v>
      </c>
      <c r="E14" s="25" t="s">
        <v>151</v>
      </c>
      <c r="F14" s="25" t="s">
        <v>152</v>
      </c>
      <c r="G14" s="25">
        <f>VLOOKUP(A14,负载电气特性!A:G,7,FALSE)</f>
        <v>28</v>
      </c>
      <c r="H14" s="26" t="s">
        <v>66</v>
      </c>
      <c r="I14" s="25" t="s">
        <v>1706</v>
      </c>
      <c r="J14" s="24" t="s">
        <v>1708</v>
      </c>
      <c r="K14" s="25">
        <v>0</v>
      </c>
      <c r="L14" s="25">
        <v>0</v>
      </c>
      <c r="M14" s="25">
        <v>0</v>
      </c>
      <c r="N14" s="25">
        <v>0</v>
      </c>
      <c r="O14" s="25">
        <v>0</v>
      </c>
      <c r="P14" s="25">
        <v>0</v>
      </c>
      <c r="Q14" s="25">
        <v>0</v>
      </c>
      <c r="R14" s="25">
        <v>0</v>
      </c>
      <c r="S14" s="25">
        <v>0</v>
      </c>
      <c r="T14" s="25">
        <v>0</v>
      </c>
      <c r="U14" s="27" t="str">
        <f>_xlfn.LET(_xlpm.maxVal,_xlfn.MAXIFS($K:$K,$A:$A,A14),IF(AND(_xlpm.maxVal=K14,L14&lt;&gt;0),_xlpm.maxVal,""))</f>
        <v/>
      </c>
      <c r="V14" s="27" t="str">
        <f>_xlfn.LET(_xlpm.maxVal,_xlfn.MAXIFS($K:$K,$A:$A,A14),IF(AND(_xlpm.maxVal=K14,M14&lt;&gt;0),_xlpm.maxVal,""))</f>
        <v/>
      </c>
      <c r="W14" s="27" t="str">
        <f>_xlfn.LET(_xlpm.maxVal,_xlfn.MAXIFS($K:$K,$A:$A,A14),IF(AND(_xlpm.maxVal=K14,N14&lt;&gt;0),_xlpm.maxVal,""))</f>
        <v/>
      </c>
      <c r="X14" s="27" t="str">
        <f>_xlfn.LET(_xlpm.maxVal,_xlfn.MAXIFS($K:$K,$A:$A,A14),IF(AND(_xlpm.maxVal=K14,O14&lt;&gt;0),_xlpm.maxVal,""))</f>
        <v/>
      </c>
      <c r="Y14" s="27" t="str">
        <f>_xlfn.LET(_xlpm.maxVal,_xlfn.MAXIFS($K:$K,$A:$A,A14),IF(AND(_xlpm.maxVal=K14,P14&lt;&gt;0),_xlpm.maxVal,""))</f>
        <v/>
      </c>
      <c r="Z14" s="27" t="str">
        <f>_xlfn.LET(_xlpm.maxVal,_xlfn.MAXIFS($K:$K,$A:$A,A14),IF(AND(_xlpm.maxVal=K14,Q14&lt;&gt;0),_xlpm.maxVal,""))</f>
        <v/>
      </c>
      <c r="AA14" s="27" t="str">
        <f>_xlfn.LET(_xlpm.maxVal,_xlfn.MAXIFS($K:$K,$A:$A,A14),IF(AND(_xlpm.maxVal=K14,R14&lt;&gt;0),_xlpm.maxVal,""))</f>
        <v/>
      </c>
      <c r="AB14" s="27" t="str">
        <f>_xlfn.LET(_xlpm.maxVal,_xlfn.MAXIFS($K:$K,$A:$A,A14),IF(AND(_xlpm.maxVal=K14,S14&lt;&gt;0),_xlpm.maxVal,""))</f>
        <v/>
      </c>
      <c r="AC14" s="27" t="str">
        <f>_xlfn.LET(_xlpm.maxVal,_xlfn.MAXIFS($K:$K,$A:$A,A14),IF(AND(_xlpm.maxVal=K14,T14&lt;&gt;0),_xlpm.maxVal,""))</f>
        <v/>
      </c>
      <c r="AD14" s="27">
        <f>$K14*L14*负载统计!$K$3/60</f>
        <v>0</v>
      </c>
      <c r="AE14" s="27">
        <f>$K14*L14*负载统计!$K$4/60</f>
        <v>0</v>
      </c>
      <c r="AF14" s="27">
        <f>$K14*N14*负载统计!$K$5/60</f>
        <v>0</v>
      </c>
      <c r="AG14" s="27">
        <f>$K14*O14*负载统计!$K$6/60</f>
        <v>0</v>
      </c>
      <c r="AH14" s="27">
        <f>$K14*P14*负载统计!$K$7/60</f>
        <v>0</v>
      </c>
      <c r="AI14" s="27">
        <f>$K14*Q14*负载统计!$K$8/60</f>
        <v>0</v>
      </c>
      <c r="AJ14" s="27">
        <f>$K14*R14*负载统计!$K$9/60</f>
        <v>0</v>
      </c>
      <c r="AK14" s="27">
        <f>$K14*S14*负载统计!$K$10/60</f>
        <v>0</v>
      </c>
      <c r="AL14" s="27">
        <f>$K14*T14*负载统计!$K$11/60</f>
        <v>0</v>
      </c>
    </row>
    <row r="15" spans="1:38">
      <c r="A15" s="24">
        <v>7</v>
      </c>
      <c r="B15" s="25" t="s">
        <v>1309</v>
      </c>
      <c r="C15" s="25" t="s">
        <v>1304</v>
      </c>
      <c r="D15" s="25" t="s">
        <v>1308</v>
      </c>
      <c r="E15" s="25" t="s">
        <v>151</v>
      </c>
      <c r="F15" s="25" t="s">
        <v>152</v>
      </c>
      <c r="G15" s="25">
        <f>VLOOKUP(A15,负载电气特性!A:G,7,FALSE)</f>
        <v>28</v>
      </c>
      <c r="H15" s="26" t="s">
        <v>66</v>
      </c>
      <c r="I15" s="25" t="s">
        <v>1706</v>
      </c>
      <c r="J15" s="24" t="s">
        <v>1707</v>
      </c>
      <c r="K15" s="25">
        <v>0.1</v>
      </c>
      <c r="L15" s="25">
        <v>1</v>
      </c>
      <c r="M15" s="25">
        <v>1</v>
      </c>
      <c r="N15" s="25">
        <v>1</v>
      </c>
      <c r="O15" s="25">
        <v>1</v>
      </c>
      <c r="P15" s="25">
        <v>1</v>
      </c>
      <c r="Q15" s="25">
        <v>1</v>
      </c>
      <c r="R15" s="25">
        <v>1</v>
      </c>
      <c r="S15" s="25">
        <v>1</v>
      </c>
      <c r="T15" s="25">
        <v>1</v>
      </c>
      <c r="U15" s="27">
        <f>_xlfn.LET(_xlpm.maxVal,_xlfn.MAXIFS($K:$K,$A:$A,A15),IF(AND(_xlpm.maxVal=K15,L15&lt;&gt;0),_xlpm.maxVal,""))</f>
        <v>0.1</v>
      </c>
      <c r="V15" s="27">
        <f>_xlfn.LET(_xlpm.maxVal,_xlfn.MAXIFS($K:$K,$A:$A,A15),IF(AND(_xlpm.maxVal=K15,M15&lt;&gt;0),_xlpm.maxVal,""))</f>
        <v>0.1</v>
      </c>
      <c r="W15" s="27">
        <f>_xlfn.LET(_xlpm.maxVal,_xlfn.MAXIFS($K:$K,$A:$A,A15),IF(AND(_xlpm.maxVal=K15,N15&lt;&gt;0),_xlpm.maxVal,""))</f>
        <v>0.1</v>
      </c>
      <c r="X15" s="27">
        <f>_xlfn.LET(_xlpm.maxVal,_xlfn.MAXIFS($K:$K,$A:$A,A15),IF(AND(_xlpm.maxVal=K15,O15&lt;&gt;0),_xlpm.maxVal,""))</f>
        <v>0.1</v>
      </c>
      <c r="Y15" s="27">
        <f>_xlfn.LET(_xlpm.maxVal,_xlfn.MAXIFS($K:$K,$A:$A,A15),IF(AND(_xlpm.maxVal=K15,P15&lt;&gt;0),_xlpm.maxVal,""))</f>
        <v>0.1</v>
      </c>
      <c r="Z15" s="27">
        <f>_xlfn.LET(_xlpm.maxVal,_xlfn.MAXIFS($K:$K,$A:$A,A15),IF(AND(_xlpm.maxVal=K15,Q15&lt;&gt;0),_xlpm.maxVal,""))</f>
        <v>0.1</v>
      </c>
      <c r="AA15" s="27">
        <f>_xlfn.LET(_xlpm.maxVal,_xlfn.MAXIFS($K:$K,$A:$A,A15),IF(AND(_xlpm.maxVal=K15,R15&lt;&gt;0),_xlpm.maxVal,""))</f>
        <v>0.1</v>
      </c>
      <c r="AB15" s="27">
        <f>_xlfn.LET(_xlpm.maxVal,_xlfn.MAXIFS($K:$K,$A:$A,A15),IF(AND(_xlpm.maxVal=K15,S15&lt;&gt;0),_xlpm.maxVal,""))</f>
        <v>0.1</v>
      </c>
      <c r="AC15" s="27">
        <f>_xlfn.LET(_xlpm.maxVal,_xlfn.MAXIFS($K:$K,$A:$A,A15),IF(AND(_xlpm.maxVal=K15,T15&lt;&gt;0),_xlpm.maxVal,""))</f>
        <v>0.1</v>
      </c>
      <c r="AD15" s="27">
        <f>$K15*L15*负载统计!$K$3/60</f>
        <v>0</v>
      </c>
      <c r="AE15" s="27">
        <f>$K15*L15*负载统计!$K$4/60</f>
        <v>0</v>
      </c>
      <c r="AF15" s="27">
        <f>$K15*N15*负载统计!$K$5/60</f>
        <v>0.00166666666666667</v>
      </c>
      <c r="AG15" s="27">
        <f>$K15*O15*负载统计!$K$6/60</f>
        <v>0.005</v>
      </c>
      <c r="AH15" s="27">
        <f>$K15*P15*负载统计!$K$7/60</f>
        <v>0.0112833333333333</v>
      </c>
      <c r="AI15" s="27">
        <f>$K15*Q15*负载统计!$K$8/60</f>
        <v>0.0726666666666667</v>
      </c>
      <c r="AJ15" s="27">
        <f>$K15*R15*负载统计!$K$9/60</f>
        <v>0.0230833333333333</v>
      </c>
      <c r="AK15" s="27">
        <f>$K15*S15*负载统计!$K$10/60</f>
        <v>0.000833333333333333</v>
      </c>
      <c r="AL15" s="27">
        <f>$K15*T15*负载统计!$K$11/60</f>
        <v>0.00666666666666667</v>
      </c>
    </row>
    <row r="16" spans="1:38">
      <c r="A16" s="24">
        <v>7</v>
      </c>
      <c r="B16" s="25" t="s">
        <v>1309</v>
      </c>
      <c r="C16" s="25" t="s">
        <v>1304</v>
      </c>
      <c r="D16" s="25" t="s">
        <v>1308</v>
      </c>
      <c r="E16" s="25" t="s">
        <v>151</v>
      </c>
      <c r="F16" s="25" t="s">
        <v>152</v>
      </c>
      <c r="G16" s="25">
        <f>VLOOKUP(A16,负载电气特性!A:G,7,FALSE)</f>
        <v>28</v>
      </c>
      <c r="H16" s="26" t="s">
        <v>66</v>
      </c>
      <c r="I16" s="25" t="s">
        <v>1706</v>
      </c>
      <c r="J16" s="24" t="s">
        <v>1708</v>
      </c>
      <c r="K16" s="25">
        <v>0</v>
      </c>
      <c r="L16" s="25">
        <v>0</v>
      </c>
      <c r="M16" s="25">
        <v>0</v>
      </c>
      <c r="N16" s="25">
        <v>0</v>
      </c>
      <c r="O16" s="25">
        <v>0</v>
      </c>
      <c r="P16" s="25">
        <v>0</v>
      </c>
      <c r="Q16" s="25">
        <v>0</v>
      </c>
      <c r="R16" s="25">
        <v>0</v>
      </c>
      <c r="S16" s="25">
        <v>0</v>
      </c>
      <c r="T16" s="25">
        <v>0</v>
      </c>
      <c r="U16" s="27" t="str">
        <f>_xlfn.LET(_xlpm.maxVal,_xlfn.MAXIFS($K:$K,$A:$A,A16),IF(AND(_xlpm.maxVal=K16,L16&lt;&gt;0),_xlpm.maxVal,""))</f>
        <v/>
      </c>
      <c r="V16" s="27" t="str">
        <f>_xlfn.LET(_xlpm.maxVal,_xlfn.MAXIFS($K:$K,$A:$A,A16),IF(AND(_xlpm.maxVal=K16,M16&lt;&gt;0),_xlpm.maxVal,""))</f>
        <v/>
      </c>
      <c r="W16" s="27" t="str">
        <f>_xlfn.LET(_xlpm.maxVal,_xlfn.MAXIFS($K:$K,$A:$A,A16),IF(AND(_xlpm.maxVal=K16,N16&lt;&gt;0),_xlpm.maxVal,""))</f>
        <v/>
      </c>
      <c r="X16" s="27" t="str">
        <f>_xlfn.LET(_xlpm.maxVal,_xlfn.MAXIFS($K:$K,$A:$A,A16),IF(AND(_xlpm.maxVal=K16,O16&lt;&gt;0),_xlpm.maxVal,""))</f>
        <v/>
      </c>
      <c r="Y16" s="27" t="str">
        <f>_xlfn.LET(_xlpm.maxVal,_xlfn.MAXIFS($K:$K,$A:$A,A16),IF(AND(_xlpm.maxVal=K16,P16&lt;&gt;0),_xlpm.maxVal,""))</f>
        <v/>
      </c>
      <c r="Z16" s="27" t="str">
        <f>_xlfn.LET(_xlpm.maxVal,_xlfn.MAXIFS($K:$K,$A:$A,A16),IF(AND(_xlpm.maxVal=K16,Q16&lt;&gt;0),_xlpm.maxVal,""))</f>
        <v/>
      </c>
      <c r="AA16" s="27" t="str">
        <f>_xlfn.LET(_xlpm.maxVal,_xlfn.MAXIFS($K:$K,$A:$A,A16),IF(AND(_xlpm.maxVal=K16,R16&lt;&gt;0),_xlpm.maxVal,""))</f>
        <v/>
      </c>
      <c r="AB16" s="27" t="str">
        <f>_xlfn.LET(_xlpm.maxVal,_xlfn.MAXIFS($K:$K,$A:$A,A16),IF(AND(_xlpm.maxVal=K16,S16&lt;&gt;0),_xlpm.maxVal,""))</f>
        <v/>
      </c>
      <c r="AC16" s="27" t="str">
        <f>_xlfn.LET(_xlpm.maxVal,_xlfn.MAXIFS($K:$K,$A:$A,A16),IF(AND(_xlpm.maxVal=K16,T16&lt;&gt;0),_xlpm.maxVal,""))</f>
        <v/>
      </c>
      <c r="AD16" s="27">
        <f>$K16*L16*负载统计!$K$3/60</f>
        <v>0</v>
      </c>
      <c r="AE16" s="27">
        <f>$K16*L16*负载统计!$K$4/60</f>
        <v>0</v>
      </c>
      <c r="AF16" s="27">
        <f>$K16*N16*负载统计!$K$5/60</f>
        <v>0</v>
      </c>
      <c r="AG16" s="27">
        <f>$K16*O16*负载统计!$K$6/60</f>
        <v>0</v>
      </c>
      <c r="AH16" s="27">
        <f>$K16*P16*负载统计!$K$7/60</f>
        <v>0</v>
      </c>
      <c r="AI16" s="27">
        <f>$K16*Q16*负载统计!$K$8/60</f>
        <v>0</v>
      </c>
      <c r="AJ16" s="27">
        <f>$K16*R16*负载统计!$K$9/60</f>
        <v>0</v>
      </c>
      <c r="AK16" s="27">
        <f>$K16*S16*负载统计!$K$10/60</f>
        <v>0</v>
      </c>
      <c r="AL16" s="27">
        <f>$K16*T16*负载统计!$K$11/60</f>
        <v>0</v>
      </c>
    </row>
    <row r="17" spans="1:38">
      <c r="A17" s="24">
        <v>8</v>
      </c>
      <c r="B17" s="25" t="s">
        <v>1310</v>
      </c>
      <c r="C17" s="25" t="s">
        <v>1304</v>
      </c>
      <c r="D17" s="25" t="s">
        <v>1311</v>
      </c>
      <c r="E17" s="25" t="s">
        <v>155</v>
      </c>
      <c r="F17" s="25" t="s">
        <v>156</v>
      </c>
      <c r="G17" s="25">
        <f>VLOOKUP(A17,负载电气特性!A:G,7,FALSE)</f>
        <v>28</v>
      </c>
      <c r="H17" s="26" t="s">
        <v>66</v>
      </c>
      <c r="I17" s="25" t="s">
        <v>1706</v>
      </c>
      <c r="J17" s="24" t="s">
        <v>1707</v>
      </c>
      <c r="K17" s="25">
        <v>0.1</v>
      </c>
      <c r="L17" s="25">
        <v>1</v>
      </c>
      <c r="M17" s="25">
        <v>1</v>
      </c>
      <c r="N17" s="25">
        <v>1</v>
      </c>
      <c r="O17" s="25">
        <v>1</v>
      </c>
      <c r="P17" s="25">
        <v>1</v>
      </c>
      <c r="Q17" s="25">
        <v>1</v>
      </c>
      <c r="R17" s="25">
        <v>1</v>
      </c>
      <c r="S17" s="25">
        <v>1</v>
      </c>
      <c r="T17" s="25">
        <v>1</v>
      </c>
      <c r="U17" s="27">
        <f>_xlfn.LET(_xlpm.maxVal,_xlfn.MAXIFS($K:$K,$A:$A,A17),IF(AND(_xlpm.maxVal=K17,L17&lt;&gt;0),_xlpm.maxVal,""))</f>
        <v>0.1</v>
      </c>
      <c r="V17" s="27">
        <f>_xlfn.LET(_xlpm.maxVal,_xlfn.MAXIFS($K:$K,$A:$A,A17),IF(AND(_xlpm.maxVal=K17,M17&lt;&gt;0),_xlpm.maxVal,""))</f>
        <v>0.1</v>
      </c>
      <c r="W17" s="27">
        <f>_xlfn.LET(_xlpm.maxVal,_xlfn.MAXIFS($K:$K,$A:$A,A17),IF(AND(_xlpm.maxVal=K17,N17&lt;&gt;0),_xlpm.maxVal,""))</f>
        <v>0.1</v>
      </c>
      <c r="X17" s="27">
        <f>_xlfn.LET(_xlpm.maxVal,_xlfn.MAXIFS($K:$K,$A:$A,A17),IF(AND(_xlpm.maxVal=K17,O17&lt;&gt;0),_xlpm.maxVal,""))</f>
        <v>0.1</v>
      </c>
      <c r="Y17" s="27">
        <f>_xlfn.LET(_xlpm.maxVal,_xlfn.MAXIFS($K:$K,$A:$A,A17),IF(AND(_xlpm.maxVal=K17,P17&lt;&gt;0),_xlpm.maxVal,""))</f>
        <v>0.1</v>
      </c>
      <c r="Z17" s="27">
        <f>_xlfn.LET(_xlpm.maxVal,_xlfn.MAXIFS($K:$K,$A:$A,A17),IF(AND(_xlpm.maxVal=K17,Q17&lt;&gt;0),_xlpm.maxVal,""))</f>
        <v>0.1</v>
      </c>
      <c r="AA17" s="27">
        <f>_xlfn.LET(_xlpm.maxVal,_xlfn.MAXIFS($K:$K,$A:$A,A17),IF(AND(_xlpm.maxVal=K17,R17&lt;&gt;0),_xlpm.maxVal,""))</f>
        <v>0.1</v>
      </c>
      <c r="AB17" s="27">
        <f>_xlfn.LET(_xlpm.maxVal,_xlfn.MAXIFS($K:$K,$A:$A,A17),IF(AND(_xlpm.maxVal=K17,S17&lt;&gt;0),_xlpm.maxVal,""))</f>
        <v>0.1</v>
      </c>
      <c r="AC17" s="27">
        <f>_xlfn.LET(_xlpm.maxVal,_xlfn.MAXIFS($K:$K,$A:$A,A17),IF(AND(_xlpm.maxVal=K17,T17&lt;&gt;0),_xlpm.maxVal,""))</f>
        <v>0.1</v>
      </c>
      <c r="AD17" s="27">
        <f>$K17*L17*负载统计!$K$3/60</f>
        <v>0</v>
      </c>
      <c r="AE17" s="27">
        <f>$K17*L17*负载统计!$K$4/60</f>
        <v>0</v>
      </c>
      <c r="AF17" s="27">
        <f>$K17*N17*负载统计!$K$5/60</f>
        <v>0.00166666666666667</v>
      </c>
      <c r="AG17" s="27">
        <f>$K17*O17*负载统计!$K$6/60</f>
        <v>0.005</v>
      </c>
      <c r="AH17" s="27">
        <f>$K17*P17*负载统计!$K$7/60</f>
        <v>0.0112833333333333</v>
      </c>
      <c r="AI17" s="27">
        <f>$K17*Q17*负载统计!$K$8/60</f>
        <v>0.0726666666666667</v>
      </c>
      <c r="AJ17" s="27">
        <f>$K17*R17*负载统计!$K$9/60</f>
        <v>0.0230833333333333</v>
      </c>
      <c r="AK17" s="27">
        <f>$K17*S17*负载统计!$K$10/60</f>
        <v>0.000833333333333333</v>
      </c>
      <c r="AL17" s="27">
        <f>$K17*T17*负载统计!$K$11/60</f>
        <v>0.00666666666666667</v>
      </c>
    </row>
    <row r="18" spans="1:38">
      <c r="A18" s="24">
        <v>8</v>
      </c>
      <c r="B18" s="25" t="s">
        <v>1310</v>
      </c>
      <c r="C18" s="25" t="s">
        <v>1304</v>
      </c>
      <c r="D18" s="25" t="s">
        <v>1311</v>
      </c>
      <c r="E18" s="25" t="s">
        <v>155</v>
      </c>
      <c r="F18" s="25" t="s">
        <v>156</v>
      </c>
      <c r="G18" s="25">
        <f>VLOOKUP(A18,负载电气特性!A:G,7,FALSE)</f>
        <v>28</v>
      </c>
      <c r="H18" s="26" t="s">
        <v>66</v>
      </c>
      <c r="I18" s="25" t="s">
        <v>1706</v>
      </c>
      <c r="J18" s="24" t="s">
        <v>1708</v>
      </c>
      <c r="K18" s="25">
        <v>0</v>
      </c>
      <c r="L18" s="25">
        <v>0</v>
      </c>
      <c r="M18" s="25">
        <v>0</v>
      </c>
      <c r="N18" s="25">
        <v>0</v>
      </c>
      <c r="O18" s="25">
        <v>0</v>
      </c>
      <c r="P18" s="25">
        <v>0</v>
      </c>
      <c r="Q18" s="25">
        <v>0</v>
      </c>
      <c r="R18" s="25">
        <v>0</v>
      </c>
      <c r="S18" s="25">
        <v>0</v>
      </c>
      <c r="T18" s="25">
        <v>0</v>
      </c>
      <c r="U18" s="27" t="str">
        <f>_xlfn.LET(_xlpm.maxVal,_xlfn.MAXIFS($K:$K,$A:$A,A18),IF(AND(_xlpm.maxVal=K18,L18&lt;&gt;0),_xlpm.maxVal,""))</f>
        <v/>
      </c>
      <c r="V18" s="27" t="str">
        <f>_xlfn.LET(_xlpm.maxVal,_xlfn.MAXIFS($K:$K,$A:$A,A18),IF(AND(_xlpm.maxVal=K18,M18&lt;&gt;0),_xlpm.maxVal,""))</f>
        <v/>
      </c>
      <c r="W18" s="27" t="str">
        <f>_xlfn.LET(_xlpm.maxVal,_xlfn.MAXIFS($K:$K,$A:$A,A18),IF(AND(_xlpm.maxVal=K18,N18&lt;&gt;0),_xlpm.maxVal,""))</f>
        <v/>
      </c>
      <c r="X18" s="27" t="str">
        <f>_xlfn.LET(_xlpm.maxVal,_xlfn.MAXIFS($K:$K,$A:$A,A18),IF(AND(_xlpm.maxVal=K18,O18&lt;&gt;0),_xlpm.maxVal,""))</f>
        <v/>
      </c>
      <c r="Y18" s="27" t="str">
        <f>_xlfn.LET(_xlpm.maxVal,_xlfn.MAXIFS($K:$K,$A:$A,A18),IF(AND(_xlpm.maxVal=K18,P18&lt;&gt;0),_xlpm.maxVal,""))</f>
        <v/>
      </c>
      <c r="Z18" s="27" t="str">
        <f>_xlfn.LET(_xlpm.maxVal,_xlfn.MAXIFS($K:$K,$A:$A,A18),IF(AND(_xlpm.maxVal=K18,Q18&lt;&gt;0),_xlpm.maxVal,""))</f>
        <v/>
      </c>
      <c r="AA18" s="27" t="str">
        <f>_xlfn.LET(_xlpm.maxVal,_xlfn.MAXIFS($K:$K,$A:$A,A18),IF(AND(_xlpm.maxVal=K18,R18&lt;&gt;0),_xlpm.maxVal,""))</f>
        <v/>
      </c>
      <c r="AB18" s="27" t="str">
        <f>_xlfn.LET(_xlpm.maxVal,_xlfn.MAXIFS($K:$K,$A:$A,A18),IF(AND(_xlpm.maxVal=K18,S18&lt;&gt;0),_xlpm.maxVal,""))</f>
        <v/>
      </c>
      <c r="AC18" s="27" t="str">
        <f>_xlfn.LET(_xlpm.maxVal,_xlfn.MAXIFS($K:$K,$A:$A,A18),IF(AND(_xlpm.maxVal=K18,T18&lt;&gt;0),_xlpm.maxVal,""))</f>
        <v/>
      </c>
      <c r="AD18" s="27">
        <f>$K18*L18*负载统计!$K$3/60</f>
        <v>0</v>
      </c>
      <c r="AE18" s="27">
        <f>$K18*L18*负载统计!$K$4/60</f>
        <v>0</v>
      </c>
      <c r="AF18" s="27">
        <f>$K18*N18*负载统计!$K$5/60</f>
        <v>0</v>
      </c>
      <c r="AG18" s="27">
        <f>$K18*O18*负载统计!$K$6/60</f>
        <v>0</v>
      </c>
      <c r="AH18" s="27">
        <f>$K18*P18*负载统计!$K$7/60</f>
        <v>0</v>
      </c>
      <c r="AI18" s="27">
        <f>$K18*Q18*负载统计!$K$8/60</f>
        <v>0</v>
      </c>
      <c r="AJ18" s="27">
        <f>$K18*R18*负载统计!$K$9/60</f>
        <v>0</v>
      </c>
      <c r="AK18" s="27">
        <f>$K18*S18*负载统计!$K$10/60</f>
        <v>0</v>
      </c>
      <c r="AL18" s="27">
        <f>$K18*T18*负载统计!$K$11/60</f>
        <v>0</v>
      </c>
    </row>
    <row r="19" spans="1:38">
      <c r="A19" s="24">
        <v>9</v>
      </c>
      <c r="B19" s="28" t="s">
        <v>1312</v>
      </c>
      <c r="C19" s="28" t="s">
        <v>1304</v>
      </c>
      <c r="D19" s="28" t="s">
        <v>163</v>
      </c>
      <c r="E19" s="29" t="s">
        <v>164</v>
      </c>
      <c r="F19" s="29" t="s">
        <v>165</v>
      </c>
      <c r="G19" s="25">
        <f>VLOOKUP(A19,负载电气特性!A:G,7,FALSE)</f>
        <v>28</v>
      </c>
      <c r="H19" s="26" t="s">
        <v>66</v>
      </c>
      <c r="I19" s="25" t="s">
        <v>1706</v>
      </c>
      <c r="J19" s="24" t="s">
        <v>1707</v>
      </c>
      <c r="K19" s="25">
        <v>0.04</v>
      </c>
      <c r="L19" s="25">
        <v>1</v>
      </c>
      <c r="M19" s="25">
        <v>1</v>
      </c>
      <c r="N19" s="25">
        <v>1</v>
      </c>
      <c r="O19" s="25">
        <v>1</v>
      </c>
      <c r="P19" s="25">
        <v>1</v>
      </c>
      <c r="Q19" s="25">
        <v>1</v>
      </c>
      <c r="R19" s="25">
        <v>1</v>
      </c>
      <c r="S19" s="25">
        <v>1</v>
      </c>
      <c r="T19" s="25">
        <v>1</v>
      </c>
      <c r="U19" s="27">
        <f>_xlfn.LET(_xlpm.maxVal,_xlfn.MAXIFS($K:$K,$A:$A,A19),IF(AND(_xlpm.maxVal=K19,L19&lt;&gt;0),_xlpm.maxVal,""))</f>
        <v>0.04</v>
      </c>
      <c r="V19" s="27">
        <f>_xlfn.LET(_xlpm.maxVal,_xlfn.MAXIFS($K:$K,$A:$A,A19),IF(AND(_xlpm.maxVal=K19,M19&lt;&gt;0),_xlpm.maxVal,""))</f>
        <v>0.04</v>
      </c>
      <c r="W19" s="27">
        <f>_xlfn.LET(_xlpm.maxVal,_xlfn.MAXIFS($K:$K,$A:$A,A19),IF(AND(_xlpm.maxVal=K19,N19&lt;&gt;0),_xlpm.maxVal,""))</f>
        <v>0.04</v>
      </c>
      <c r="X19" s="27">
        <f>_xlfn.LET(_xlpm.maxVal,_xlfn.MAXIFS($K:$K,$A:$A,A19),IF(AND(_xlpm.maxVal=K19,O19&lt;&gt;0),_xlpm.maxVal,""))</f>
        <v>0.04</v>
      </c>
      <c r="Y19" s="27">
        <f>_xlfn.LET(_xlpm.maxVal,_xlfn.MAXIFS($K:$K,$A:$A,A19),IF(AND(_xlpm.maxVal=K19,P19&lt;&gt;0),_xlpm.maxVal,""))</f>
        <v>0.04</v>
      </c>
      <c r="Z19" s="27">
        <f>_xlfn.LET(_xlpm.maxVal,_xlfn.MAXIFS($K:$K,$A:$A,A19),IF(AND(_xlpm.maxVal=K19,Q19&lt;&gt;0),_xlpm.maxVal,""))</f>
        <v>0.04</v>
      </c>
      <c r="AA19" s="27">
        <f>_xlfn.LET(_xlpm.maxVal,_xlfn.MAXIFS($K:$K,$A:$A,A19),IF(AND(_xlpm.maxVal=K19,R19&lt;&gt;0),_xlpm.maxVal,""))</f>
        <v>0.04</v>
      </c>
      <c r="AB19" s="27">
        <f>_xlfn.LET(_xlpm.maxVal,_xlfn.MAXIFS($K:$K,$A:$A,A19),IF(AND(_xlpm.maxVal=K19,S19&lt;&gt;0),_xlpm.maxVal,""))</f>
        <v>0.04</v>
      </c>
      <c r="AC19" s="27">
        <f>_xlfn.LET(_xlpm.maxVal,_xlfn.MAXIFS($K:$K,$A:$A,A19),IF(AND(_xlpm.maxVal=K19,T19&lt;&gt;0),_xlpm.maxVal,""))</f>
        <v>0.04</v>
      </c>
      <c r="AD19" s="27">
        <f>$K19*L19*负载统计!$K$3/60</f>
        <v>0</v>
      </c>
      <c r="AE19" s="27">
        <f>$K19*L19*负载统计!$K$4/60</f>
        <v>0</v>
      </c>
      <c r="AF19" s="27">
        <f>$K19*N19*负载统计!$K$5/60</f>
        <v>0.000666666666666667</v>
      </c>
      <c r="AG19" s="27">
        <f>$K19*O19*负载统计!$K$6/60</f>
        <v>0.002</v>
      </c>
      <c r="AH19" s="27">
        <f>$K19*P19*负载统计!$K$7/60</f>
        <v>0.00451333333333333</v>
      </c>
      <c r="AI19" s="27">
        <f>$K19*Q19*负载统计!$K$8/60</f>
        <v>0.0290666666666667</v>
      </c>
      <c r="AJ19" s="27">
        <f>$K19*R19*负载统计!$K$9/60</f>
        <v>0.00923333333333333</v>
      </c>
      <c r="AK19" s="27">
        <f>$K19*S19*负载统计!$K$10/60</f>
        <v>0.000333333333333333</v>
      </c>
      <c r="AL19" s="27">
        <f>$K19*T19*负载统计!$K$11/60</f>
        <v>0.00266666666666667</v>
      </c>
    </row>
    <row r="20" spans="1:38">
      <c r="A20" s="24">
        <v>9</v>
      </c>
      <c r="B20" s="28" t="s">
        <v>1312</v>
      </c>
      <c r="C20" s="28" t="s">
        <v>1304</v>
      </c>
      <c r="D20" s="28" t="s">
        <v>163</v>
      </c>
      <c r="E20" s="29" t="s">
        <v>164</v>
      </c>
      <c r="F20" s="29" t="s">
        <v>165</v>
      </c>
      <c r="G20" s="25">
        <f>VLOOKUP(A20,负载电气特性!A:G,7,FALSE)</f>
        <v>28</v>
      </c>
      <c r="H20" s="26" t="s">
        <v>66</v>
      </c>
      <c r="I20" s="25" t="s">
        <v>1706</v>
      </c>
      <c r="J20" s="24" t="s">
        <v>1708</v>
      </c>
      <c r="K20" s="25">
        <v>0</v>
      </c>
      <c r="L20" s="25">
        <v>0</v>
      </c>
      <c r="M20" s="25">
        <v>0</v>
      </c>
      <c r="N20" s="25">
        <v>0</v>
      </c>
      <c r="O20" s="25">
        <v>0</v>
      </c>
      <c r="P20" s="25">
        <v>0</v>
      </c>
      <c r="Q20" s="25">
        <v>0</v>
      </c>
      <c r="R20" s="25">
        <v>0</v>
      </c>
      <c r="S20" s="25">
        <v>0</v>
      </c>
      <c r="T20" s="25">
        <v>0</v>
      </c>
      <c r="U20" s="27" t="str">
        <f>_xlfn.LET(_xlpm.maxVal,_xlfn.MAXIFS($K:$K,$A:$A,A20),IF(AND(_xlpm.maxVal=K20,L20&lt;&gt;0),_xlpm.maxVal,""))</f>
        <v/>
      </c>
      <c r="V20" s="27" t="str">
        <f>_xlfn.LET(_xlpm.maxVal,_xlfn.MAXIFS($K:$K,$A:$A,A20),IF(AND(_xlpm.maxVal=K20,M20&lt;&gt;0),_xlpm.maxVal,""))</f>
        <v/>
      </c>
      <c r="W20" s="27" t="str">
        <f>_xlfn.LET(_xlpm.maxVal,_xlfn.MAXIFS($K:$K,$A:$A,A20),IF(AND(_xlpm.maxVal=K20,N20&lt;&gt;0),_xlpm.maxVal,""))</f>
        <v/>
      </c>
      <c r="X20" s="27" t="str">
        <f>_xlfn.LET(_xlpm.maxVal,_xlfn.MAXIFS($K:$K,$A:$A,A20),IF(AND(_xlpm.maxVal=K20,O20&lt;&gt;0),_xlpm.maxVal,""))</f>
        <v/>
      </c>
      <c r="Y20" s="27" t="str">
        <f>_xlfn.LET(_xlpm.maxVal,_xlfn.MAXIFS($K:$K,$A:$A,A20),IF(AND(_xlpm.maxVal=K20,P20&lt;&gt;0),_xlpm.maxVal,""))</f>
        <v/>
      </c>
      <c r="Z20" s="27" t="str">
        <f>_xlfn.LET(_xlpm.maxVal,_xlfn.MAXIFS($K:$K,$A:$A,A20),IF(AND(_xlpm.maxVal=K20,Q20&lt;&gt;0),_xlpm.maxVal,""))</f>
        <v/>
      </c>
      <c r="AA20" s="27" t="str">
        <f>_xlfn.LET(_xlpm.maxVal,_xlfn.MAXIFS($K:$K,$A:$A,A20),IF(AND(_xlpm.maxVal=K20,R20&lt;&gt;0),_xlpm.maxVal,""))</f>
        <v/>
      </c>
      <c r="AB20" s="27" t="str">
        <f>_xlfn.LET(_xlpm.maxVal,_xlfn.MAXIFS($K:$K,$A:$A,A20),IF(AND(_xlpm.maxVal=K20,S20&lt;&gt;0),_xlpm.maxVal,""))</f>
        <v/>
      </c>
      <c r="AC20" s="27" t="str">
        <f>_xlfn.LET(_xlpm.maxVal,_xlfn.MAXIFS($K:$K,$A:$A,A20),IF(AND(_xlpm.maxVal=K20,T20&lt;&gt;0),_xlpm.maxVal,""))</f>
        <v/>
      </c>
      <c r="AD20" s="27">
        <f>$K20*L20*负载统计!$K$3/60</f>
        <v>0</v>
      </c>
      <c r="AE20" s="27">
        <f>$K20*L20*负载统计!$K$4/60</f>
        <v>0</v>
      </c>
      <c r="AF20" s="27">
        <f>$K20*N20*负载统计!$K$5/60</f>
        <v>0</v>
      </c>
      <c r="AG20" s="27">
        <f>$K20*O20*负载统计!$K$6/60</f>
        <v>0</v>
      </c>
      <c r="AH20" s="27">
        <f>$K20*P20*负载统计!$K$7/60</f>
        <v>0</v>
      </c>
      <c r="AI20" s="27">
        <f>$K20*Q20*负载统计!$K$8/60</f>
        <v>0</v>
      </c>
      <c r="AJ20" s="27">
        <f>$K20*R20*负载统计!$K$9/60</f>
        <v>0</v>
      </c>
      <c r="AK20" s="27">
        <f>$K20*S20*负载统计!$K$10/60</f>
        <v>0</v>
      </c>
      <c r="AL20" s="27">
        <f>$K20*T20*负载统计!$K$11/60</f>
        <v>0</v>
      </c>
    </row>
    <row r="21" spans="1:38">
      <c r="A21" s="24">
        <v>10</v>
      </c>
      <c r="B21" s="28" t="s">
        <v>1313</v>
      </c>
      <c r="C21" s="28" t="s">
        <v>1304</v>
      </c>
      <c r="D21" s="28" t="s">
        <v>166</v>
      </c>
      <c r="E21" s="29" t="s">
        <v>167</v>
      </c>
      <c r="F21" s="29" t="s">
        <v>168</v>
      </c>
      <c r="G21" s="25">
        <f>VLOOKUP(A21,负载电气特性!A:G,7,FALSE)</f>
        <v>28</v>
      </c>
      <c r="H21" s="26" t="s">
        <v>66</v>
      </c>
      <c r="I21" s="25" t="s">
        <v>1706</v>
      </c>
      <c r="J21" s="24" t="s">
        <v>1707</v>
      </c>
      <c r="K21" s="25">
        <v>0.04</v>
      </c>
      <c r="L21" s="25">
        <v>1</v>
      </c>
      <c r="M21" s="25">
        <v>1</v>
      </c>
      <c r="N21" s="25">
        <v>1</v>
      </c>
      <c r="O21" s="25">
        <v>1</v>
      </c>
      <c r="P21" s="25">
        <v>1</v>
      </c>
      <c r="Q21" s="25">
        <v>1</v>
      </c>
      <c r="R21" s="25">
        <v>1</v>
      </c>
      <c r="S21" s="25">
        <v>1</v>
      </c>
      <c r="T21" s="25">
        <v>1</v>
      </c>
      <c r="U21" s="27">
        <f>_xlfn.LET(_xlpm.maxVal,_xlfn.MAXIFS($K:$K,$A:$A,A21),IF(AND(_xlpm.maxVal=K21,L21&lt;&gt;0),_xlpm.maxVal,""))</f>
        <v>0.04</v>
      </c>
      <c r="V21" s="27">
        <f>_xlfn.LET(_xlpm.maxVal,_xlfn.MAXIFS($K:$K,$A:$A,A21),IF(AND(_xlpm.maxVal=K21,M21&lt;&gt;0),_xlpm.maxVal,""))</f>
        <v>0.04</v>
      </c>
      <c r="W21" s="27">
        <f>_xlfn.LET(_xlpm.maxVal,_xlfn.MAXIFS($K:$K,$A:$A,A21),IF(AND(_xlpm.maxVal=K21,N21&lt;&gt;0),_xlpm.maxVal,""))</f>
        <v>0.04</v>
      </c>
      <c r="X21" s="27">
        <f>_xlfn.LET(_xlpm.maxVal,_xlfn.MAXIFS($K:$K,$A:$A,A21),IF(AND(_xlpm.maxVal=K21,O21&lt;&gt;0),_xlpm.maxVal,""))</f>
        <v>0.04</v>
      </c>
      <c r="Y21" s="27">
        <f>_xlfn.LET(_xlpm.maxVal,_xlfn.MAXIFS($K:$K,$A:$A,A21),IF(AND(_xlpm.maxVal=K21,P21&lt;&gt;0),_xlpm.maxVal,""))</f>
        <v>0.04</v>
      </c>
      <c r="Z21" s="27">
        <f>_xlfn.LET(_xlpm.maxVal,_xlfn.MAXIFS($K:$K,$A:$A,A21),IF(AND(_xlpm.maxVal=K21,Q21&lt;&gt;0),_xlpm.maxVal,""))</f>
        <v>0.04</v>
      </c>
      <c r="AA21" s="27">
        <f>_xlfn.LET(_xlpm.maxVal,_xlfn.MAXIFS($K:$K,$A:$A,A21),IF(AND(_xlpm.maxVal=K21,R21&lt;&gt;0),_xlpm.maxVal,""))</f>
        <v>0.04</v>
      </c>
      <c r="AB21" s="27">
        <f>_xlfn.LET(_xlpm.maxVal,_xlfn.MAXIFS($K:$K,$A:$A,A21),IF(AND(_xlpm.maxVal=K21,S21&lt;&gt;0),_xlpm.maxVal,""))</f>
        <v>0.04</v>
      </c>
      <c r="AC21" s="27">
        <f>_xlfn.LET(_xlpm.maxVal,_xlfn.MAXIFS($K:$K,$A:$A,A21),IF(AND(_xlpm.maxVal=K21,T21&lt;&gt;0),_xlpm.maxVal,""))</f>
        <v>0.04</v>
      </c>
      <c r="AD21" s="27">
        <f>$K21*L21*负载统计!$K$3/60</f>
        <v>0</v>
      </c>
      <c r="AE21" s="27">
        <f>$K21*L21*负载统计!$K$4/60</f>
        <v>0</v>
      </c>
      <c r="AF21" s="27">
        <f>$K21*N21*负载统计!$K$5/60</f>
        <v>0.000666666666666667</v>
      </c>
      <c r="AG21" s="27">
        <f>$K21*O21*负载统计!$K$6/60</f>
        <v>0.002</v>
      </c>
      <c r="AH21" s="27">
        <f>$K21*P21*负载统计!$K$7/60</f>
        <v>0.00451333333333333</v>
      </c>
      <c r="AI21" s="27">
        <f>$K21*Q21*负载统计!$K$8/60</f>
        <v>0.0290666666666667</v>
      </c>
      <c r="AJ21" s="27">
        <f>$K21*R21*负载统计!$K$9/60</f>
        <v>0.00923333333333333</v>
      </c>
      <c r="AK21" s="27">
        <f>$K21*S21*负载统计!$K$10/60</f>
        <v>0.000333333333333333</v>
      </c>
      <c r="AL21" s="27">
        <f>$K21*T21*负载统计!$K$11/60</f>
        <v>0.00266666666666667</v>
      </c>
    </row>
    <row r="22" spans="1:38">
      <c r="A22" s="24">
        <v>10</v>
      </c>
      <c r="B22" s="28" t="s">
        <v>1313</v>
      </c>
      <c r="C22" s="28" t="s">
        <v>1304</v>
      </c>
      <c r="D22" s="28" t="s">
        <v>166</v>
      </c>
      <c r="E22" s="29" t="s">
        <v>167</v>
      </c>
      <c r="F22" s="29" t="s">
        <v>168</v>
      </c>
      <c r="G22" s="25">
        <f>VLOOKUP(A22,负载电气特性!A:G,7,FALSE)</f>
        <v>28</v>
      </c>
      <c r="H22" s="26" t="s">
        <v>66</v>
      </c>
      <c r="I22" s="25" t="s">
        <v>1706</v>
      </c>
      <c r="J22" s="24" t="s">
        <v>1708</v>
      </c>
      <c r="K22" s="25">
        <v>0</v>
      </c>
      <c r="L22" s="25">
        <v>0</v>
      </c>
      <c r="M22" s="25">
        <v>0</v>
      </c>
      <c r="N22" s="25">
        <v>0</v>
      </c>
      <c r="O22" s="25">
        <v>0</v>
      </c>
      <c r="P22" s="25">
        <v>0</v>
      </c>
      <c r="Q22" s="25">
        <v>0</v>
      </c>
      <c r="R22" s="25">
        <v>0</v>
      </c>
      <c r="S22" s="25">
        <v>0</v>
      </c>
      <c r="T22" s="25">
        <v>0</v>
      </c>
      <c r="U22" s="27" t="str">
        <f>_xlfn.LET(_xlpm.maxVal,_xlfn.MAXIFS($K:$K,$A:$A,A22),IF(AND(_xlpm.maxVal=K22,L22&lt;&gt;0),_xlpm.maxVal,""))</f>
        <v/>
      </c>
      <c r="V22" s="27" t="str">
        <f>_xlfn.LET(_xlpm.maxVal,_xlfn.MAXIFS($K:$K,$A:$A,A22),IF(AND(_xlpm.maxVal=K22,M22&lt;&gt;0),_xlpm.maxVal,""))</f>
        <v/>
      </c>
      <c r="W22" s="27" t="str">
        <f>_xlfn.LET(_xlpm.maxVal,_xlfn.MAXIFS($K:$K,$A:$A,A22),IF(AND(_xlpm.maxVal=K22,N22&lt;&gt;0),_xlpm.maxVal,""))</f>
        <v/>
      </c>
      <c r="X22" s="27" t="str">
        <f>_xlfn.LET(_xlpm.maxVal,_xlfn.MAXIFS($K:$K,$A:$A,A22),IF(AND(_xlpm.maxVal=K22,O22&lt;&gt;0),_xlpm.maxVal,""))</f>
        <v/>
      </c>
      <c r="Y22" s="27" t="str">
        <f>_xlfn.LET(_xlpm.maxVal,_xlfn.MAXIFS($K:$K,$A:$A,A22),IF(AND(_xlpm.maxVal=K22,P22&lt;&gt;0),_xlpm.maxVal,""))</f>
        <v/>
      </c>
      <c r="Z22" s="27" t="str">
        <f>_xlfn.LET(_xlpm.maxVal,_xlfn.MAXIFS($K:$K,$A:$A,A22),IF(AND(_xlpm.maxVal=K22,Q22&lt;&gt;0),_xlpm.maxVal,""))</f>
        <v/>
      </c>
      <c r="AA22" s="27" t="str">
        <f>_xlfn.LET(_xlpm.maxVal,_xlfn.MAXIFS($K:$K,$A:$A,A22),IF(AND(_xlpm.maxVal=K22,R22&lt;&gt;0),_xlpm.maxVal,""))</f>
        <v/>
      </c>
      <c r="AB22" s="27" t="str">
        <f>_xlfn.LET(_xlpm.maxVal,_xlfn.MAXIFS($K:$K,$A:$A,A22),IF(AND(_xlpm.maxVal=K22,S22&lt;&gt;0),_xlpm.maxVal,""))</f>
        <v/>
      </c>
      <c r="AC22" s="27" t="str">
        <f>_xlfn.LET(_xlpm.maxVal,_xlfn.MAXIFS($K:$K,$A:$A,A22),IF(AND(_xlpm.maxVal=K22,T22&lt;&gt;0),_xlpm.maxVal,""))</f>
        <v/>
      </c>
      <c r="AD22" s="27">
        <f>$K22*L22*负载统计!$K$3/60</f>
        <v>0</v>
      </c>
      <c r="AE22" s="27">
        <f>$K22*L22*负载统计!$K$4/60</f>
        <v>0</v>
      </c>
      <c r="AF22" s="27">
        <f>$K22*N22*负载统计!$K$5/60</f>
        <v>0</v>
      </c>
      <c r="AG22" s="27">
        <f>$K22*O22*负载统计!$K$6/60</f>
        <v>0</v>
      </c>
      <c r="AH22" s="27">
        <f>$K22*P22*负载统计!$K$7/60</f>
        <v>0</v>
      </c>
      <c r="AI22" s="27">
        <f>$K22*Q22*负载统计!$K$8/60</f>
        <v>0</v>
      </c>
      <c r="AJ22" s="27">
        <f>$K22*R22*负载统计!$K$9/60</f>
        <v>0</v>
      </c>
      <c r="AK22" s="27">
        <f>$K22*S22*负载统计!$K$10/60</f>
        <v>0</v>
      </c>
      <c r="AL22" s="27">
        <f>$K22*T22*负载统计!$K$11/60</f>
        <v>0</v>
      </c>
    </row>
    <row r="23" spans="1:38">
      <c r="A23" s="24">
        <v>11</v>
      </c>
      <c r="B23" s="28" t="s">
        <v>1314</v>
      </c>
      <c r="C23" s="28" t="s">
        <v>1304</v>
      </c>
      <c r="D23" s="28" t="s">
        <v>169</v>
      </c>
      <c r="E23" s="29" t="s">
        <v>170</v>
      </c>
      <c r="F23" s="29" t="s">
        <v>171</v>
      </c>
      <c r="G23" s="25">
        <f>VLOOKUP(A23,负载电气特性!A:G,7,FALSE)</f>
        <v>28</v>
      </c>
      <c r="H23" s="26" t="s">
        <v>66</v>
      </c>
      <c r="I23" s="25" t="s">
        <v>1706</v>
      </c>
      <c r="J23" s="24" t="s">
        <v>1707</v>
      </c>
      <c r="K23" s="25">
        <v>0.04</v>
      </c>
      <c r="L23" s="25">
        <v>1</v>
      </c>
      <c r="M23" s="25">
        <v>1</v>
      </c>
      <c r="N23" s="25">
        <v>1</v>
      </c>
      <c r="O23" s="25">
        <v>1</v>
      </c>
      <c r="P23" s="25">
        <v>1</v>
      </c>
      <c r="Q23" s="25">
        <v>1</v>
      </c>
      <c r="R23" s="25">
        <v>1</v>
      </c>
      <c r="S23" s="25">
        <v>1</v>
      </c>
      <c r="T23" s="25">
        <v>1</v>
      </c>
      <c r="U23" s="27">
        <f>_xlfn.LET(_xlpm.maxVal,_xlfn.MAXIFS($K:$K,$A:$A,A23),IF(AND(_xlpm.maxVal=K23,L23&lt;&gt;0),_xlpm.maxVal,""))</f>
        <v>0.04</v>
      </c>
      <c r="V23" s="27">
        <f>_xlfn.LET(_xlpm.maxVal,_xlfn.MAXIFS($K:$K,$A:$A,A23),IF(AND(_xlpm.maxVal=K23,M23&lt;&gt;0),_xlpm.maxVal,""))</f>
        <v>0.04</v>
      </c>
      <c r="W23" s="27">
        <f>_xlfn.LET(_xlpm.maxVal,_xlfn.MAXIFS($K:$K,$A:$A,A23),IF(AND(_xlpm.maxVal=K23,N23&lt;&gt;0),_xlpm.maxVal,""))</f>
        <v>0.04</v>
      </c>
      <c r="X23" s="27">
        <f>_xlfn.LET(_xlpm.maxVal,_xlfn.MAXIFS($K:$K,$A:$A,A23),IF(AND(_xlpm.maxVal=K23,O23&lt;&gt;0),_xlpm.maxVal,""))</f>
        <v>0.04</v>
      </c>
      <c r="Y23" s="27">
        <f>_xlfn.LET(_xlpm.maxVal,_xlfn.MAXIFS($K:$K,$A:$A,A23),IF(AND(_xlpm.maxVal=K23,P23&lt;&gt;0),_xlpm.maxVal,""))</f>
        <v>0.04</v>
      </c>
      <c r="Z23" s="27">
        <f>_xlfn.LET(_xlpm.maxVal,_xlfn.MAXIFS($K:$K,$A:$A,A23),IF(AND(_xlpm.maxVal=K23,Q23&lt;&gt;0),_xlpm.maxVal,""))</f>
        <v>0.04</v>
      </c>
      <c r="AA23" s="27">
        <f>_xlfn.LET(_xlpm.maxVal,_xlfn.MAXIFS($K:$K,$A:$A,A23),IF(AND(_xlpm.maxVal=K23,R23&lt;&gt;0),_xlpm.maxVal,""))</f>
        <v>0.04</v>
      </c>
      <c r="AB23" s="27">
        <f>_xlfn.LET(_xlpm.maxVal,_xlfn.MAXIFS($K:$K,$A:$A,A23),IF(AND(_xlpm.maxVal=K23,S23&lt;&gt;0),_xlpm.maxVal,""))</f>
        <v>0.04</v>
      </c>
      <c r="AC23" s="27">
        <f>_xlfn.LET(_xlpm.maxVal,_xlfn.MAXIFS($K:$K,$A:$A,A23),IF(AND(_xlpm.maxVal=K23,T23&lt;&gt;0),_xlpm.maxVal,""))</f>
        <v>0.04</v>
      </c>
      <c r="AD23" s="27">
        <f>$K23*L23*负载统计!$K$3/60</f>
        <v>0</v>
      </c>
      <c r="AE23" s="27">
        <f>$K23*L23*负载统计!$K$4/60</f>
        <v>0</v>
      </c>
      <c r="AF23" s="27">
        <f>$K23*N23*负载统计!$K$5/60</f>
        <v>0.000666666666666667</v>
      </c>
      <c r="AG23" s="27">
        <f>$K23*O23*负载统计!$K$6/60</f>
        <v>0.002</v>
      </c>
      <c r="AH23" s="27">
        <f>$K23*P23*负载统计!$K$7/60</f>
        <v>0.00451333333333333</v>
      </c>
      <c r="AI23" s="27">
        <f>$K23*Q23*负载统计!$K$8/60</f>
        <v>0.0290666666666667</v>
      </c>
      <c r="AJ23" s="27">
        <f>$K23*R23*负载统计!$K$9/60</f>
        <v>0.00923333333333333</v>
      </c>
      <c r="AK23" s="27">
        <f>$K23*S23*负载统计!$K$10/60</f>
        <v>0.000333333333333333</v>
      </c>
      <c r="AL23" s="27">
        <f>$K23*T23*负载统计!$K$11/60</f>
        <v>0.00266666666666667</v>
      </c>
    </row>
    <row r="24" spans="1:38">
      <c r="A24" s="24">
        <v>11</v>
      </c>
      <c r="B24" s="28" t="s">
        <v>1314</v>
      </c>
      <c r="C24" s="28" t="s">
        <v>1304</v>
      </c>
      <c r="D24" s="28" t="s">
        <v>169</v>
      </c>
      <c r="E24" s="29" t="s">
        <v>170</v>
      </c>
      <c r="F24" s="29" t="s">
        <v>171</v>
      </c>
      <c r="G24" s="25">
        <f>VLOOKUP(A24,负载电气特性!A:G,7,FALSE)</f>
        <v>28</v>
      </c>
      <c r="H24" s="26" t="s">
        <v>66</v>
      </c>
      <c r="I24" s="25" t="s">
        <v>1706</v>
      </c>
      <c r="J24" s="24" t="s">
        <v>1708</v>
      </c>
      <c r="K24" s="25">
        <v>0</v>
      </c>
      <c r="L24" s="25">
        <v>0</v>
      </c>
      <c r="M24" s="25">
        <v>0</v>
      </c>
      <c r="N24" s="25">
        <v>0</v>
      </c>
      <c r="O24" s="25">
        <v>0</v>
      </c>
      <c r="P24" s="25">
        <v>0</v>
      </c>
      <c r="Q24" s="25">
        <v>0</v>
      </c>
      <c r="R24" s="25">
        <v>0</v>
      </c>
      <c r="S24" s="25">
        <v>0</v>
      </c>
      <c r="T24" s="25">
        <v>0</v>
      </c>
      <c r="U24" s="27" t="str">
        <f>_xlfn.LET(_xlpm.maxVal,_xlfn.MAXIFS($K:$K,$A:$A,A24),IF(AND(_xlpm.maxVal=K24,L24&lt;&gt;0),_xlpm.maxVal,""))</f>
        <v/>
      </c>
      <c r="V24" s="27" t="str">
        <f>_xlfn.LET(_xlpm.maxVal,_xlfn.MAXIFS($K:$K,$A:$A,A24),IF(AND(_xlpm.maxVal=K24,M24&lt;&gt;0),_xlpm.maxVal,""))</f>
        <v/>
      </c>
      <c r="W24" s="27" t="str">
        <f>_xlfn.LET(_xlpm.maxVal,_xlfn.MAXIFS($K:$K,$A:$A,A24),IF(AND(_xlpm.maxVal=K24,N24&lt;&gt;0),_xlpm.maxVal,""))</f>
        <v/>
      </c>
      <c r="X24" s="27" t="str">
        <f>_xlfn.LET(_xlpm.maxVal,_xlfn.MAXIFS($K:$K,$A:$A,A24),IF(AND(_xlpm.maxVal=K24,O24&lt;&gt;0),_xlpm.maxVal,""))</f>
        <v/>
      </c>
      <c r="Y24" s="27" t="str">
        <f>_xlfn.LET(_xlpm.maxVal,_xlfn.MAXIFS($K:$K,$A:$A,A24),IF(AND(_xlpm.maxVal=K24,P24&lt;&gt;0),_xlpm.maxVal,""))</f>
        <v/>
      </c>
      <c r="Z24" s="27" t="str">
        <f>_xlfn.LET(_xlpm.maxVal,_xlfn.MAXIFS($K:$K,$A:$A,A24),IF(AND(_xlpm.maxVal=K24,Q24&lt;&gt;0),_xlpm.maxVal,""))</f>
        <v/>
      </c>
      <c r="AA24" s="27" t="str">
        <f>_xlfn.LET(_xlpm.maxVal,_xlfn.MAXIFS($K:$K,$A:$A,A24),IF(AND(_xlpm.maxVal=K24,R24&lt;&gt;0),_xlpm.maxVal,""))</f>
        <v/>
      </c>
      <c r="AB24" s="27" t="str">
        <f>_xlfn.LET(_xlpm.maxVal,_xlfn.MAXIFS($K:$K,$A:$A,A24),IF(AND(_xlpm.maxVal=K24,S24&lt;&gt;0),_xlpm.maxVal,""))</f>
        <v/>
      </c>
      <c r="AC24" s="27" t="str">
        <f>_xlfn.LET(_xlpm.maxVal,_xlfn.MAXIFS($K:$K,$A:$A,A24),IF(AND(_xlpm.maxVal=K24,T24&lt;&gt;0),_xlpm.maxVal,""))</f>
        <v/>
      </c>
      <c r="AD24" s="27">
        <f>$K24*L24*负载统计!$K$3/60</f>
        <v>0</v>
      </c>
      <c r="AE24" s="27">
        <f>$K24*L24*负载统计!$K$4/60</f>
        <v>0</v>
      </c>
      <c r="AF24" s="27">
        <f>$K24*N24*负载统计!$K$5/60</f>
        <v>0</v>
      </c>
      <c r="AG24" s="27">
        <f>$K24*O24*负载统计!$K$6/60</f>
        <v>0</v>
      </c>
      <c r="AH24" s="27">
        <f>$K24*P24*负载统计!$K$7/60</f>
        <v>0</v>
      </c>
      <c r="AI24" s="27">
        <f>$K24*Q24*负载统计!$K$8/60</f>
        <v>0</v>
      </c>
      <c r="AJ24" s="27">
        <f>$K24*R24*负载统计!$K$9/60</f>
        <v>0</v>
      </c>
      <c r="AK24" s="27">
        <f>$K24*S24*负载统计!$K$10/60</f>
        <v>0</v>
      </c>
      <c r="AL24" s="27">
        <f>$K24*T24*负载统计!$K$11/60</f>
        <v>0</v>
      </c>
    </row>
    <row r="25" spans="1:38">
      <c r="A25" s="1">
        <v>12</v>
      </c>
      <c r="B25" s="25" t="s">
        <v>1315</v>
      </c>
      <c r="C25" s="25" t="s">
        <v>1304</v>
      </c>
      <c r="D25" s="25" t="s">
        <v>1316</v>
      </c>
      <c r="E25" s="25" t="s">
        <v>173</v>
      </c>
      <c r="F25" s="25" t="s">
        <v>174</v>
      </c>
      <c r="G25" s="25">
        <f>VLOOKUP(A25,负载电气特性!A:G,7,FALSE)</f>
        <v>28</v>
      </c>
      <c r="H25" s="26" t="s">
        <v>66</v>
      </c>
      <c r="I25" s="25" t="s">
        <v>1706</v>
      </c>
      <c r="J25" s="24" t="s">
        <v>1707</v>
      </c>
      <c r="K25" s="25">
        <v>0.1</v>
      </c>
      <c r="L25" s="25">
        <v>1</v>
      </c>
      <c r="M25" s="25">
        <v>1</v>
      </c>
      <c r="N25" s="25">
        <v>1</v>
      </c>
      <c r="O25" s="25">
        <v>1</v>
      </c>
      <c r="P25" s="25">
        <v>1</v>
      </c>
      <c r="Q25" s="25">
        <v>1</v>
      </c>
      <c r="R25" s="25">
        <v>1</v>
      </c>
      <c r="S25" s="25">
        <v>1</v>
      </c>
      <c r="T25" s="25">
        <v>1</v>
      </c>
      <c r="U25" s="27">
        <f>_xlfn.LET(_xlpm.maxVal,_xlfn.MAXIFS($K:$K,$A:$A,A25),IF(AND(_xlpm.maxVal=K25,L25&lt;&gt;0),_xlpm.maxVal,""))</f>
        <v>0.1</v>
      </c>
      <c r="V25" s="27">
        <f>_xlfn.LET(_xlpm.maxVal,_xlfn.MAXIFS($K:$K,$A:$A,A25),IF(AND(_xlpm.maxVal=K25,M25&lt;&gt;0),_xlpm.maxVal,""))</f>
        <v>0.1</v>
      </c>
      <c r="W25" s="27">
        <f>_xlfn.LET(_xlpm.maxVal,_xlfn.MAXIFS($K:$K,$A:$A,A25),IF(AND(_xlpm.maxVal=K25,N25&lt;&gt;0),_xlpm.maxVal,""))</f>
        <v>0.1</v>
      </c>
      <c r="X25" s="27">
        <f>_xlfn.LET(_xlpm.maxVal,_xlfn.MAXIFS($K:$K,$A:$A,A25),IF(AND(_xlpm.maxVal=K25,O25&lt;&gt;0),_xlpm.maxVal,""))</f>
        <v>0.1</v>
      </c>
      <c r="Y25" s="27">
        <f>_xlfn.LET(_xlpm.maxVal,_xlfn.MAXIFS($K:$K,$A:$A,A25),IF(AND(_xlpm.maxVal=K25,P25&lt;&gt;0),_xlpm.maxVal,""))</f>
        <v>0.1</v>
      </c>
      <c r="Z25" s="27">
        <f>_xlfn.LET(_xlpm.maxVal,_xlfn.MAXIFS($K:$K,$A:$A,A25),IF(AND(_xlpm.maxVal=K25,Q25&lt;&gt;0),_xlpm.maxVal,""))</f>
        <v>0.1</v>
      </c>
      <c r="AA25" s="27">
        <f>_xlfn.LET(_xlpm.maxVal,_xlfn.MAXIFS($K:$K,$A:$A,A25),IF(AND(_xlpm.maxVal=K25,R25&lt;&gt;0),_xlpm.maxVal,""))</f>
        <v>0.1</v>
      </c>
      <c r="AB25" s="27">
        <f>_xlfn.LET(_xlpm.maxVal,_xlfn.MAXIFS($K:$K,$A:$A,A25),IF(AND(_xlpm.maxVal=K25,S25&lt;&gt;0),_xlpm.maxVal,""))</f>
        <v>0.1</v>
      </c>
      <c r="AC25" s="27">
        <f>_xlfn.LET(_xlpm.maxVal,_xlfn.MAXIFS($K:$K,$A:$A,A25),IF(AND(_xlpm.maxVal=K25,T25&lt;&gt;0),_xlpm.maxVal,""))</f>
        <v>0.1</v>
      </c>
      <c r="AD25" s="27">
        <f>$K25*L25*负载统计!$K$3/60</f>
        <v>0</v>
      </c>
      <c r="AE25" s="27">
        <f>$K25*L25*负载统计!$K$4/60</f>
        <v>0</v>
      </c>
      <c r="AF25" s="27">
        <f>$K25*N25*负载统计!$K$5/60</f>
        <v>0.00166666666666667</v>
      </c>
      <c r="AG25" s="27">
        <f>$K25*O25*负载统计!$K$6/60</f>
        <v>0.005</v>
      </c>
      <c r="AH25" s="27">
        <f>$K25*P25*负载统计!$K$7/60</f>
        <v>0.0112833333333333</v>
      </c>
      <c r="AI25" s="27">
        <f>$K25*Q25*负载统计!$K$8/60</f>
        <v>0.0726666666666667</v>
      </c>
      <c r="AJ25" s="27">
        <f>$K25*R25*负载统计!$K$9/60</f>
        <v>0.0230833333333333</v>
      </c>
      <c r="AK25" s="27">
        <f>$K25*S25*负载统计!$K$10/60</f>
        <v>0.000833333333333333</v>
      </c>
      <c r="AL25" s="27">
        <f>$K25*T25*负载统计!$K$11/60</f>
        <v>0.00666666666666667</v>
      </c>
    </row>
    <row r="26" spans="1:38">
      <c r="A26" s="1">
        <v>12</v>
      </c>
      <c r="B26" s="25" t="s">
        <v>1315</v>
      </c>
      <c r="C26" s="25" t="s">
        <v>1304</v>
      </c>
      <c r="D26" s="25" t="s">
        <v>1316</v>
      </c>
      <c r="E26" s="25" t="s">
        <v>173</v>
      </c>
      <c r="F26" s="25" t="s">
        <v>174</v>
      </c>
      <c r="G26" s="25">
        <f>VLOOKUP(A26,负载电气特性!A:G,7,FALSE)</f>
        <v>28</v>
      </c>
      <c r="H26" s="26" t="s">
        <v>66</v>
      </c>
      <c r="I26" s="25" t="s">
        <v>1706</v>
      </c>
      <c r="J26" s="24" t="s">
        <v>1708</v>
      </c>
      <c r="K26" s="25">
        <v>0</v>
      </c>
      <c r="L26" s="25">
        <v>0</v>
      </c>
      <c r="M26" s="25">
        <v>0</v>
      </c>
      <c r="N26" s="25">
        <v>0</v>
      </c>
      <c r="O26" s="25">
        <v>0</v>
      </c>
      <c r="P26" s="25">
        <v>0</v>
      </c>
      <c r="Q26" s="25">
        <v>0</v>
      </c>
      <c r="R26" s="25">
        <v>0</v>
      </c>
      <c r="S26" s="25">
        <v>0</v>
      </c>
      <c r="T26" s="25">
        <v>0</v>
      </c>
      <c r="U26" s="27" t="str">
        <f>_xlfn.LET(_xlpm.maxVal,_xlfn.MAXIFS($K:$K,$A:$A,A26),IF(AND(_xlpm.maxVal=K26,L26&lt;&gt;0),_xlpm.maxVal,""))</f>
        <v/>
      </c>
      <c r="V26" s="27" t="str">
        <f>_xlfn.LET(_xlpm.maxVal,_xlfn.MAXIFS($K:$K,$A:$A,A26),IF(AND(_xlpm.maxVal=K26,M26&lt;&gt;0),_xlpm.maxVal,""))</f>
        <v/>
      </c>
      <c r="W26" s="27" t="str">
        <f>_xlfn.LET(_xlpm.maxVal,_xlfn.MAXIFS($K:$K,$A:$A,A26),IF(AND(_xlpm.maxVal=K26,N26&lt;&gt;0),_xlpm.maxVal,""))</f>
        <v/>
      </c>
      <c r="X26" s="27" t="str">
        <f>_xlfn.LET(_xlpm.maxVal,_xlfn.MAXIFS($K:$K,$A:$A,A26),IF(AND(_xlpm.maxVal=K26,O26&lt;&gt;0),_xlpm.maxVal,""))</f>
        <v/>
      </c>
      <c r="Y26" s="27" t="str">
        <f>_xlfn.LET(_xlpm.maxVal,_xlfn.MAXIFS($K:$K,$A:$A,A26),IF(AND(_xlpm.maxVal=K26,P26&lt;&gt;0),_xlpm.maxVal,""))</f>
        <v/>
      </c>
      <c r="Z26" s="27" t="str">
        <f>_xlfn.LET(_xlpm.maxVal,_xlfn.MAXIFS($K:$K,$A:$A,A26),IF(AND(_xlpm.maxVal=K26,Q26&lt;&gt;0),_xlpm.maxVal,""))</f>
        <v/>
      </c>
      <c r="AA26" s="27" t="str">
        <f>_xlfn.LET(_xlpm.maxVal,_xlfn.MAXIFS($K:$K,$A:$A,A26),IF(AND(_xlpm.maxVal=K26,R26&lt;&gt;0),_xlpm.maxVal,""))</f>
        <v/>
      </c>
      <c r="AB26" s="27" t="str">
        <f>_xlfn.LET(_xlpm.maxVal,_xlfn.MAXIFS($K:$K,$A:$A,A26),IF(AND(_xlpm.maxVal=K26,S26&lt;&gt;0),_xlpm.maxVal,""))</f>
        <v/>
      </c>
      <c r="AC26" s="27" t="str">
        <f>_xlfn.LET(_xlpm.maxVal,_xlfn.MAXIFS($K:$K,$A:$A,A26),IF(AND(_xlpm.maxVal=K26,T26&lt;&gt;0),_xlpm.maxVal,""))</f>
        <v/>
      </c>
      <c r="AD26" s="27">
        <f>$K26*L26*负载统计!$K$3/60</f>
        <v>0</v>
      </c>
      <c r="AE26" s="27">
        <f>$K26*L26*负载统计!$K$4/60</f>
        <v>0</v>
      </c>
      <c r="AF26" s="27">
        <f>$K26*N26*负载统计!$K$5/60</f>
        <v>0</v>
      </c>
      <c r="AG26" s="27">
        <f>$K26*O26*负载统计!$K$6/60</f>
        <v>0</v>
      </c>
      <c r="AH26" s="27">
        <f>$K26*P26*负载统计!$K$7/60</f>
        <v>0</v>
      </c>
      <c r="AI26" s="27">
        <f>$K26*Q26*负载统计!$K$8/60</f>
        <v>0</v>
      </c>
      <c r="AJ26" s="27">
        <f>$K26*R26*负载统计!$K$9/60</f>
        <v>0</v>
      </c>
      <c r="AK26" s="27">
        <f>$K26*S26*负载统计!$K$10/60</f>
        <v>0</v>
      </c>
      <c r="AL26" s="27">
        <f>$K26*T26*负载统计!$K$11/60</f>
        <v>0</v>
      </c>
    </row>
    <row r="27" spans="1:38">
      <c r="A27" s="1">
        <v>13</v>
      </c>
      <c r="B27" s="25" t="s">
        <v>1317</v>
      </c>
      <c r="C27" s="25" t="s">
        <v>1304</v>
      </c>
      <c r="D27" s="25" t="s">
        <v>1318</v>
      </c>
      <c r="E27" s="25" t="s">
        <v>176</v>
      </c>
      <c r="F27" s="25" t="s">
        <v>177</v>
      </c>
      <c r="G27" s="25">
        <f>VLOOKUP(A27,负载电气特性!A:G,7,FALSE)</f>
        <v>28</v>
      </c>
      <c r="H27" s="26" t="s">
        <v>66</v>
      </c>
      <c r="I27" s="25" t="s">
        <v>1706</v>
      </c>
      <c r="J27" s="24" t="s">
        <v>1707</v>
      </c>
      <c r="K27" s="25">
        <v>0.1</v>
      </c>
      <c r="L27" s="25">
        <v>1</v>
      </c>
      <c r="M27" s="25">
        <v>1</v>
      </c>
      <c r="N27" s="25">
        <v>1</v>
      </c>
      <c r="O27" s="25">
        <v>1</v>
      </c>
      <c r="P27" s="25">
        <v>1</v>
      </c>
      <c r="Q27" s="25">
        <v>1</v>
      </c>
      <c r="R27" s="25">
        <v>1</v>
      </c>
      <c r="S27" s="25">
        <v>1</v>
      </c>
      <c r="T27" s="25">
        <v>1</v>
      </c>
      <c r="U27" s="27">
        <f>_xlfn.LET(_xlpm.maxVal,_xlfn.MAXIFS($K:$K,$A:$A,A27),IF(AND(_xlpm.maxVal=K27,L27&lt;&gt;0),_xlpm.maxVal,""))</f>
        <v>0.1</v>
      </c>
      <c r="V27" s="27">
        <f>_xlfn.LET(_xlpm.maxVal,_xlfn.MAXIFS($K:$K,$A:$A,A27),IF(AND(_xlpm.maxVal=K27,M27&lt;&gt;0),_xlpm.maxVal,""))</f>
        <v>0.1</v>
      </c>
      <c r="W27" s="27">
        <f>_xlfn.LET(_xlpm.maxVal,_xlfn.MAXIFS($K:$K,$A:$A,A27),IF(AND(_xlpm.maxVal=K27,N27&lt;&gt;0),_xlpm.maxVal,""))</f>
        <v>0.1</v>
      </c>
      <c r="X27" s="27">
        <f>_xlfn.LET(_xlpm.maxVal,_xlfn.MAXIFS($K:$K,$A:$A,A27),IF(AND(_xlpm.maxVal=K27,O27&lt;&gt;0),_xlpm.maxVal,""))</f>
        <v>0.1</v>
      </c>
      <c r="Y27" s="27">
        <f>_xlfn.LET(_xlpm.maxVal,_xlfn.MAXIFS($K:$K,$A:$A,A27),IF(AND(_xlpm.maxVal=K27,P27&lt;&gt;0),_xlpm.maxVal,""))</f>
        <v>0.1</v>
      </c>
      <c r="Z27" s="27">
        <f>_xlfn.LET(_xlpm.maxVal,_xlfn.MAXIFS($K:$K,$A:$A,A27),IF(AND(_xlpm.maxVal=K27,Q27&lt;&gt;0),_xlpm.maxVal,""))</f>
        <v>0.1</v>
      </c>
      <c r="AA27" s="27">
        <f>_xlfn.LET(_xlpm.maxVal,_xlfn.MAXIFS($K:$K,$A:$A,A27),IF(AND(_xlpm.maxVal=K27,R27&lt;&gt;0),_xlpm.maxVal,""))</f>
        <v>0.1</v>
      </c>
      <c r="AB27" s="27">
        <f>_xlfn.LET(_xlpm.maxVal,_xlfn.MAXIFS($K:$K,$A:$A,A27),IF(AND(_xlpm.maxVal=K27,S27&lt;&gt;0),_xlpm.maxVal,""))</f>
        <v>0.1</v>
      </c>
      <c r="AC27" s="27">
        <f>_xlfn.LET(_xlpm.maxVal,_xlfn.MAXIFS($K:$K,$A:$A,A27),IF(AND(_xlpm.maxVal=K27,T27&lt;&gt;0),_xlpm.maxVal,""))</f>
        <v>0.1</v>
      </c>
      <c r="AD27" s="27">
        <f>$K27*L27*负载统计!$K$3/60</f>
        <v>0</v>
      </c>
      <c r="AE27" s="27">
        <f>$K27*L27*负载统计!$K$4/60</f>
        <v>0</v>
      </c>
      <c r="AF27" s="27">
        <f>$K27*N27*负载统计!$K$5/60</f>
        <v>0.00166666666666667</v>
      </c>
      <c r="AG27" s="27">
        <f>$K27*O27*负载统计!$K$6/60</f>
        <v>0.005</v>
      </c>
      <c r="AH27" s="27">
        <f>$K27*P27*负载统计!$K$7/60</f>
        <v>0.0112833333333333</v>
      </c>
      <c r="AI27" s="27">
        <f>$K27*Q27*负载统计!$K$8/60</f>
        <v>0.0726666666666667</v>
      </c>
      <c r="AJ27" s="27">
        <f>$K27*R27*负载统计!$K$9/60</f>
        <v>0.0230833333333333</v>
      </c>
      <c r="AK27" s="27">
        <f>$K27*S27*负载统计!$K$10/60</f>
        <v>0.000833333333333333</v>
      </c>
      <c r="AL27" s="27">
        <f>$K27*T27*负载统计!$K$11/60</f>
        <v>0.00666666666666667</v>
      </c>
    </row>
    <row r="28" spans="1:38">
      <c r="A28" s="1">
        <v>13</v>
      </c>
      <c r="B28" s="25" t="s">
        <v>1317</v>
      </c>
      <c r="C28" s="25" t="s">
        <v>1304</v>
      </c>
      <c r="D28" s="25" t="s">
        <v>1318</v>
      </c>
      <c r="E28" s="25" t="s">
        <v>176</v>
      </c>
      <c r="F28" s="25" t="s">
        <v>177</v>
      </c>
      <c r="G28" s="25">
        <f>VLOOKUP(A28,负载电气特性!A:G,7,FALSE)</f>
        <v>28</v>
      </c>
      <c r="H28" s="26" t="s">
        <v>66</v>
      </c>
      <c r="I28" s="25" t="s">
        <v>1706</v>
      </c>
      <c r="J28" s="24" t="s">
        <v>1708</v>
      </c>
      <c r="K28" s="25">
        <v>0</v>
      </c>
      <c r="L28" s="25">
        <v>0</v>
      </c>
      <c r="M28" s="25">
        <v>0</v>
      </c>
      <c r="N28" s="25">
        <v>0</v>
      </c>
      <c r="O28" s="25">
        <v>0</v>
      </c>
      <c r="P28" s="25">
        <v>0</v>
      </c>
      <c r="Q28" s="25">
        <v>0</v>
      </c>
      <c r="R28" s="25">
        <v>0</v>
      </c>
      <c r="S28" s="25">
        <v>0</v>
      </c>
      <c r="T28" s="25">
        <v>0</v>
      </c>
      <c r="U28" s="27" t="str">
        <f>_xlfn.LET(_xlpm.maxVal,_xlfn.MAXIFS($K:$K,$A:$A,A28),IF(AND(_xlpm.maxVal=K28,L28&lt;&gt;0),_xlpm.maxVal,""))</f>
        <v/>
      </c>
      <c r="V28" s="27" t="str">
        <f>_xlfn.LET(_xlpm.maxVal,_xlfn.MAXIFS($K:$K,$A:$A,A28),IF(AND(_xlpm.maxVal=K28,M28&lt;&gt;0),_xlpm.maxVal,""))</f>
        <v/>
      </c>
      <c r="W28" s="27" t="str">
        <f>_xlfn.LET(_xlpm.maxVal,_xlfn.MAXIFS($K:$K,$A:$A,A28),IF(AND(_xlpm.maxVal=K28,N28&lt;&gt;0),_xlpm.maxVal,""))</f>
        <v/>
      </c>
      <c r="X28" s="27" t="str">
        <f>_xlfn.LET(_xlpm.maxVal,_xlfn.MAXIFS($K:$K,$A:$A,A28),IF(AND(_xlpm.maxVal=K28,O28&lt;&gt;0),_xlpm.maxVal,""))</f>
        <v/>
      </c>
      <c r="Y28" s="27" t="str">
        <f>_xlfn.LET(_xlpm.maxVal,_xlfn.MAXIFS($K:$K,$A:$A,A28),IF(AND(_xlpm.maxVal=K28,P28&lt;&gt;0),_xlpm.maxVal,""))</f>
        <v/>
      </c>
      <c r="Z28" s="27" t="str">
        <f>_xlfn.LET(_xlpm.maxVal,_xlfn.MAXIFS($K:$K,$A:$A,A28),IF(AND(_xlpm.maxVal=K28,Q28&lt;&gt;0),_xlpm.maxVal,""))</f>
        <v/>
      </c>
      <c r="AA28" s="27" t="str">
        <f>_xlfn.LET(_xlpm.maxVal,_xlfn.MAXIFS($K:$K,$A:$A,A28),IF(AND(_xlpm.maxVal=K28,R28&lt;&gt;0),_xlpm.maxVal,""))</f>
        <v/>
      </c>
      <c r="AB28" s="27" t="str">
        <f>_xlfn.LET(_xlpm.maxVal,_xlfn.MAXIFS($K:$K,$A:$A,A28),IF(AND(_xlpm.maxVal=K28,S28&lt;&gt;0),_xlpm.maxVal,""))</f>
        <v/>
      </c>
      <c r="AC28" s="27" t="str">
        <f>_xlfn.LET(_xlpm.maxVal,_xlfn.MAXIFS($K:$K,$A:$A,A28),IF(AND(_xlpm.maxVal=K28,T28&lt;&gt;0),_xlpm.maxVal,""))</f>
        <v/>
      </c>
      <c r="AD28" s="27">
        <f>$K28*L28*负载统计!$K$3/60</f>
        <v>0</v>
      </c>
      <c r="AE28" s="27">
        <f>$K28*L28*负载统计!$K$4/60</f>
        <v>0</v>
      </c>
      <c r="AF28" s="27">
        <f>$K28*N28*负载统计!$K$5/60</f>
        <v>0</v>
      </c>
      <c r="AG28" s="27">
        <f>$K28*O28*负载统计!$K$6/60</f>
        <v>0</v>
      </c>
      <c r="AH28" s="27">
        <f>$K28*P28*负载统计!$K$7/60</f>
        <v>0</v>
      </c>
      <c r="AI28" s="27">
        <f>$K28*Q28*负载统计!$K$8/60</f>
        <v>0</v>
      </c>
      <c r="AJ28" s="27">
        <f>$K28*R28*负载统计!$K$9/60</f>
        <v>0</v>
      </c>
      <c r="AK28" s="27">
        <f>$K28*S28*负载统计!$K$10/60</f>
        <v>0</v>
      </c>
      <c r="AL28" s="27">
        <f>$K28*T28*负载统计!$K$11/60</f>
        <v>0</v>
      </c>
    </row>
    <row r="29" spans="1:38">
      <c r="A29" s="1">
        <v>14</v>
      </c>
      <c r="B29" s="25" t="s">
        <v>1319</v>
      </c>
      <c r="C29" s="25" t="s">
        <v>1304</v>
      </c>
      <c r="D29" s="25" t="s">
        <v>1320</v>
      </c>
      <c r="E29" s="25" t="s">
        <v>180</v>
      </c>
      <c r="F29" s="25" t="s">
        <v>181</v>
      </c>
      <c r="G29" s="25">
        <f>VLOOKUP(A29,负载电气特性!A:G,7,FALSE)</f>
        <v>28</v>
      </c>
      <c r="H29" s="26" t="s">
        <v>66</v>
      </c>
      <c r="I29" s="25" t="s">
        <v>1706</v>
      </c>
      <c r="J29" s="24" t="s">
        <v>1707</v>
      </c>
      <c r="K29" s="25">
        <v>0.1</v>
      </c>
      <c r="L29" s="25">
        <v>1</v>
      </c>
      <c r="M29" s="25">
        <v>1</v>
      </c>
      <c r="N29" s="25">
        <v>1</v>
      </c>
      <c r="O29" s="25">
        <v>1</v>
      </c>
      <c r="P29" s="25">
        <v>1</v>
      </c>
      <c r="Q29" s="25">
        <v>1</v>
      </c>
      <c r="R29" s="25">
        <v>1</v>
      </c>
      <c r="S29" s="25">
        <v>1</v>
      </c>
      <c r="T29" s="25">
        <v>1</v>
      </c>
      <c r="U29" s="27">
        <f>_xlfn.LET(_xlpm.maxVal,_xlfn.MAXIFS($K:$K,$A:$A,A29),IF(AND(_xlpm.maxVal=K29,L29&lt;&gt;0),_xlpm.maxVal,""))</f>
        <v>0.1</v>
      </c>
      <c r="V29" s="27">
        <f>_xlfn.LET(_xlpm.maxVal,_xlfn.MAXIFS($K:$K,$A:$A,A29),IF(AND(_xlpm.maxVal=K29,M29&lt;&gt;0),_xlpm.maxVal,""))</f>
        <v>0.1</v>
      </c>
      <c r="W29" s="27">
        <f>_xlfn.LET(_xlpm.maxVal,_xlfn.MAXIFS($K:$K,$A:$A,A29),IF(AND(_xlpm.maxVal=K29,N29&lt;&gt;0),_xlpm.maxVal,""))</f>
        <v>0.1</v>
      </c>
      <c r="X29" s="27">
        <f>_xlfn.LET(_xlpm.maxVal,_xlfn.MAXIFS($K:$K,$A:$A,A29),IF(AND(_xlpm.maxVal=K29,O29&lt;&gt;0),_xlpm.maxVal,""))</f>
        <v>0.1</v>
      </c>
      <c r="Y29" s="27">
        <f>_xlfn.LET(_xlpm.maxVal,_xlfn.MAXIFS($K:$K,$A:$A,A29),IF(AND(_xlpm.maxVal=K29,P29&lt;&gt;0),_xlpm.maxVal,""))</f>
        <v>0.1</v>
      </c>
      <c r="Z29" s="27">
        <f>_xlfn.LET(_xlpm.maxVal,_xlfn.MAXIFS($K:$K,$A:$A,A29),IF(AND(_xlpm.maxVal=K29,Q29&lt;&gt;0),_xlpm.maxVal,""))</f>
        <v>0.1</v>
      </c>
      <c r="AA29" s="27">
        <f>_xlfn.LET(_xlpm.maxVal,_xlfn.MAXIFS($K:$K,$A:$A,A29),IF(AND(_xlpm.maxVal=K29,R29&lt;&gt;0),_xlpm.maxVal,""))</f>
        <v>0.1</v>
      </c>
      <c r="AB29" s="27">
        <f>_xlfn.LET(_xlpm.maxVal,_xlfn.MAXIFS($K:$K,$A:$A,A29),IF(AND(_xlpm.maxVal=K29,S29&lt;&gt;0),_xlpm.maxVal,""))</f>
        <v>0.1</v>
      </c>
      <c r="AC29" s="27">
        <f>_xlfn.LET(_xlpm.maxVal,_xlfn.MAXIFS($K:$K,$A:$A,A29),IF(AND(_xlpm.maxVal=K29,T29&lt;&gt;0),_xlpm.maxVal,""))</f>
        <v>0.1</v>
      </c>
      <c r="AD29" s="27">
        <f>$K29*L29*负载统计!$K$3/60</f>
        <v>0</v>
      </c>
      <c r="AE29" s="27">
        <f>$K29*L29*负载统计!$K$4/60</f>
        <v>0</v>
      </c>
      <c r="AF29" s="27">
        <f>$K29*N29*负载统计!$K$5/60</f>
        <v>0.00166666666666667</v>
      </c>
      <c r="AG29" s="27">
        <f>$K29*O29*负载统计!$K$6/60</f>
        <v>0.005</v>
      </c>
      <c r="AH29" s="27">
        <f>$K29*P29*负载统计!$K$7/60</f>
        <v>0.0112833333333333</v>
      </c>
      <c r="AI29" s="27">
        <f>$K29*Q29*负载统计!$K$8/60</f>
        <v>0.0726666666666667</v>
      </c>
      <c r="AJ29" s="27">
        <f>$K29*R29*负载统计!$K$9/60</f>
        <v>0.0230833333333333</v>
      </c>
      <c r="AK29" s="27">
        <f>$K29*S29*负载统计!$K$10/60</f>
        <v>0.000833333333333333</v>
      </c>
      <c r="AL29" s="27">
        <f>$K29*T29*负载统计!$K$11/60</f>
        <v>0.00666666666666667</v>
      </c>
    </row>
    <row r="30" spans="1:38">
      <c r="A30" s="1">
        <v>14</v>
      </c>
      <c r="B30" s="25" t="s">
        <v>1319</v>
      </c>
      <c r="C30" s="25" t="s">
        <v>1304</v>
      </c>
      <c r="D30" s="25" t="s">
        <v>1320</v>
      </c>
      <c r="E30" s="25" t="s">
        <v>180</v>
      </c>
      <c r="F30" s="25" t="s">
        <v>181</v>
      </c>
      <c r="G30" s="25">
        <f>VLOOKUP(A30,负载电气特性!A:G,7,FALSE)</f>
        <v>28</v>
      </c>
      <c r="H30" s="26" t="s">
        <v>66</v>
      </c>
      <c r="I30" s="25" t="s">
        <v>1706</v>
      </c>
      <c r="J30" s="24" t="s">
        <v>1708</v>
      </c>
      <c r="K30" s="25">
        <v>0</v>
      </c>
      <c r="L30" s="25">
        <v>0</v>
      </c>
      <c r="M30" s="25">
        <v>0</v>
      </c>
      <c r="N30" s="25">
        <v>0</v>
      </c>
      <c r="O30" s="25">
        <v>0</v>
      </c>
      <c r="P30" s="25">
        <v>0</v>
      </c>
      <c r="Q30" s="25">
        <v>0</v>
      </c>
      <c r="R30" s="25">
        <v>0</v>
      </c>
      <c r="S30" s="25">
        <v>0</v>
      </c>
      <c r="T30" s="25">
        <v>0</v>
      </c>
      <c r="U30" s="27" t="str">
        <f>_xlfn.LET(_xlpm.maxVal,_xlfn.MAXIFS($K:$K,$A:$A,A30),IF(AND(_xlpm.maxVal=K30,L30&lt;&gt;0),_xlpm.maxVal,""))</f>
        <v/>
      </c>
      <c r="V30" s="27" t="str">
        <f>_xlfn.LET(_xlpm.maxVal,_xlfn.MAXIFS($K:$K,$A:$A,A30),IF(AND(_xlpm.maxVal=K30,M30&lt;&gt;0),_xlpm.maxVal,""))</f>
        <v/>
      </c>
      <c r="W30" s="27" t="str">
        <f>_xlfn.LET(_xlpm.maxVal,_xlfn.MAXIFS($K:$K,$A:$A,A30),IF(AND(_xlpm.maxVal=K30,N30&lt;&gt;0),_xlpm.maxVal,""))</f>
        <v/>
      </c>
      <c r="X30" s="27" t="str">
        <f>_xlfn.LET(_xlpm.maxVal,_xlfn.MAXIFS($K:$K,$A:$A,A30),IF(AND(_xlpm.maxVal=K30,O30&lt;&gt;0),_xlpm.maxVal,""))</f>
        <v/>
      </c>
      <c r="Y30" s="27" t="str">
        <f>_xlfn.LET(_xlpm.maxVal,_xlfn.MAXIFS($K:$K,$A:$A,A30),IF(AND(_xlpm.maxVal=K30,P30&lt;&gt;0),_xlpm.maxVal,""))</f>
        <v/>
      </c>
      <c r="Z30" s="27" t="str">
        <f>_xlfn.LET(_xlpm.maxVal,_xlfn.MAXIFS($K:$K,$A:$A,A30),IF(AND(_xlpm.maxVal=K30,Q30&lt;&gt;0),_xlpm.maxVal,""))</f>
        <v/>
      </c>
      <c r="AA30" s="27" t="str">
        <f>_xlfn.LET(_xlpm.maxVal,_xlfn.MAXIFS($K:$K,$A:$A,A30),IF(AND(_xlpm.maxVal=K30,R30&lt;&gt;0),_xlpm.maxVal,""))</f>
        <v/>
      </c>
      <c r="AB30" s="27" t="str">
        <f>_xlfn.LET(_xlpm.maxVal,_xlfn.MAXIFS($K:$K,$A:$A,A30),IF(AND(_xlpm.maxVal=K30,S30&lt;&gt;0),_xlpm.maxVal,""))</f>
        <v/>
      </c>
      <c r="AC30" s="27" t="str">
        <f>_xlfn.LET(_xlpm.maxVal,_xlfn.MAXIFS($K:$K,$A:$A,A30),IF(AND(_xlpm.maxVal=K30,T30&lt;&gt;0),_xlpm.maxVal,""))</f>
        <v/>
      </c>
      <c r="AD30" s="27">
        <f>$K30*L30*负载统计!$K$3/60</f>
        <v>0</v>
      </c>
      <c r="AE30" s="27">
        <f>$K30*L30*负载统计!$K$4/60</f>
        <v>0</v>
      </c>
      <c r="AF30" s="27">
        <f>$K30*N30*负载统计!$K$5/60</f>
        <v>0</v>
      </c>
      <c r="AG30" s="27">
        <f>$K30*O30*负载统计!$K$6/60</f>
        <v>0</v>
      </c>
      <c r="AH30" s="27">
        <f>$K30*P30*负载统计!$K$7/60</f>
        <v>0</v>
      </c>
      <c r="AI30" s="27">
        <f>$K30*Q30*负载统计!$K$8/60</f>
        <v>0</v>
      </c>
      <c r="AJ30" s="27">
        <f>$K30*R30*负载统计!$K$9/60</f>
        <v>0</v>
      </c>
      <c r="AK30" s="27">
        <f>$K30*S30*负载统计!$K$10/60</f>
        <v>0</v>
      </c>
      <c r="AL30" s="27">
        <f>$K30*T30*负载统计!$K$11/60</f>
        <v>0</v>
      </c>
    </row>
    <row r="31" spans="1:38">
      <c r="A31" s="1">
        <v>15</v>
      </c>
      <c r="B31" s="25" t="s">
        <v>1321</v>
      </c>
      <c r="C31" s="25" t="s">
        <v>1304</v>
      </c>
      <c r="D31" s="25" t="s">
        <v>1322</v>
      </c>
      <c r="E31" s="25" t="s">
        <v>184</v>
      </c>
      <c r="F31" s="25" t="s">
        <v>185</v>
      </c>
      <c r="G31" s="25">
        <f>VLOOKUP(A31,负载电气特性!A:G,7,FALSE)</f>
        <v>28</v>
      </c>
      <c r="H31" s="26" t="s">
        <v>66</v>
      </c>
      <c r="I31" s="25" t="s">
        <v>1706</v>
      </c>
      <c r="J31" s="24" t="s">
        <v>1707</v>
      </c>
      <c r="K31" s="25">
        <v>0.1</v>
      </c>
      <c r="L31" s="25">
        <v>1</v>
      </c>
      <c r="M31" s="25">
        <v>1</v>
      </c>
      <c r="N31" s="25">
        <v>1</v>
      </c>
      <c r="O31" s="25">
        <v>1</v>
      </c>
      <c r="P31" s="25">
        <v>1</v>
      </c>
      <c r="Q31" s="25">
        <v>1</v>
      </c>
      <c r="R31" s="25">
        <v>1</v>
      </c>
      <c r="S31" s="25">
        <v>1</v>
      </c>
      <c r="T31" s="25">
        <v>1</v>
      </c>
      <c r="U31" s="27">
        <f>_xlfn.LET(_xlpm.maxVal,_xlfn.MAXIFS($K:$K,$A:$A,A31),IF(AND(_xlpm.maxVal=K31,L31&lt;&gt;0),_xlpm.maxVal,""))</f>
        <v>0.1</v>
      </c>
      <c r="V31" s="27">
        <f>_xlfn.LET(_xlpm.maxVal,_xlfn.MAXIFS($K:$K,$A:$A,A31),IF(AND(_xlpm.maxVal=K31,M31&lt;&gt;0),_xlpm.maxVal,""))</f>
        <v>0.1</v>
      </c>
      <c r="W31" s="27">
        <f>_xlfn.LET(_xlpm.maxVal,_xlfn.MAXIFS($K:$K,$A:$A,A31),IF(AND(_xlpm.maxVal=K31,N31&lt;&gt;0),_xlpm.maxVal,""))</f>
        <v>0.1</v>
      </c>
      <c r="X31" s="27">
        <f>_xlfn.LET(_xlpm.maxVal,_xlfn.MAXIFS($K:$K,$A:$A,A31),IF(AND(_xlpm.maxVal=K31,O31&lt;&gt;0),_xlpm.maxVal,""))</f>
        <v>0.1</v>
      </c>
      <c r="Y31" s="27">
        <f>_xlfn.LET(_xlpm.maxVal,_xlfn.MAXIFS($K:$K,$A:$A,A31),IF(AND(_xlpm.maxVal=K31,P31&lt;&gt;0),_xlpm.maxVal,""))</f>
        <v>0.1</v>
      </c>
      <c r="Z31" s="27">
        <f>_xlfn.LET(_xlpm.maxVal,_xlfn.MAXIFS($K:$K,$A:$A,A31),IF(AND(_xlpm.maxVal=K31,Q31&lt;&gt;0),_xlpm.maxVal,""))</f>
        <v>0.1</v>
      </c>
      <c r="AA31" s="27">
        <f>_xlfn.LET(_xlpm.maxVal,_xlfn.MAXIFS($K:$K,$A:$A,A31),IF(AND(_xlpm.maxVal=K31,R31&lt;&gt;0),_xlpm.maxVal,""))</f>
        <v>0.1</v>
      </c>
      <c r="AB31" s="27">
        <f>_xlfn.LET(_xlpm.maxVal,_xlfn.MAXIFS($K:$K,$A:$A,A31),IF(AND(_xlpm.maxVal=K31,S31&lt;&gt;0),_xlpm.maxVal,""))</f>
        <v>0.1</v>
      </c>
      <c r="AC31" s="27">
        <f>_xlfn.LET(_xlpm.maxVal,_xlfn.MAXIFS($K:$K,$A:$A,A31),IF(AND(_xlpm.maxVal=K31,T31&lt;&gt;0),_xlpm.maxVal,""))</f>
        <v>0.1</v>
      </c>
      <c r="AD31" s="27">
        <f>$K31*L31*负载统计!$K$3/60</f>
        <v>0</v>
      </c>
      <c r="AE31" s="27">
        <f>$K31*L31*负载统计!$K$4/60</f>
        <v>0</v>
      </c>
      <c r="AF31" s="27">
        <f>$K31*N31*负载统计!$K$5/60</f>
        <v>0.00166666666666667</v>
      </c>
      <c r="AG31" s="27">
        <f>$K31*O31*负载统计!$K$6/60</f>
        <v>0.005</v>
      </c>
      <c r="AH31" s="27">
        <f>$K31*P31*负载统计!$K$7/60</f>
        <v>0.0112833333333333</v>
      </c>
      <c r="AI31" s="27">
        <f>$K31*Q31*负载统计!$K$8/60</f>
        <v>0.0726666666666667</v>
      </c>
      <c r="AJ31" s="27">
        <f>$K31*R31*负载统计!$K$9/60</f>
        <v>0.0230833333333333</v>
      </c>
      <c r="AK31" s="27">
        <f>$K31*S31*负载统计!$K$10/60</f>
        <v>0.000833333333333333</v>
      </c>
      <c r="AL31" s="27">
        <f>$K31*T31*负载统计!$K$11/60</f>
        <v>0.00666666666666667</v>
      </c>
    </row>
    <row r="32" spans="1:38">
      <c r="A32" s="1">
        <v>15</v>
      </c>
      <c r="B32" s="25" t="s">
        <v>1321</v>
      </c>
      <c r="C32" s="25" t="s">
        <v>1304</v>
      </c>
      <c r="D32" s="25" t="s">
        <v>1322</v>
      </c>
      <c r="E32" s="25" t="s">
        <v>184</v>
      </c>
      <c r="F32" s="25" t="s">
        <v>185</v>
      </c>
      <c r="G32" s="25">
        <f>VLOOKUP(A32,负载电气特性!A:G,7,FALSE)</f>
        <v>28</v>
      </c>
      <c r="H32" s="26" t="s">
        <v>66</v>
      </c>
      <c r="I32" s="25" t="s">
        <v>1706</v>
      </c>
      <c r="J32" s="24" t="s">
        <v>1708</v>
      </c>
      <c r="K32" s="25">
        <v>0</v>
      </c>
      <c r="L32" s="25">
        <v>0</v>
      </c>
      <c r="M32" s="25">
        <v>0</v>
      </c>
      <c r="N32" s="25">
        <v>0</v>
      </c>
      <c r="O32" s="25">
        <v>0</v>
      </c>
      <c r="P32" s="25">
        <v>0</v>
      </c>
      <c r="Q32" s="25">
        <v>0</v>
      </c>
      <c r="R32" s="25">
        <v>0</v>
      </c>
      <c r="S32" s="25">
        <v>0</v>
      </c>
      <c r="T32" s="25">
        <v>0</v>
      </c>
      <c r="U32" s="27" t="str">
        <f>_xlfn.LET(_xlpm.maxVal,_xlfn.MAXIFS($K:$K,$A:$A,A32),IF(AND(_xlpm.maxVal=K32,L32&lt;&gt;0),_xlpm.maxVal,""))</f>
        <v/>
      </c>
      <c r="V32" s="27" t="str">
        <f>_xlfn.LET(_xlpm.maxVal,_xlfn.MAXIFS($K:$K,$A:$A,A32),IF(AND(_xlpm.maxVal=K32,M32&lt;&gt;0),_xlpm.maxVal,""))</f>
        <v/>
      </c>
      <c r="W32" s="27" t="str">
        <f>_xlfn.LET(_xlpm.maxVal,_xlfn.MAXIFS($K:$K,$A:$A,A32),IF(AND(_xlpm.maxVal=K32,N32&lt;&gt;0),_xlpm.maxVal,""))</f>
        <v/>
      </c>
      <c r="X32" s="27" t="str">
        <f>_xlfn.LET(_xlpm.maxVal,_xlfn.MAXIFS($K:$K,$A:$A,A32),IF(AND(_xlpm.maxVal=K32,O32&lt;&gt;0),_xlpm.maxVal,""))</f>
        <v/>
      </c>
      <c r="Y32" s="27" t="str">
        <f>_xlfn.LET(_xlpm.maxVal,_xlfn.MAXIFS($K:$K,$A:$A,A32),IF(AND(_xlpm.maxVal=K32,P32&lt;&gt;0),_xlpm.maxVal,""))</f>
        <v/>
      </c>
      <c r="Z32" s="27" t="str">
        <f>_xlfn.LET(_xlpm.maxVal,_xlfn.MAXIFS($K:$K,$A:$A,A32),IF(AND(_xlpm.maxVal=K32,Q32&lt;&gt;0),_xlpm.maxVal,""))</f>
        <v/>
      </c>
      <c r="AA32" s="27" t="str">
        <f>_xlfn.LET(_xlpm.maxVal,_xlfn.MAXIFS($K:$K,$A:$A,A32),IF(AND(_xlpm.maxVal=K32,R32&lt;&gt;0),_xlpm.maxVal,""))</f>
        <v/>
      </c>
      <c r="AB32" s="27" t="str">
        <f>_xlfn.LET(_xlpm.maxVal,_xlfn.MAXIFS($K:$K,$A:$A,A32),IF(AND(_xlpm.maxVal=K32,S32&lt;&gt;0),_xlpm.maxVal,""))</f>
        <v/>
      </c>
      <c r="AC32" s="27" t="str">
        <f>_xlfn.LET(_xlpm.maxVal,_xlfn.MAXIFS($K:$K,$A:$A,A32),IF(AND(_xlpm.maxVal=K32,T32&lt;&gt;0),_xlpm.maxVal,""))</f>
        <v/>
      </c>
      <c r="AD32" s="27">
        <f>$K32*L32*负载统计!$K$3/60</f>
        <v>0</v>
      </c>
      <c r="AE32" s="27">
        <f>$K32*L32*负载统计!$K$4/60</f>
        <v>0</v>
      </c>
      <c r="AF32" s="27">
        <f>$K32*N32*负载统计!$K$5/60</f>
        <v>0</v>
      </c>
      <c r="AG32" s="27">
        <f>$K32*O32*负载统计!$K$6/60</f>
        <v>0</v>
      </c>
      <c r="AH32" s="27">
        <f>$K32*P32*负载统计!$K$7/60</f>
        <v>0</v>
      </c>
      <c r="AI32" s="27">
        <f>$K32*Q32*负载统计!$K$8/60</f>
        <v>0</v>
      </c>
      <c r="AJ32" s="27">
        <f>$K32*R32*负载统计!$K$9/60</f>
        <v>0</v>
      </c>
      <c r="AK32" s="27">
        <f>$K32*S32*负载统计!$K$10/60</f>
        <v>0</v>
      </c>
      <c r="AL32" s="27">
        <f>$K32*T32*负载统计!$K$11/60</f>
        <v>0</v>
      </c>
    </row>
    <row r="33" spans="1:38">
      <c r="A33" s="1">
        <v>16</v>
      </c>
      <c r="B33" s="25" t="s">
        <v>1323</v>
      </c>
      <c r="C33" s="25" t="s">
        <v>1324</v>
      </c>
      <c r="D33" s="25" t="s">
        <v>196</v>
      </c>
      <c r="E33" s="25" t="s">
        <v>197</v>
      </c>
      <c r="F33" s="25" t="s">
        <v>198</v>
      </c>
      <c r="G33" s="25">
        <f>VLOOKUP(A33,负载电气特性!A:G,7,FALSE)</f>
        <v>28</v>
      </c>
      <c r="H33" s="26" t="s">
        <v>66</v>
      </c>
      <c r="I33" s="25" t="s">
        <v>1706</v>
      </c>
      <c r="J33" s="24" t="s">
        <v>1707</v>
      </c>
      <c r="K33" s="25">
        <v>0.005</v>
      </c>
      <c r="L33" s="25">
        <v>1</v>
      </c>
      <c r="M33" s="25">
        <v>1</v>
      </c>
      <c r="N33" s="25">
        <v>1</v>
      </c>
      <c r="O33" s="25">
        <v>1</v>
      </c>
      <c r="P33" s="25">
        <v>1</v>
      </c>
      <c r="Q33" s="25">
        <v>1</v>
      </c>
      <c r="R33" s="25">
        <v>1</v>
      </c>
      <c r="S33" s="25">
        <v>1</v>
      </c>
      <c r="T33" s="25">
        <v>1</v>
      </c>
      <c r="U33" s="27">
        <f>_xlfn.LET(_xlpm.maxVal,_xlfn.MAXIFS($K:$K,$A:$A,A33),IF(AND(_xlpm.maxVal=K33,L33&lt;&gt;0),_xlpm.maxVal,""))</f>
        <v>0.005</v>
      </c>
      <c r="V33" s="27">
        <f>_xlfn.LET(_xlpm.maxVal,_xlfn.MAXIFS($K:$K,$A:$A,A33),IF(AND(_xlpm.maxVal=K33,M33&lt;&gt;0),_xlpm.maxVal,""))</f>
        <v>0.005</v>
      </c>
      <c r="W33" s="27">
        <f>_xlfn.LET(_xlpm.maxVal,_xlfn.MAXIFS($K:$K,$A:$A,A33),IF(AND(_xlpm.maxVal=K33,N33&lt;&gt;0),_xlpm.maxVal,""))</f>
        <v>0.005</v>
      </c>
      <c r="X33" s="27">
        <f>_xlfn.LET(_xlpm.maxVal,_xlfn.MAXIFS($K:$K,$A:$A,A33),IF(AND(_xlpm.maxVal=K33,O33&lt;&gt;0),_xlpm.maxVal,""))</f>
        <v>0.005</v>
      </c>
      <c r="Y33" s="27">
        <f>_xlfn.LET(_xlpm.maxVal,_xlfn.MAXIFS($K:$K,$A:$A,A33),IF(AND(_xlpm.maxVal=K33,P33&lt;&gt;0),_xlpm.maxVal,""))</f>
        <v>0.005</v>
      </c>
      <c r="Z33" s="27">
        <f>_xlfn.LET(_xlpm.maxVal,_xlfn.MAXIFS($K:$K,$A:$A,A33),IF(AND(_xlpm.maxVal=K33,Q33&lt;&gt;0),_xlpm.maxVal,""))</f>
        <v>0.005</v>
      </c>
      <c r="AA33" s="27">
        <f>_xlfn.LET(_xlpm.maxVal,_xlfn.MAXIFS($K:$K,$A:$A,A33),IF(AND(_xlpm.maxVal=K33,R33&lt;&gt;0),_xlpm.maxVal,""))</f>
        <v>0.005</v>
      </c>
      <c r="AB33" s="27">
        <f>_xlfn.LET(_xlpm.maxVal,_xlfn.MAXIFS($K:$K,$A:$A,A33),IF(AND(_xlpm.maxVal=K33,S33&lt;&gt;0),_xlpm.maxVal,""))</f>
        <v>0.005</v>
      </c>
      <c r="AC33" s="27">
        <f>_xlfn.LET(_xlpm.maxVal,_xlfn.MAXIFS($K:$K,$A:$A,A33),IF(AND(_xlpm.maxVal=K33,T33&lt;&gt;0),_xlpm.maxVal,""))</f>
        <v>0.005</v>
      </c>
      <c r="AD33" s="27">
        <f>$K33*L33*负载统计!$K$3/60</f>
        <v>0</v>
      </c>
      <c r="AE33" s="27">
        <f>$K33*L33*负载统计!$K$4/60</f>
        <v>0</v>
      </c>
      <c r="AF33" s="27">
        <f>$K33*N33*负载统计!$K$5/60</f>
        <v>8.33333333333333e-5</v>
      </c>
      <c r="AG33" s="27">
        <f>$K33*O33*负载统计!$K$6/60</f>
        <v>0.00025</v>
      </c>
      <c r="AH33" s="27">
        <f>$K33*P33*负载统计!$K$7/60</f>
        <v>0.000564166666666667</v>
      </c>
      <c r="AI33" s="27">
        <f>$K33*Q33*负载统计!$K$8/60</f>
        <v>0.00363333333333333</v>
      </c>
      <c r="AJ33" s="27">
        <f>$K33*R33*负载统计!$K$9/60</f>
        <v>0.00115416666666667</v>
      </c>
      <c r="AK33" s="27">
        <f>$K33*S33*负载统计!$K$10/60</f>
        <v>4.16666666666667e-5</v>
      </c>
      <c r="AL33" s="27">
        <f>$K33*T33*负载统计!$K$11/60</f>
        <v>0.000333333333333333</v>
      </c>
    </row>
    <row r="34" spans="1:38">
      <c r="A34" s="1">
        <v>16</v>
      </c>
      <c r="B34" s="25" t="s">
        <v>1323</v>
      </c>
      <c r="C34" s="25" t="s">
        <v>1324</v>
      </c>
      <c r="D34" s="25" t="s">
        <v>196</v>
      </c>
      <c r="E34" s="25" t="s">
        <v>197</v>
      </c>
      <c r="F34" s="25" t="s">
        <v>198</v>
      </c>
      <c r="G34" s="25">
        <f>VLOOKUP(A34,负载电气特性!A:G,7,FALSE)</f>
        <v>28</v>
      </c>
      <c r="H34" s="26" t="s">
        <v>66</v>
      </c>
      <c r="I34" s="25" t="s">
        <v>1706</v>
      </c>
      <c r="J34" s="24" t="s">
        <v>1708</v>
      </c>
      <c r="K34" s="25">
        <v>0</v>
      </c>
      <c r="L34" s="25">
        <v>0</v>
      </c>
      <c r="M34" s="25">
        <v>0</v>
      </c>
      <c r="N34" s="25">
        <v>0</v>
      </c>
      <c r="O34" s="25">
        <v>0</v>
      </c>
      <c r="P34" s="25">
        <v>0</v>
      </c>
      <c r="Q34" s="25">
        <v>0</v>
      </c>
      <c r="R34" s="25">
        <v>0</v>
      </c>
      <c r="S34" s="25">
        <v>0</v>
      </c>
      <c r="T34" s="25">
        <v>0</v>
      </c>
      <c r="U34" s="27" t="str">
        <f>_xlfn.LET(_xlpm.maxVal,_xlfn.MAXIFS($K:$K,$A:$A,A34),IF(AND(_xlpm.maxVal=K34,L34&lt;&gt;0),_xlpm.maxVal,""))</f>
        <v/>
      </c>
      <c r="V34" s="27" t="str">
        <f>_xlfn.LET(_xlpm.maxVal,_xlfn.MAXIFS($K:$K,$A:$A,A34),IF(AND(_xlpm.maxVal=K34,M34&lt;&gt;0),_xlpm.maxVal,""))</f>
        <v/>
      </c>
      <c r="W34" s="27" t="str">
        <f>_xlfn.LET(_xlpm.maxVal,_xlfn.MAXIFS($K:$K,$A:$A,A34),IF(AND(_xlpm.maxVal=K34,N34&lt;&gt;0),_xlpm.maxVal,""))</f>
        <v/>
      </c>
      <c r="X34" s="27" t="str">
        <f>_xlfn.LET(_xlpm.maxVal,_xlfn.MAXIFS($K:$K,$A:$A,A34),IF(AND(_xlpm.maxVal=K34,O34&lt;&gt;0),_xlpm.maxVal,""))</f>
        <v/>
      </c>
      <c r="Y34" s="27" t="str">
        <f>_xlfn.LET(_xlpm.maxVal,_xlfn.MAXIFS($K:$K,$A:$A,A34),IF(AND(_xlpm.maxVal=K34,P34&lt;&gt;0),_xlpm.maxVal,""))</f>
        <v/>
      </c>
      <c r="Z34" s="27" t="str">
        <f>_xlfn.LET(_xlpm.maxVal,_xlfn.MAXIFS($K:$K,$A:$A,A34),IF(AND(_xlpm.maxVal=K34,Q34&lt;&gt;0),_xlpm.maxVal,""))</f>
        <v/>
      </c>
      <c r="AA34" s="27" t="str">
        <f>_xlfn.LET(_xlpm.maxVal,_xlfn.MAXIFS($K:$K,$A:$A,A34),IF(AND(_xlpm.maxVal=K34,R34&lt;&gt;0),_xlpm.maxVal,""))</f>
        <v/>
      </c>
      <c r="AB34" s="27" t="str">
        <f>_xlfn.LET(_xlpm.maxVal,_xlfn.MAXIFS($K:$K,$A:$A,A34),IF(AND(_xlpm.maxVal=K34,S34&lt;&gt;0),_xlpm.maxVal,""))</f>
        <v/>
      </c>
      <c r="AC34" s="27" t="str">
        <f>_xlfn.LET(_xlpm.maxVal,_xlfn.MAXIFS($K:$K,$A:$A,A34),IF(AND(_xlpm.maxVal=K34,T34&lt;&gt;0),_xlpm.maxVal,""))</f>
        <v/>
      </c>
      <c r="AD34" s="27">
        <f>$K34*L34*负载统计!$K$3/60</f>
        <v>0</v>
      </c>
      <c r="AE34" s="27">
        <f>$K34*L34*负载统计!$K$4/60</f>
        <v>0</v>
      </c>
      <c r="AF34" s="27">
        <f>$K34*N34*负载统计!$K$5/60</f>
        <v>0</v>
      </c>
      <c r="AG34" s="27">
        <f>$K34*O34*负载统计!$K$6/60</f>
        <v>0</v>
      </c>
      <c r="AH34" s="27">
        <f>$K34*P34*负载统计!$K$7/60</f>
        <v>0</v>
      </c>
      <c r="AI34" s="27">
        <f>$K34*Q34*负载统计!$K$8/60</f>
        <v>0</v>
      </c>
      <c r="AJ34" s="27">
        <f>$K34*R34*负载统计!$K$9/60</f>
        <v>0</v>
      </c>
      <c r="AK34" s="27">
        <f>$K34*S34*负载统计!$K$10/60</f>
        <v>0</v>
      </c>
      <c r="AL34" s="27">
        <f>$K34*T34*负载统计!$K$11/60</f>
        <v>0</v>
      </c>
    </row>
    <row r="35" spans="1:38">
      <c r="A35" s="1">
        <v>17</v>
      </c>
      <c r="B35" s="25" t="s">
        <v>1325</v>
      </c>
      <c r="C35" s="25" t="s">
        <v>1324</v>
      </c>
      <c r="D35" s="25" t="s">
        <v>199</v>
      </c>
      <c r="E35" s="25" t="s">
        <v>200</v>
      </c>
      <c r="F35" s="25" t="s">
        <v>201</v>
      </c>
      <c r="G35" s="25">
        <f>VLOOKUP(A35,负载电气特性!A:G,7,FALSE)</f>
        <v>28</v>
      </c>
      <c r="H35" s="26" t="s">
        <v>66</v>
      </c>
      <c r="I35" s="25" t="s">
        <v>1706</v>
      </c>
      <c r="J35" s="24" t="s">
        <v>1707</v>
      </c>
      <c r="K35" s="25">
        <v>0.005</v>
      </c>
      <c r="L35" s="25">
        <v>1</v>
      </c>
      <c r="M35" s="25">
        <v>1</v>
      </c>
      <c r="N35" s="25">
        <v>1</v>
      </c>
      <c r="O35" s="25">
        <v>1</v>
      </c>
      <c r="P35" s="25">
        <v>1</v>
      </c>
      <c r="Q35" s="25">
        <v>1</v>
      </c>
      <c r="R35" s="25">
        <v>1</v>
      </c>
      <c r="S35" s="25">
        <v>1</v>
      </c>
      <c r="T35" s="25">
        <v>1</v>
      </c>
      <c r="U35" s="27">
        <f>_xlfn.LET(_xlpm.maxVal,_xlfn.MAXIFS($K:$K,$A:$A,A35),IF(AND(_xlpm.maxVal=K35,L35&lt;&gt;0),_xlpm.maxVal,""))</f>
        <v>0.005</v>
      </c>
      <c r="V35" s="27">
        <f>_xlfn.LET(_xlpm.maxVal,_xlfn.MAXIFS($K:$K,$A:$A,A35),IF(AND(_xlpm.maxVal=K35,M35&lt;&gt;0),_xlpm.maxVal,""))</f>
        <v>0.005</v>
      </c>
      <c r="W35" s="27">
        <f>_xlfn.LET(_xlpm.maxVal,_xlfn.MAXIFS($K:$K,$A:$A,A35),IF(AND(_xlpm.maxVal=K35,N35&lt;&gt;0),_xlpm.maxVal,""))</f>
        <v>0.005</v>
      </c>
      <c r="X35" s="27">
        <f>_xlfn.LET(_xlpm.maxVal,_xlfn.MAXIFS($K:$K,$A:$A,A35),IF(AND(_xlpm.maxVal=K35,O35&lt;&gt;0),_xlpm.maxVal,""))</f>
        <v>0.005</v>
      </c>
      <c r="Y35" s="27">
        <f>_xlfn.LET(_xlpm.maxVal,_xlfn.MAXIFS($K:$K,$A:$A,A35),IF(AND(_xlpm.maxVal=K35,P35&lt;&gt;0),_xlpm.maxVal,""))</f>
        <v>0.005</v>
      </c>
      <c r="Z35" s="27">
        <f>_xlfn.LET(_xlpm.maxVal,_xlfn.MAXIFS($K:$K,$A:$A,A35),IF(AND(_xlpm.maxVal=K35,Q35&lt;&gt;0),_xlpm.maxVal,""))</f>
        <v>0.005</v>
      </c>
      <c r="AA35" s="27">
        <f>_xlfn.LET(_xlpm.maxVal,_xlfn.MAXIFS($K:$K,$A:$A,A35),IF(AND(_xlpm.maxVal=K35,R35&lt;&gt;0),_xlpm.maxVal,""))</f>
        <v>0.005</v>
      </c>
      <c r="AB35" s="27">
        <f>_xlfn.LET(_xlpm.maxVal,_xlfn.MAXIFS($K:$K,$A:$A,A35),IF(AND(_xlpm.maxVal=K35,S35&lt;&gt;0),_xlpm.maxVal,""))</f>
        <v>0.005</v>
      </c>
      <c r="AC35" s="27">
        <f>_xlfn.LET(_xlpm.maxVal,_xlfn.MAXIFS($K:$K,$A:$A,A35),IF(AND(_xlpm.maxVal=K35,T35&lt;&gt;0),_xlpm.maxVal,""))</f>
        <v>0.005</v>
      </c>
      <c r="AD35" s="27">
        <f>$K35*L35*负载统计!$K$3/60</f>
        <v>0</v>
      </c>
      <c r="AE35" s="27">
        <f>$K35*L35*负载统计!$K$4/60</f>
        <v>0</v>
      </c>
      <c r="AF35" s="27">
        <f>$K35*N35*负载统计!$K$5/60</f>
        <v>8.33333333333333e-5</v>
      </c>
      <c r="AG35" s="27">
        <f>$K35*O35*负载统计!$K$6/60</f>
        <v>0.00025</v>
      </c>
      <c r="AH35" s="27">
        <f>$K35*P35*负载统计!$K$7/60</f>
        <v>0.000564166666666667</v>
      </c>
      <c r="AI35" s="27">
        <f>$K35*Q35*负载统计!$K$8/60</f>
        <v>0.00363333333333333</v>
      </c>
      <c r="AJ35" s="27">
        <f>$K35*R35*负载统计!$K$9/60</f>
        <v>0.00115416666666667</v>
      </c>
      <c r="AK35" s="27">
        <f>$K35*S35*负载统计!$K$10/60</f>
        <v>4.16666666666667e-5</v>
      </c>
      <c r="AL35" s="27">
        <f>$K35*T35*负载统计!$K$11/60</f>
        <v>0.000333333333333333</v>
      </c>
    </row>
    <row r="36" spans="1:38">
      <c r="A36" s="1">
        <v>17</v>
      </c>
      <c r="B36" s="25" t="s">
        <v>1325</v>
      </c>
      <c r="C36" s="25" t="s">
        <v>1324</v>
      </c>
      <c r="D36" s="25" t="s">
        <v>199</v>
      </c>
      <c r="E36" s="25" t="s">
        <v>200</v>
      </c>
      <c r="F36" s="25" t="s">
        <v>201</v>
      </c>
      <c r="G36" s="25">
        <f>VLOOKUP(A36,负载电气特性!A:G,7,FALSE)</f>
        <v>28</v>
      </c>
      <c r="H36" s="26" t="s">
        <v>66</v>
      </c>
      <c r="I36" s="25" t="s">
        <v>1706</v>
      </c>
      <c r="J36" s="24" t="s">
        <v>1708</v>
      </c>
      <c r="K36" s="25">
        <v>0</v>
      </c>
      <c r="L36" s="25">
        <v>0</v>
      </c>
      <c r="M36" s="25">
        <v>0</v>
      </c>
      <c r="N36" s="25">
        <v>0</v>
      </c>
      <c r="O36" s="25">
        <v>0</v>
      </c>
      <c r="P36" s="25">
        <v>0</v>
      </c>
      <c r="Q36" s="25">
        <v>0</v>
      </c>
      <c r="R36" s="25">
        <v>0</v>
      </c>
      <c r="S36" s="25">
        <v>0</v>
      </c>
      <c r="T36" s="25">
        <v>0</v>
      </c>
      <c r="U36" s="27" t="str">
        <f>_xlfn.LET(_xlpm.maxVal,_xlfn.MAXIFS($K:$K,$A:$A,A36),IF(AND(_xlpm.maxVal=K36,L36&lt;&gt;0),_xlpm.maxVal,""))</f>
        <v/>
      </c>
      <c r="V36" s="27" t="str">
        <f>_xlfn.LET(_xlpm.maxVal,_xlfn.MAXIFS($K:$K,$A:$A,A36),IF(AND(_xlpm.maxVal=K36,M36&lt;&gt;0),_xlpm.maxVal,""))</f>
        <v/>
      </c>
      <c r="W36" s="27" t="str">
        <f>_xlfn.LET(_xlpm.maxVal,_xlfn.MAXIFS($K:$K,$A:$A,A36),IF(AND(_xlpm.maxVal=K36,N36&lt;&gt;0),_xlpm.maxVal,""))</f>
        <v/>
      </c>
      <c r="X36" s="27" t="str">
        <f>_xlfn.LET(_xlpm.maxVal,_xlfn.MAXIFS($K:$K,$A:$A,A36),IF(AND(_xlpm.maxVal=K36,O36&lt;&gt;0),_xlpm.maxVal,""))</f>
        <v/>
      </c>
      <c r="Y36" s="27" t="str">
        <f>_xlfn.LET(_xlpm.maxVal,_xlfn.MAXIFS($K:$K,$A:$A,A36),IF(AND(_xlpm.maxVal=K36,P36&lt;&gt;0),_xlpm.maxVal,""))</f>
        <v/>
      </c>
      <c r="Z36" s="27" t="str">
        <f>_xlfn.LET(_xlpm.maxVal,_xlfn.MAXIFS($K:$K,$A:$A,A36),IF(AND(_xlpm.maxVal=K36,Q36&lt;&gt;0),_xlpm.maxVal,""))</f>
        <v/>
      </c>
      <c r="AA36" s="27" t="str">
        <f>_xlfn.LET(_xlpm.maxVal,_xlfn.MAXIFS($K:$K,$A:$A,A36),IF(AND(_xlpm.maxVal=K36,R36&lt;&gt;0),_xlpm.maxVal,""))</f>
        <v/>
      </c>
      <c r="AB36" s="27" t="str">
        <f>_xlfn.LET(_xlpm.maxVal,_xlfn.MAXIFS($K:$K,$A:$A,A36),IF(AND(_xlpm.maxVal=K36,S36&lt;&gt;0),_xlpm.maxVal,""))</f>
        <v/>
      </c>
      <c r="AC36" s="27" t="str">
        <f>_xlfn.LET(_xlpm.maxVal,_xlfn.MAXIFS($K:$K,$A:$A,A36),IF(AND(_xlpm.maxVal=K36,T36&lt;&gt;0),_xlpm.maxVal,""))</f>
        <v/>
      </c>
      <c r="AD36" s="27">
        <f>$K36*L36*负载统计!$K$3/60</f>
        <v>0</v>
      </c>
      <c r="AE36" s="27">
        <f>$K36*L36*负载统计!$K$4/60</f>
        <v>0</v>
      </c>
      <c r="AF36" s="27">
        <f>$K36*N36*负载统计!$K$5/60</f>
        <v>0</v>
      </c>
      <c r="AG36" s="27">
        <f>$K36*O36*负载统计!$K$6/60</f>
        <v>0</v>
      </c>
      <c r="AH36" s="27">
        <f>$K36*P36*负载统计!$K$7/60</f>
        <v>0</v>
      </c>
      <c r="AI36" s="27">
        <f>$K36*Q36*负载统计!$K$8/60</f>
        <v>0</v>
      </c>
      <c r="AJ36" s="27">
        <f>$K36*R36*负载统计!$K$9/60</f>
        <v>0</v>
      </c>
      <c r="AK36" s="27">
        <f>$K36*S36*负载统计!$K$10/60</f>
        <v>0</v>
      </c>
      <c r="AL36" s="27">
        <f>$K36*T36*负载统计!$K$11/60</f>
        <v>0</v>
      </c>
    </row>
    <row r="37" spans="1:38">
      <c r="A37" s="1">
        <v>18</v>
      </c>
      <c r="B37" s="25" t="s">
        <v>1326</v>
      </c>
      <c r="C37" s="25" t="s">
        <v>1324</v>
      </c>
      <c r="D37" s="25" t="s">
        <v>202</v>
      </c>
      <c r="E37" s="25" t="s">
        <v>203</v>
      </c>
      <c r="F37" s="25" t="s">
        <v>204</v>
      </c>
      <c r="G37" s="25">
        <f>VLOOKUP(A37,负载电气特性!A:G,7,FALSE)</f>
        <v>28</v>
      </c>
      <c r="H37" s="26" t="s">
        <v>66</v>
      </c>
      <c r="I37" s="25" t="s">
        <v>1706</v>
      </c>
      <c r="J37" s="24" t="s">
        <v>1707</v>
      </c>
      <c r="K37" s="25">
        <v>0.005</v>
      </c>
      <c r="L37" s="25">
        <v>1</v>
      </c>
      <c r="M37" s="25">
        <v>1</v>
      </c>
      <c r="N37" s="25">
        <v>1</v>
      </c>
      <c r="O37" s="25">
        <v>1</v>
      </c>
      <c r="P37" s="25">
        <v>1</v>
      </c>
      <c r="Q37" s="25">
        <v>1</v>
      </c>
      <c r="R37" s="25">
        <v>1</v>
      </c>
      <c r="S37" s="25">
        <v>1</v>
      </c>
      <c r="T37" s="25">
        <v>1</v>
      </c>
      <c r="U37" s="27">
        <f>_xlfn.LET(_xlpm.maxVal,_xlfn.MAXIFS($K:$K,$A:$A,A37),IF(AND(_xlpm.maxVal=K37,L37&lt;&gt;0),_xlpm.maxVal,""))</f>
        <v>0.005</v>
      </c>
      <c r="V37" s="27">
        <f>_xlfn.LET(_xlpm.maxVal,_xlfn.MAXIFS($K:$K,$A:$A,A37),IF(AND(_xlpm.maxVal=K37,M37&lt;&gt;0),_xlpm.maxVal,""))</f>
        <v>0.005</v>
      </c>
      <c r="W37" s="27">
        <f>_xlfn.LET(_xlpm.maxVal,_xlfn.MAXIFS($K:$K,$A:$A,A37),IF(AND(_xlpm.maxVal=K37,N37&lt;&gt;0),_xlpm.maxVal,""))</f>
        <v>0.005</v>
      </c>
      <c r="X37" s="27">
        <f>_xlfn.LET(_xlpm.maxVal,_xlfn.MAXIFS($K:$K,$A:$A,A37),IF(AND(_xlpm.maxVal=K37,O37&lt;&gt;0),_xlpm.maxVal,""))</f>
        <v>0.005</v>
      </c>
      <c r="Y37" s="27">
        <f>_xlfn.LET(_xlpm.maxVal,_xlfn.MAXIFS($K:$K,$A:$A,A37),IF(AND(_xlpm.maxVal=K37,P37&lt;&gt;0),_xlpm.maxVal,""))</f>
        <v>0.005</v>
      </c>
      <c r="Z37" s="27">
        <f>_xlfn.LET(_xlpm.maxVal,_xlfn.MAXIFS($K:$K,$A:$A,A37),IF(AND(_xlpm.maxVal=K37,Q37&lt;&gt;0),_xlpm.maxVal,""))</f>
        <v>0.005</v>
      </c>
      <c r="AA37" s="27">
        <f>_xlfn.LET(_xlpm.maxVal,_xlfn.MAXIFS($K:$K,$A:$A,A37),IF(AND(_xlpm.maxVal=K37,R37&lt;&gt;0),_xlpm.maxVal,""))</f>
        <v>0.005</v>
      </c>
      <c r="AB37" s="27">
        <f>_xlfn.LET(_xlpm.maxVal,_xlfn.MAXIFS($K:$K,$A:$A,A37),IF(AND(_xlpm.maxVal=K37,S37&lt;&gt;0),_xlpm.maxVal,""))</f>
        <v>0.005</v>
      </c>
      <c r="AC37" s="27">
        <f>_xlfn.LET(_xlpm.maxVal,_xlfn.MAXIFS($K:$K,$A:$A,A37),IF(AND(_xlpm.maxVal=K37,T37&lt;&gt;0),_xlpm.maxVal,""))</f>
        <v>0.005</v>
      </c>
      <c r="AD37" s="27">
        <f>$K37*L37*负载统计!$K$3/60</f>
        <v>0</v>
      </c>
      <c r="AE37" s="27">
        <f>$K37*L37*负载统计!$K$4/60</f>
        <v>0</v>
      </c>
      <c r="AF37" s="27">
        <f>$K37*N37*负载统计!$K$5/60</f>
        <v>8.33333333333333e-5</v>
      </c>
      <c r="AG37" s="27">
        <f>$K37*O37*负载统计!$K$6/60</f>
        <v>0.00025</v>
      </c>
      <c r="AH37" s="27">
        <f>$K37*P37*负载统计!$K$7/60</f>
        <v>0.000564166666666667</v>
      </c>
      <c r="AI37" s="27">
        <f>$K37*Q37*负载统计!$K$8/60</f>
        <v>0.00363333333333333</v>
      </c>
      <c r="AJ37" s="27">
        <f>$K37*R37*负载统计!$K$9/60</f>
        <v>0.00115416666666667</v>
      </c>
      <c r="AK37" s="27">
        <f>$K37*S37*负载统计!$K$10/60</f>
        <v>4.16666666666667e-5</v>
      </c>
      <c r="AL37" s="27">
        <f>$K37*T37*负载统计!$K$11/60</f>
        <v>0.000333333333333333</v>
      </c>
    </row>
    <row r="38" spans="1:38">
      <c r="A38" s="1">
        <v>18</v>
      </c>
      <c r="B38" s="25" t="s">
        <v>1326</v>
      </c>
      <c r="C38" s="25" t="s">
        <v>1324</v>
      </c>
      <c r="D38" s="25" t="s">
        <v>202</v>
      </c>
      <c r="E38" s="25" t="s">
        <v>203</v>
      </c>
      <c r="F38" s="25" t="s">
        <v>204</v>
      </c>
      <c r="G38" s="25">
        <f>VLOOKUP(A38,负载电气特性!A:G,7,FALSE)</f>
        <v>28</v>
      </c>
      <c r="H38" s="26" t="s">
        <v>66</v>
      </c>
      <c r="I38" s="25" t="s">
        <v>1706</v>
      </c>
      <c r="J38" s="24" t="s">
        <v>1708</v>
      </c>
      <c r="K38" s="25">
        <v>0</v>
      </c>
      <c r="L38" s="25">
        <v>0</v>
      </c>
      <c r="M38" s="25">
        <v>0</v>
      </c>
      <c r="N38" s="25">
        <v>0</v>
      </c>
      <c r="O38" s="25">
        <v>0</v>
      </c>
      <c r="P38" s="25">
        <v>0</v>
      </c>
      <c r="Q38" s="25">
        <v>0</v>
      </c>
      <c r="R38" s="25">
        <v>0</v>
      </c>
      <c r="S38" s="25">
        <v>0</v>
      </c>
      <c r="T38" s="25">
        <v>0</v>
      </c>
      <c r="U38" s="27" t="str">
        <f>_xlfn.LET(_xlpm.maxVal,_xlfn.MAXIFS($K:$K,$A:$A,A38),IF(AND(_xlpm.maxVal=K38,L38&lt;&gt;0),_xlpm.maxVal,""))</f>
        <v/>
      </c>
      <c r="V38" s="27" t="str">
        <f>_xlfn.LET(_xlpm.maxVal,_xlfn.MAXIFS($K:$K,$A:$A,A38),IF(AND(_xlpm.maxVal=K38,M38&lt;&gt;0),_xlpm.maxVal,""))</f>
        <v/>
      </c>
      <c r="W38" s="27" t="str">
        <f>_xlfn.LET(_xlpm.maxVal,_xlfn.MAXIFS($K:$K,$A:$A,A38),IF(AND(_xlpm.maxVal=K38,N38&lt;&gt;0),_xlpm.maxVal,""))</f>
        <v/>
      </c>
      <c r="X38" s="27" t="str">
        <f>_xlfn.LET(_xlpm.maxVal,_xlfn.MAXIFS($K:$K,$A:$A,A38),IF(AND(_xlpm.maxVal=K38,O38&lt;&gt;0),_xlpm.maxVal,""))</f>
        <v/>
      </c>
      <c r="Y38" s="27" t="str">
        <f>_xlfn.LET(_xlpm.maxVal,_xlfn.MAXIFS($K:$K,$A:$A,A38),IF(AND(_xlpm.maxVal=K38,P38&lt;&gt;0),_xlpm.maxVal,""))</f>
        <v/>
      </c>
      <c r="Z38" s="27" t="str">
        <f>_xlfn.LET(_xlpm.maxVal,_xlfn.MAXIFS($K:$K,$A:$A,A38),IF(AND(_xlpm.maxVal=K38,Q38&lt;&gt;0),_xlpm.maxVal,""))</f>
        <v/>
      </c>
      <c r="AA38" s="27" t="str">
        <f>_xlfn.LET(_xlpm.maxVal,_xlfn.MAXIFS($K:$K,$A:$A,A38),IF(AND(_xlpm.maxVal=K38,R38&lt;&gt;0),_xlpm.maxVal,""))</f>
        <v/>
      </c>
      <c r="AB38" s="27" t="str">
        <f>_xlfn.LET(_xlpm.maxVal,_xlfn.MAXIFS($K:$K,$A:$A,A38),IF(AND(_xlpm.maxVal=K38,S38&lt;&gt;0),_xlpm.maxVal,""))</f>
        <v/>
      </c>
      <c r="AC38" s="27" t="str">
        <f>_xlfn.LET(_xlpm.maxVal,_xlfn.MAXIFS($K:$K,$A:$A,A38),IF(AND(_xlpm.maxVal=K38,T38&lt;&gt;0),_xlpm.maxVal,""))</f>
        <v/>
      </c>
      <c r="AD38" s="27">
        <f>$K38*L38*负载统计!$K$3/60</f>
        <v>0</v>
      </c>
      <c r="AE38" s="27">
        <f>$K38*L38*负载统计!$K$4/60</f>
        <v>0</v>
      </c>
      <c r="AF38" s="27">
        <f>$K38*N38*负载统计!$K$5/60</f>
        <v>0</v>
      </c>
      <c r="AG38" s="27">
        <f>$K38*O38*负载统计!$K$6/60</f>
        <v>0</v>
      </c>
      <c r="AH38" s="27">
        <f>$K38*P38*负载统计!$K$7/60</f>
        <v>0</v>
      </c>
      <c r="AI38" s="27">
        <f>$K38*Q38*负载统计!$K$8/60</f>
        <v>0</v>
      </c>
      <c r="AJ38" s="27">
        <f>$K38*R38*负载统计!$K$9/60</f>
        <v>0</v>
      </c>
      <c r="AK38" s="27">
        <f>$K38*S38*负载统计!$K$10/60</f>
        <v>0</v>
      </c>
      <c r="AL38" s="27">
        <f>$K38*T38*负载统计!$K$11/60</f>
        <v>0</v>
      </c>
    </row>
    <row r="39" spans="1:38">
      <c r="A39" s="1">
        <v>19</v>
      </c>
      <c r="B39" s="25" t="s">
        <v>1327</v>
      </c>
      <c r="C39" s="25" t="s">
        <v>1324</v>
      </c>
      <c r="D39" s="25" t="s">
        <v>205</v>
      </c>
      <c r="E39" s="25" t="s">
        <v>206</v>
      </c>
      <c r="F39" s="25" t="s">
        <v>207</v>
      </c>
      <c r="G39" s="25">
        <f>VLOOKUP(A39,负载电气特性!A:G,7,FALSE)</f>
        <v>28</v>
      </c>
      <c r="H39" s="26" t="s">
        <v>66</v>
      </c>
      <c r="I39" s="25" t="s">
        <v>1706</v>
      </c>
      <c r="J39" s="24" t="s">
        <v>1707</v>
      </c>
      <c r="K39" s="25">
        <v>0.028</v>
      </c>
      <c r="L39" s="25">
        <v>1</v>
      </c>
      <c r="M39" s="25">
        <v>1</v>
      </c>
      <c r="N39" s="25">
        <v>1</v>
      </c>
      <c r="O39" s="25">
        <v>1</v>
      </c>
      <c r="P39" s="25">
        <v>1</v>
      </c>
      <c r="Q39" s="25">
        <v>1</v>
      </c>
      <c r="R39" s="25">
        <v>1</v>
      </c>
      <c r="S39" s="25">
        <v>1</v>
      </c>
      <c r="T39" s="25">
        <v>1</v>
      </c>
      <c r="U39" s="27">
        <f>_xlfn.LET(_xlpm.maxVal,_xlfn.MAXIFS($K:$K,$A:$A,A39),IF(AND(_xlpm.maxVal=K39,L39&lt;&gt;0),_xlpm.maxVal,""))</f>
        <v>0.028</v>
      </c>
      <c r="V39" s="27">
        <f>_xlfn.LET(_xlpm.maxVal,_xlfn.MAXIFS($K:$K,$A:$A,A39),IF(AND(_xlpm.maxVal=K39,M39&lt;&gt;0),_xlpm.maxVal,""))</f>
        <v>0.028</v>
      </c>
      <c r="W39" s="27">
        <f>_xlfn.LET(_xlpm.maxVal,_xlfn.MAXIFS($K:$K,$A:$A,A39),IF(AND(_xlpm.maxVal=K39,N39&lt;&gt;0),_xlpm.maxVal,""))</f>
        <v>0.028</v>
      </c>
      <c r="X39" s="27">
        <f>_xlfn.LET(_xlpm.maxVal,_xlfn.MAXIFS($K:$K,$A:$A,A39),IF(AND(_xlpm.maxVal=K39,O39&lt;&gt;0),_xlpm.maxVal,""))</f>
        <v>0.028</v>
      </c>
      <c r="Y39" s="27">
        <f>_xlfn.LET(_xlpm.maxVal,_xlfn.MAXIFS($K:$K,$A:$A,A39),IF(AND(_xlpm.maxVal=K39,P39&lt;&gt;0),_xlpm.maxVal,""))</f>
        <v>0.028</v>
      </c>
      <c r="Z39" s="27">
        <f>_xlfn.LET(_xlpm.maxVal,_xlfn.MAXIFS($K:$K,$A:$A,A39),IF(AND(_xlpm.maxVal=K39,Q39&lt;&gt;0),_xlpm.maxVal,""))</f>
        <v>0.028</v>
      </c>
      <c r="AA39" s="27">
        <f>_xlfn.LET(_xlpm.maxVal,_xlfn.MAXIFS($K:$K,$A:$A,A39),IF(AND(_xlpm.maxVal=K39,R39&lt;&gt;0),_xlpm.maxVal,""))</f>
        <v>0.028</v>
      </c>
      <c r="AB39" s="27">
        <f>_xlfn.LET(_xlpm.maxVal,_xlfn.MAXIFS($K:$K,$A:$A,A39),IF(AND(_xlpm.maxVal=K39,S39&lt;&gt;0),_xlpm.maxVal,""))</f>
        <v>0.028</v>
      </c>
      <c r="AC39" s="27">
        <f>_xlfn.LET(_xlpm.maxVal,_xlfn.MAXIFS($K:$K,$A:$A,A39),IF(AND(_xlpm.maxVal=K39,T39&lt;&gt;0),_xlpm.maxVal,""))</f>
        <v>0.028</v>
      </c>
      <c r="AD39" s="27">
        <f>$K39*L39*负载统计!$K$3/60</f>
        <v>0</v>
      </c>
      <c r="AE39" s="27">
        <f>$K39*L39*负载统计!$K$4/60</f>
        <v>0</v>
      </c>
      <c r="AF39" s="27">
        <f>$K39*N39*负载统计!$K$5/60</f>
        <v>0.000466666666666667</v>
      </c>
      <c r="AG39" s="27">
        <f>$K39*O39*负载统计!$K$6/60</f>
        <v>0.0014</v>
      </c>
      <c r="AH39" s="27">
        <f>$K39*P39*负载统计!$K$7/60</f>
        <v>0.00315933333333333</v>
      </c>
      <c r="AI39" s="27">
        <f>$K39*Q39*负载统计!$K$8/60</f>
        <v>0.0203466666666667</v>
      </c>
      <c r="AJ39" s="27">
        <f>$K39*R39*负载统计!$K$9/60</f>
        <v>0.00646333333333333</v>
      </c>
      <c r="AK39" s="27">
        <f>$K39*S39*负载统计!$K$10/60</f>
        <v>0.000233333333333333</v>
      </c>
      <c r="AL39" s="27">
        <f>$K39*T39*负载统计!$K$11/60</f>
        <v>0.00186666666666667</v>
      </c>
    </row>
    <row r="40" spans="1:38">
      <c r="A40" s="1">
        <v>19</v>
      </c>
      <c r="B40" s="25" t="s">
        <v>1327</v>
      </c>
      <c r="C40" s="25" t="s">
        <v>1324</v>
      </c>
      <c r="D40" s="25" t="s">
        <v>205</v>
      </c>
      <c r="E40" s="25" t="s">
        <v>206</v>
      </c>
      <c r="F40" s="25" t="s">
        <v>207</v>
      </c>
      <c r="G40" s="25">
        <f>VLOOKUP(A40,负载电气特性!A:G,7,FALSE)</f>
        <v>28</v>
      </c>
      <c r="H40" s="26" t="s">
        <v>66</v>
      </c>
      <c r="I40" s="25" t="s">
        <v>1706</v>
      </c>
      <c r="J40" s="24" t="s">
        <v>1708</v>
      </c>
      <c r="K40" s="25">
        <v>0</v>
      </c>
      <c r="L40" s="25">
        <v>0</v>
      </c>
      <c r="M40" s="25">
        <v>0</v>
      </c>
      <c r="N40" s="25">
        <v>0</v>
      </c>
      <c r="O40" s="25">
        <v>0</v>
      </c>
      <c r="P40" s="25">
        <v>0</v>
      </c>
      <c r="Q40" s="25">
        <v>0</v>
      </c>
      <c r="R40" s="25">
        <v>0</v>
      </c>
      <c r="S40" s="25">
        <v>0</v>
      </c>
      <c r="T40" s="25">
        <v>0</v>
      </c>
      <c r="U40" s="27" t="str">
        <f>_xlfn.LET(_xlpm.maxVal,_xlfn.MAXIFS($K:$K,$A:$A,A40),IF(AND(_xlpm.maxVal=K40,L40&lt;&gt;0),_xlpm.maxVal,""))</f>
        <v/>
      </c>
      <c r="V40" s="27" t="str">
        <f>_xlfn.LET(_xlpm.maxVal,_xlfn.MAXIFS($K:$K,$A:$A,A40),IF(AND(_xlpm.maxVal=K40,M40&lt;&gt;0),_xlpm.maxVal,""))</f>
        <v/>
      </c>
      <c r="W40" s="27" t="str">
        <f>_xlfn.LET(_xlpm.maxVal,_xlfn.MAXIFS($K:$K,$A:$A,A40),IF(AND(_xlpm.maxVal=K40,N40&lt;&gt;0),_xlpm.maxVal,""))</f>
        <v/>
      </c>
      <c r="X40" s="27" t="str">
        <f>_xlfn.LET(_xlpm.maxVal,_xlfn.MAXIFS($K:$K,$A:$A,A40),IF(AND(_xlpm.maxVal=K40,O40&lt;&gt;0),_xlpm.maxVal,""))</f>
        <v/>
      </c>
      <c r="Y40" s="27" t="str">
        <f>_xlfn.LET(_xlpm.maxVal,_xlfn.MAXIFS($K:$K,$A:$A,A40),IF(AND(_xlpm.maxVal=K40,P40&lt;&gt;0),_xlpm.maxVal,""))</f>
        <v/>
      </c>
      <c r="Z40" s="27" t="str">
        <f>_xlfn.LET(_xlpm.maxVal,_xlfn.MAXIFS($K:$K,$A:$A,A40),IF(AND(_xlpm.maxVal=K40,Q40&lt;&gt;0),_xlpm.maxVal,""))</f>
        <v/>
      </c>
      <c r="AA40" s="27" t="str">
        <f>_xlfn.LET(_xlpm.maxVal,_xlfn.MAXIFS($K:$K,$A:$A,A40),IF(AND(_xlpm.maxVal=K40,R40&lt;&gt;0),_xlpm.maxVal,""))</f>
        <v/>
      </c>
      <c r="AB40" s="27" t="str">
        <f>_xlfn.LET(_xlpm.maxVal,_xlfn.MAXIFS($K:$K,$A:$A,A40),IF(AND(_xlpm.maxVal=K40,S40&lt;&gt;0),_xlpm.maxVal,""))</f>
        <v/>
      </c>
      <c r="AC40" s="27" t="str">
        <f>_xlfn.LET(_xlpm.maxVal,_xlfn.MAXIFS($K:$K,$A:$A,A40),IF(AND(_xlpm.maxVal=K40,T40&lt;&gt;0),_xlpm.maxVal,""))</f>
        <v/>
      </c>
      <c r="AD40" s="27">
        <f>$K40*L40*负载统计!$K$3/60</f>
        <v>0</v>
      </c>
      <c r="AE40" s="27">
        <f>$K40*L40*负载统计!$K$4/60</f>
        <v>0</v>
      </c>
      <c r="AF40" s="27">
        <f>$K40*N40*负载统计!$K$5/60</f>
        <v>0</v>
      </c>
      <c r="AG40" s="27">
        <f>$K40*O40*负载统计!$K$6/60</f>
        <v>0</v>
      </c>
      <c r="AH40" s="27">
        <f>$K40*P40*负载统计!$K$7/60</f>
        <v>0</v>
      </c>
      <c r="AI40" s="27">
        <f>$K40*Q40*负载统计!$K$8/60</f>
        <v>0</v>
      </c>
      <c r="AJ40" s="27">
        <f>$K40*R40*负载统计!$K$9/60</f>
        <v>0</v>
      </c>
      <c r="AK40" s="27">
        <f>$K40*S40*负载统计!$K$10/60</f>
        <v>0</v>
      </c>
      <c r="AL40" s="27">
        <f>$K40*T40*负载统计!$K$11/60</f>
        <v>0</v>
      </c>
    </row>
    <row r="41" spans="1:38">
      <c r="A41" s="1">
        <v>20</v>
      </c>
      <c r="B41" s="25" t="s">
        <v>1328</v>
      </c>
      <c r="C41" s="25" t="s">
        <v>1329</v>
      </c>
      <c r="D41" s="25" t="s">
        <v>1330</v>
      </c>
      <c r="E41" s="25" t="s">
        <v>310</v>
      </c>
      <c r="F41" s="25" t="s">
        <v>311</v>
      </c>
      <c r="G41" s="25">
        <f>VLOOKUP(A41,负载电气特性!A:G,7,FALSE)</f>
        <v>28</v>
      </c>
      <c r="H41" s="26" t="s">
        <v>66</v>
      </c>
      <c r="I41" s="25" t="s">
        <v>1706</v>
      </c>
      <c r="J41" s="24" t="s">
        <v>1707</v>
      </c>
      <c r="K41" s="25">
        <v>0.065</v>
      </c>
      <c r="L41" s="25">
        <v>1</v>
      </c>
      <c r="M41" s="25">
        <v>1</v>
      </c>
      <c r="N41" s="25">
        <v>1</v>
      </c>
      <c r="O41" s="25">
        <v>1</v>
      </c>
      <c r="P41" s="25">
        <v>1</v>
      </c>
      <c r="Q41" s="25">
        <v>1</v>
      </c>
      <c r="R41" s="25">
        <v>1</v>
      </c>
      <c r="S41" s="25">
        <v>1</v>
      </c>
      <c r="T41" s="25">
        <v>1</v>
      </c>
      <c r="U41" s="27">
        <f>_xlfn.LET(_xlpm.maxVal,_xlfn.MAXIFS($K:$K,$A:$A,A41),IF(AND(_xlpm.maxVal=K41,L41&lt;&gt;0),_xlpm.maxVal,""))</f>
        <v>0.065</v>
      </c>
      <c r="V41" s="27">
        <f>_xlfn.LET(_xlpm.maxVal,_xlfn.MAXIFS($K:$K,$A:$A,A41),IF(AND(_xlpm.maxVal=K41,M41&lt;&gt;0),_xlpm.maxVal,""))</f>
        <v>0.065</v>
      </c>
      <c r="W41" s="27">
        <f>_xlfn.LET(_xlpm.maxVal,_xlfn.MAXIFS($K:$K,$A:$A,A41),IF(AND(_xlpm.maxVal=K41,N41&lt;&gt;0),_xlpm.maxVal,""))</f>
        <v>0.065</v>
      </c>
      <c r="X41" s="27">
        <f>_xlfn.LET(_xlpm.maxVal,_xlfn.MAXIFS($K:$K,$A:$A,A41),IF(AND(_xlpm.maxVal=K41,O41&lt;&gt;0),_xlpm.maxVal,""))</f>
        <v>0.065</v>
      </c>
      <c r="Y41" s="27">
        <f>_xlfn.LET(_xlpm.maxVal,_xlfn.MAXIFS($K:$K,$A:$A,A41),IF(AND(_xlpm.maxVal=K41,P41&lt;&gt;0),_xlpm.maxVal,""))</f>
        <v>0.065</v>
      </c>
      <c r="Z41" s="27">
        <f>_xlfn.LET(_xlpm.maxVal,_xlfn.MAXIFS($K:$K,$A:$A,A41),IF(AND(_xlpm.maxVal=K41,Q41&lt;&gt;0),_xlpm.maxVal,""))</f>
        <v>0.065</v>
      </c>
      <c r="AA41" s="27">
        <f>_xlfn.LET(_xlpm.maxVal,_xlfn.MAXIFS($K:$K,$A:$A,A41),IF(AND(_xlpm.maxVal=K41,R41&lt;&gt;0),_xlpm.maxVal,""))</f>
        <v>0.065</v>
      </c>
      <c r="AB41" s="27">
        <f>_xlfn.LET(_xlpm.maxVal,_xlfn.MAXIFS($K:$K,$A:$A,A41),IF(AND(_xlpm.maxVal=K41,S41&lt;&gt;0),_xlpm.maxVal,""))</f>
        <v>0.065</v>
      </c>
      <c r="AC41" s="27">
        <f>_xlfn.LET(_xlpm.maxVal,_xlfn.MAXIFS($K:$K,$A:$A,A41),IF(AND(_xlpm.maxVal=K41,T41&lt;&gt;0),_xlpm.maxVal,""))</f>
        <v>0.065</v>
      </c>
      <c r="AD41" s="27">
        <f>$K41*L41*负载统计!$K$3/60</f>
        <v>0</v>
      </c>
      <c r="AE41" s="27">
        <f>$K41*L41*负载统计!$K$4/60</f>
        <v>0</v>
      </c>
      <c r="AF41" s="27">
        <f>$K41*N41*负载统计!$K$5/60</f>
        <v>0.00108333333333333</v>
      </c>
      <c r="AG41" s="27">
        <f>$K41*O41*负载统计!$K$6/60</f>
        <v>0.00325</v>
      </c>
      <c r="AH41" s="27">
        <f>$K41*P41*负载统计!$K$7/60</f>
        <v>0.00733416666666667</v>
      </c>
      <c r="AI41" s="27">
        <f>$K41*Q41*负载统计!$K$8/60</f>
        <v>0.0472333333333333</v>
      </c>
      <c r="AJ41" s="27">
        <f>$K41*R41*负载统计!$K$9/60</f>
        <v>0.0150041666666667</v>
      </c>
      <c r="AK41" s="27">
        <f>$K41*S41*负载统计!$K$10/60</f>
        <v>0.000541666666666667</v>
      </c>
      <c r="AL41" s="27">
        <f>$K41*T41*负载统计!$K$11/60</f>
        <v>0.00433333333333333</v>
      </c>
    </row>
    <row r="42" spans="1:38">
      <c r="A42" s="1">
        <v>20</v>
      </c>
      <c r="B42" s="25" t="s">
        <v>1328</v>
      </c>
      <c r="C42" s="25" t="s">
        <v>1329</v>
      </c>
      <c r="D42" s="25" t="s">
        <v>1330</v>
      </c>
      <c r="E42" s="25" t="s">
        <v>310</v>
      </c>
      <c r="F42" s="25" t="s">
        <v>311</v>
      </c>
      <c r="G42" s="25">
        <f>VLOOKUP(A42,负载电气特性!A:G,7,FALSE)</f>
        <v>28</v>
      </c>
      <c r="H42" s="26" t="s">
        <v>66</v>
      </c>
      <c r="I42" s="25" t="s">
        <v>1706</v>
      </c>
      <c r="J42" s="24" t="s">
        <v>1708</v>
      </c>
      <c r="K42" s="25">
        <v>0</v>
      </c>
      <c r="L42" s="25">
        <v>0</v>
      </c>
      <c r="M42" s="25">
        <v>0</v>
      </c>
      <c r="N42" s="25">
        <v>0</v>
      </c>
      <c r="O42" s="25">
        <v>0</v>
      </c>
      <c r="P42" s="25">
        <v>0</v>
      </c>
      <c r="Q42" s="25">
        <v>0</v>
      </c>
      <c r="R42" s="25">
        <v>0</v>
      </c>
      <c r="S42" s="25">
        <v>0</v>
      </c>
      <c r="T42" s="25">
        <v>0</v>
      </c>
      <c r="U42" s="27" t="str">
        <f>_xlfn.LET(_xlpm.maxVal,_xlfn.MAXIFS($K:$K,$A:$A,A42),IF(AND(_xlpm.maxVal=K42,L42&lt;&gt;0),_xlpm.maxVal,""))</f>
        <v/>
      </c>
      <c r="V42" s="27" t="str">
        <f>_xlfn.LET(_xlpm.maxVal,_xlfn.MAXIFS($K:$K,$A:$A,A42),IF(AND(_xlpm.maxVal=K42,M42&lt;&gt;0),_xlpm.maxVal,""))</f>
        <v/>
      </c>
      <c r="W42" s="27" t="str">
        <f>_xlfn.LET(_xlpm.maxVal,_xlfn.MAXIFS($K:$K,$A:$A,A42),IF(AND(_xlpm.maxVal=K42,N42&lt;&gt;0),_xlpm.maxVal,""))</f>
        <v/>
      </c>
      <c r="X42" s="27" t="str">
        <f>_xlfn.LET(_xlpm.maxVal,_xlfn.MAXIFS($K:$K,$A:$A,A42),IF(AND(_xlpm.maxVal=K42,O42&lt;&gt;0),_xlpm.maxVal,""))</f>
        <v/>
      </c>
      <c r="Y42" s="27" t="str">
        <f>_xlfn.LET(_xlpm.maxVal,_xlfn.MAXIFS($K:$K,$A:$A,A42),IF(AND(_xlpm.maxVal=K42,P42&lt;&gt;0),_xlpm.maxVal,""))</f>
        <v/>
      </c>
      <c r="Z42" s="27" t="str">
        <f>_xlfn.LET(_xlpm.maxVal,_xlfn.MAXIFS($K:$K,$A:$A,A42),IF(AND(_xlpm.maxVal=K42,Q42&lt;&gt;0),_xlpm.maxVal,""))</f>
        <v/>
      </c>
      <c r="AA42" s="27" t="str">
        <f>_xlfn.LET(_xlpm.maxVal,_xlfn.MAXIFS($K:$K,$A:$A,A42),IF(AND(_xlpm.maxVal=K42,R42&lt;&gt;0),_xlpm.maxVal,""))</f>
        <v/>
      </c>
      <c r="AB42" s="27" t="str">
        <f>_xlfn.LET(_xlpm.maxVal,_xlfn.MAXIFS($K:$K,$A:$A,A42),IF(AND(_xlpm.maxVal=K42,S42&lt;&gt;0),_xlpm.maxVal,""))</f>
        <v/>
      </c>
      <c r="AC42" s="27" t="str">
        <f>_xlfn.LET(_xlpm.maxVal,_xlfn.MAXIFS($K:$K,$A:$A,A42),IF(AND(_xlpm.maxVal=K42,T42&lt;&gt;0),_xlpm.maxVal,""))</f>
        <v/>
      </c>
      <c r="AD42" s="27">
        <f>$K42*L42*负载统计!$K$3/60</f>
        <v>0</v>
      </c>
      <c r="AE42" s="27">
        <f>$K42*L42*负载统计!$K$4/60</f>
        <v>0</v>
      </c>
      <c r="AF42" s="27">
        <f>$K42*N42*负载统计!$K$5/60</f>
        <v>0</v>
      </c>
      <c r="AG42" s="27">
        <f>$K42*O42*负载统计!$K$6/60</f>
        <v>0</v>
      </c>
      <c r="AH42" s="27">
        <f>$K42*P42*负载统计!$K$7/60</f>
        <v>0</v>
      </c>
      <c r="AI42" s="27">
        <f>$K42*Q42*负载统计!$K$8/60</f>
        <v>0</v>
      </c>
      <c r="AJ42" s="27">
        <f>$K42*R42*负载统计!$K$9/60</f>
        <v>0</v>
      </c>
      <c r="AK42" s="27">
        <f>$K42*S42*负载统计!$K$10/60</f>
        <v>0</v>
      </c>
      <c r="AL42" s="27">
        <f>$K42*T42*负载统计!$K$11/60</f>
        <v>0</v>
      </c>
    </row>
    <row r="43" spans="1:38">
      <c r="A43" s="1">
        <v>21</v>
      </c>
      <c r="B43" s="25" t="s">
        <v>1331</v>
      </c>
      <c r="C43" s="25" t="s">
        <v>1329</v>
      </c>
      <c r="D43" s="25" t="s">
        <v>1332</v>
      </c>
      <c r="E43" s="25" t="s">
        <v>310</v>
      </c>
      <c r="F43" s="25" t="s">
        <v>314</v>
      </c>
      <c r="G43" s="25">
        <f>VLOOKUP(A43,负载电气特性!A:G,7,FALSE)</f>
        <v>28</v>
      </c>
      <c r="H43" s="26" t="s">
        <v>66</v>
      </c>
      <c r="I43" s="25" t="s">
        <v>1706</v>
      </c>
      <c r="J43" s="24" t="s">
        <v>1707</v>
      </c>
      <c r="K43" s="25">
        <v>0.065</v>
      </c>
      <c r="L43" s="25">
        <v>1</v>
      </c>
      <c r="M43" s="25">
        <v>1</v>
      </c>
      <c r="N43" s="25">
        <v>1</v>
      </c>
      <c r="O43" s="25">
        <v>1</v>
      </c>
      <c r="P43" s="25">
        <v>1</v>
      </c>
      <c r="Q43" s="25">
        <v>1</v>
      </c>
      <c r="R43" s="25">
        <v>1</v>
      </c>
      <c r="S43" s="25">
        <v>1</v>
      </c>
      <c r="T43" s="25">
        <v>1</v>
      </c>
      <c r="U43" s="27">
        <f>_xlfn.LET(_xlpm.maxVal,_xlfn.MAXIFS($K:$K,$A:$A,A43),IF(AND(_xlpm.maxVal=K43,L43&lt;&gt;0),_xlpm.maxVal,""))</f>
        <v>0.065</v>
      </c>
      <c r="V43" s="27">
        <f>_xlfn.LET(_xlpm.maxVal,_xlfn.MAXIFS($K:$K,$A:$A,A43),IF(AND(_xlpm.maxVal=K43,M43&lt;&gt;0),_xlpm.maxVal,""))</f>
        <v>0.065</v>
      </c>
      <c r="W43" s="27">
        <f>_xlfn.LET(_xlpm.maxVal,_xlfn.MAXIFS($K:$K,$A:$A,A43),IF(AND(_xlpm.maxVal=K43,N43&lt;&gt;0),_xlpm.maxVal,""))</f>
        <v>0.065</v>
      </c>
      <c r="X43" s="27">
        <f>_xlfn.LET(_xlpm.maxVal,_xlfn.MAXIFS($K:$K,$A:$A,A43),IF(AND(_xlpm.maxVal=K43,O43&lt;&gt;0),_xlpm.maxVal,""))</f>
        <v>0.065</v>
      </c>
      <c r="Y43" s="27">
        <f>_xlfn.LET(_xlpm.maxVal,_xlfn.MAXIFS($K:$K,$A:$A,A43),IF(AND(_xlpm.maxVal=K43,P43&lt;&gt;0),_xlpm.maxVal,""))</f>
        <v>0.065</v>
      </c>
      <c r="Z43" s="27">
        <f>_xlfn.LET(_xlpm.maxVal,_xlfn.MAXIFS($K:$K,$A:$A,A43),IF(AND(_xlpm.maxVal=K43,Q43&lt;&gt;0),_xlpm.maxVal,""))</f>
        <v>0.065</v>
      </c>
      <c r="AA43" s="27">
        <f>_xlfn.LET(_xlpm.maxVal,_xlfn.MAXIFS($K:$K,$A:$A,A43),IF(AND(_xlpm.maxVal=K43,R43&lt;&gt;0),_xlpm.maxVal,""))</f>
        <v>0.065</v>
      </c>
      <c r="AB43" s="27">
        <f>_xlfn.LET(_xlpm.maxVal,_xlfn.MAXIFS($K:$K,$A:$A,A43),IF(AND(_xlpm.maxVal=K43,S43&lt;&gt;0),_xlpm.maxVal,""))</f>
        <v>0.065</v>
      </c>
      <c r="AC43" s="27">
        <f>_xlfn.LET(_xlpm.maxVal,_xlfn.MAXIFS($K:$K,$A:$A,A43),IF(AND(_xlpm.maxVal=K43,T43&lt;&gt;0),_xlpm.maxVal,""))</f>
        <v>0.065</v>
      </c>
      <c r="AD43" s="27">
        <f>$K43*L43*负载统计!$K$3/60</f>
        <v>0</v>
      </c>
      <c r="AE43" s="27">
        <f>$K43*L43*负载统计!$K$4/60</f>
        <v>0</v>
      </c>
      <c r="AF43" s="27">
        <f>$K43*N43*负载统计!$K$5/60</f>
        <v>0.00108333333333333</v>
      </c>
      <c r="AG43" s="27">
        <f>$K43*O43*负载统计!$K$6/60</f>
        <v>0.00325</v>
      </c>
      <c r="AH43" s="27">
        <f>$K43*P43*负载统计!$K$7/60</f>
        <v>0.00733416666666667</v>
      </c>
      <c r="AI43" s="27">
        <f>$K43*Q43*负载统计!$K$8/60</f>
        <v>0.0472333333333333</v>
      </c>
      <c r="AJ43" s="27">
        <f>$K43*R43*负载统计!$K$9/60</f>
        <v>0.0150041666666667</v>
      </c>
      <c r="AK43" s="27">
        <f>$K43*S43*负载统计!$K$10/60</f>
        <v>0.000541666666666667</v>
      </c>
      <c r="AL43" s="27">
        <f>$K43*T43*负载统计!$K$11/60</f>
        <v>0.00433333333333333</v>
      </c>
    </row>
    <row r="44" spans="1:38">
      <c r="A44" s="1">
        <v>21</v>
      </c>
      <c r="B44" s="25" t="s">
        <v>1331</v>
      </c>
      <c r="C44" s="25" t="s">
        <v>1329</v>
      </c>
      <c r="D44" s="25" t="s">
        <v>1332</v>
      </c>
      <c r="E44" s="25" t="s">
        <v>310</v>
      </c>
      <c r="F44" s="25" t="s">
        <v>314</v>
      </c>
      <c r="G44" s="25">
        <f>VLOOKUP(A44,负载电气特性!A:G,7,FALSE)</f>
        <v>28</v>
      </c>
      <c r="H44" s="26" t="s">
        <v>66</v>
      </c>
      <c r="I44" s="25" t="s">
        <v>1706</v>
      </c>
      <c r="J44" s="24" t="s">
        <v>1708</v>
      </c>
      <c r="K44" s="25">
        <v>0</v>
      </c>
      <c r="L44" s="25">
        <v>0</v>
      </c>
      <c r="M44" s="25">
        <v>0</v>
      </c>
      <c r="N44" s="25">
        <v>0</v>
      </c>
      <c r="O44" s="25">
        <v>0</v>
      </c>
      <c r="P44" s="25">
        <v>0</v>
      </c>
      <c r="Q44" s="25">
        <v>0</v>
      </c>
      <c r="R44" s="25">
        <v>0</v>
      </c>
      <c r="S44" s="25">
        <v>0</v>
      </c>
      <c r="T44" s="25">
        <v>0</v>
      </c>
      <c r="U44" s="27" t="str">
        <f>_xlfn.LET(_xlpm.maxVal,_xlfn.MAXIFS($K:$K,$A:$A,A44),IF(AND(_xlpm.maxVal=K44,L44&lt;&gt;0),_xlpm.maxVal,""))</f>
        <v/>
      </c>
      <c r="V44" s="27" t="str">
        <f>_xlfn.LET(_xlpm.maxVal,_xlfn.MAXIFS($K:$K,$A:$A,A44),IF(AND(_xlpm.maxVal=K44,M44&lt;&gt;0),_xlpm.maxVal,""))</f>
        <v/>
      </c>
      <c r="W44" s="27" t="str">
        <f>_xlfn.LET(_xlpm.maxVal,_xlfn.MAXIFS($K:$K,$A:$A,A44),IF(AND(_xlpm.maxVal=K44,N44&lt;&gt;0),_xlpm.maxVal,""))</f>
        <v/>
      </c>
      <c r="X44" s="27" t="str">
        <f>_xlfn.LET(_xlpm.maxVal,_xlfn.MAXIFS($K:$K,$A:$A,A44),IF(AND(_xlpm.maxVal=K44,O44&lt;&gt;0),_xlpm.maxVal,""))</f>
        <v/>
      </c>
      <c r="Y44" s="27" t="str">
        <f>_xlfn.LET(_xlpm.maxVal,_xlfn.MAXIFS($K:$K,$A:$A,A44),IF(AND(_xlpm.maxVal=K44,P44&lt;&gt;0),_xlpm.maxVal,""))</f>
        <v/>
      </c>
      <c r="Z44" s="27" t="str">
        <f>_xlfn.LET(_xlpm.maxVal,_xlfn.MAXIFS($K:$K,$A:$A,A44),IF(AND(_xlpm.maxVal=K44,Q44&lt;&gt;0),_xlpm.maxVal,""))</f>
        <v/>
      </c>
      <c r="AA44" s="27" t="str">
        <f>_xlfn.LET(_xlpm.maxVal,_xlfn.MAXIFS($K:$K,$A:$A,A44),IF(AND(_xlpm.maxVal=K44,R44&lt;&gt;0),_xlpm.maxVal,""))</f>
        <v/>
      </c>
      <c r="AB44" s="27" t="str">
        <f>_xlfn.LET(_xlpm.maxVal,_xlfn.MAXIFS($K:$K,$A:$A,A44),IF(AND(_xlpm.maxVal=K44,S44&lt;&gt;0),_xlpm.maxVal,""))</f>
        <v/>
      </c>
      <c r="AC44" s="27" t="str">
        <f>_xlfn.LET(_xlpm.maxVal,_xlfn.MAXIFS($K:$K,$A:$A,A44),IF(AND(_xlpm.maxVal=K44,T44&lt;&gt;0),_xlpm.maxVal,""))</f>
        <v/>
      </c>
      <c r="AD44" s="27">
        <f>$K44*L44*负载统计!$K$3/60</f>
        <v>0</v>
      </c>
      <c r="AE44" s="27">
        <f>$K44*L44*负载统计!$K$4/60</f>
        <v>0</v>
      </c>
      <c r="AF44" s="27">
        <f>$K44*N44*负载统计!$K$5/60</f>
        <v>0</v>
      </c>
      <c r="AG44" s="27">
        <f>$K44*O44*负载统计!$K$6/60</f>
        <v>0</v>
      </c>
      <c r="AH44" s="27">
        <f>$K44*P44*负载统计!$K$7/60</f>
        <v>0</v>
      </c>
      <c r="AI44" s="27">
        <f>$K44*Q44*负载统计!$K$8/60</f>
        <v>0</v>
      </c>
      <c r="AJ44" s="27">
        <f>$K44*R44*负载统计!$K$9/60</f>
        <v>0</v>
      </c>
      <c r="AK44" s="27">
        <f>$K44*S44*负载统计!$K$10/60</f>
        <v>0</v>
      </c>
      <c r="AL44" s="27">
        <f>$K44*T44*负载统计!$K$11/60</f>
        <v>0</v>
      </c>
    </row>
    <row r="45" spans="1:38">
      <c r="A45" s="1">
        <v>22</v>
      </c>
      <c r="B45" s="25" t="s">
        <v>1333</v>
      </c>
      <c r="C45" s="25" t="s">
        <v>1329</v>
      </c>
      <c r="D45" s="25" t="s">
        <v>1334</v>
      </c>
      <c r="E45" s="25" t="s">
        <v>310</v>
      </c>
      <c r="F45" s="25" t="s">
        <v>317</v>
      </c>
      <c r="G45" s="25">
        <f>VLOOKUP(A45,负载电气特性!A:G,7,FALSE)</f>
        <v>28</v>
      </c>
      <c r="H45" s="26" t="s">
        <v>66</v>
      </c>
      <c r="I45" s="25" t="s">
        <v>1706</v>
      </c>
      <c r="J45" s="24" t="s">
        <v>1707</v>
      </c>
      <c r="K45" s="25">
        <v>0.065</v>
      </c>
      <c r="L45" s="25">
        <v>1</v>
      </c>
      <c r="M45" s="25">
        <v>1</v>
      </c>
      <c r="N45" s="25">
        <v>1</v>
      </c>
      <c r="O45" s="25">
        <v>1</v>
      </c>
      <c r="P45" s="25">
        <v>1</v>
      </c>
      <c r="Q45" s="25">
        <v>1</v>
      </c>
      <c r="R45" s="25">
        <v>1</v>
      </c>
      <c r="S45" s="25">
        <v>1</v>
      </c>
      <c r="T45" s="25">
        <v>1</v>
      </c>
      <c r="U45" s="27">
        <f>_xlfn.LET(_xlpm.maxVal,_xlfn.MAXIFS($K:$K,$A:$A,A45),IF(AND(_xlpm.maxVal=K45,L45&lt;&gt;0),_xlpm.maxVal,""))</f>
        <v>0.065</v>
      </c>
      <c r="V45" s="27">
        <f>_xlfn.LET(_xlpm.maxVal,_xlfn.MAXIFS($K:$K,$A:$A,A45),IF(AND(_xlpm.maxVal=K45,M45&lt;&gt;0),_xlpm.maxVal,""))</f>
        <v>0.065</v>
      </c>
      <c r="W45" s="27">
        <f>_xlfn.LET(_xlpm.maxVal,_xlfn.MAXIFS($K:$K,$A:$A,A45),IF(AND(_xlpm.maxVal=K45,N45&lt;&gt;0),_xlpm.maxVal,""))</f>
        <v>0.065</v>
      </c>
      <c r="X45" s="27">
        <f>_xlfn.LET(_xlpm.maxVal,_xlfn.MAXIFS($K:$K,$A:$A,A45),IF(AND(_xlpm.maxVal=K45,O45&lt;&gt;0),_xlpm.maxVal,""))</f>
        <v>0.065</v>
      </c>
      <c r="Y45" s="27">
        <f>_xlfn.LET(_xlpm.maxVal,_xlfn.MAXIFS($K:$K,$A:$A,A45),IF(AND(_xlpm.maxVal=K45,P45&lt;&gt;0),_xlpm.maxVal,""))</f>
        <v>0.065</v>
      </c>
      <c r="Z45" s="27">
        <f>_xlfn.LET(_xlpm.maxVal,_xlfn.MAXIFS($K:$K,$A:$A,A45),IF(AND(_xlpm.maxVal=K45,Q45&lt;&gt;0),_xlpm.maxVal,""))</f>
        <v>0.065</v>
      </c>
      <c r="AA45" s="27">
        <f>_xlfn.LET(_xlpm.maxVal,_xlfn.MAXIFS($K:$K,$A:$A,A45),IF(AND(_xlpm.maxVal=K45,R45&lt;&gt;0),_xlpm.maxVal,""))</f>
        <v>0.065</v>
      </c>
      <c r="AB45" s="27">
        <f>_xlfn.LET(_xlpm.maxVal,_xlfn.MAXIFS($K:$K,$A:$A,A45),IF(AND(_xlpm.maxVal=K45,S45&lt;&gt;0),_xlpm.maxVal,""))</f>
        <v>0.065</v>
      </c>
      <c r="AC45" s="27">
        <f>_xlfn.LET(_xlpm.maxVal,_xlfn.MAXIFS($K:$K,$A:$A,A45),IF(AND(_xlpm.maxVal=K45,T45&lt;&gt;0),_xlpm.maxVal,""))</f>
        <v>0.065</v>
      </c>
      <c r="AD45" s="27">
        <f>$K45*L45*负载统计!$K$3/60</f>
        <v>0</v>
      </c>
      <c r="AE45" s="27">
        <f>$K45*L45*负载统计!$K$4/60</f>
        <v>0</v>
      </c>
      <c r="AF45" s="27">
        <f>$K45*N45*负载统计!$K$5/60</f>
        <v>0.00108333333333333</v>
      </c>
      <c r="AG45" s="27">
        <f>$K45*O45*负载统计!$K$6/60</f>
        <v>0.00325</v>
      </c>
      <c r="AH45" s="27">
        <f>$K45*P45*负载统计!$K$7/60</f>
        <v>0.00733416666666667</v>
      </c>
      <c r="AI45" s="27">
        <f>$K45*Q45*负载统计!$K$8/60</f>
        <v>0.0472333333333333</v>
      </c>
      <c r="AJ45" s="27">
        <f>$K45*R45*负载统计!$K$9/60</f>
        <v>0.0150041666666667</v>
      </c>
      <c r="AK45" s="27">
        <f>$K45*S45*负载统计!$K$10/60</f>
        <v>0.000541666666666667</v>
      </c>
      <c r="AL45" s="27">
        <f>$K45*T45*负载统计!$K$11/60</f>
        <v>0.00433333333333333</v>
      </c>
    </row>
    <row r="46" spans="1:38">
      <c r="A46" s="1">
        <v>22</v>
      </c>
      <c r="B46" s="25" t="s">
        <v>1333</v>
      </c>
      <c r="C46" s="25" t="s">
        <v>1329</v>
      </c>
      <c r="D46" s="25" t="s">
        <v>1334</v>
      </c>
      <c r="E46" s="25" t="s">
        <v>310</v>
      </c>
      <c r="F46" s="25" t="s">
        <v>317</v>
      </c>
      <c r="G46" s="25">
        <f>VLOOKUP(A46,负载电气特性!A:G,7,FALSE)</f>
        <v>28</v>
      </c>
      <c r="H46" s="26" t="s">
        <v>66</v>
      </c>
      <c r="I46" s="25" t="s">
        <v>1706</v>
      </c>
      <c r="J46" s="24" t="s">
        <v>1708</v>
      </c>
      <c r="K46" s="25">
        <v>0</v>
      </c>
      <c r="L46" s="25">
        <v>0</v>
      </c>
      <c r="M46" s="25">
        <v>0</v>
      </c>
      <c r="N46" s="25">
        <v>0</v>
      </c>
      <c r="O46" s="25">
        <v>0</v>
      </c>
      <c r="P46" s="25">
        <v>0</v>
      </c>
      <c r="Q46" s="25">
        <v>0</v>
      </c>
      <c r="R46" s="25">
        <v>0</v>
      </c>
      <c r="S46" s="25">
        <v>0</v>
      </c>
      <c r="T46" s="25">
        <v>0</v>
      </c>
      <c r="U46" s="27" t="str">
        <f>_xlfn.LET(_xlpm.maxVal,_xlfn.MAXIFS($K:$K,$A:$A,A46),IF(AND(_xlpm.maxVal=K46,L46&lt;&gt;0),_xlpm.maxVal,""))</f>
        <v/>
      </c>
      <c r="V46" s="27" t="str">
        <f>_xlfn.LET(_xlpm.maxVal,_xlfn.MAXIFS($K:$K,$A:$A,A46),IF(AND(_xlpm.maxVal=K46,M46&lt;&gt;0),_xlpm.maxVal,""))</f>
        <v/>
      </c>
      <c r="W46" s="27" t="str">
        <f>_xlfn.LET(_xlpm.maxVal,_xlfn.MAXIFS($K:$K,$A:$A,A46),IF(AND(_xlpm.maxVal=K46,N46&lt;&gt;0),_xlpm.maxVal,""))</f>
        <v/>
      </c>
      <c r="X46" s="27" t="str">
        <f>_xlfn.LET(_xlpm.maxVal,_xlfn.MAXIFS($K:$K,$A:$A,A46),IF(AND(_xlpm.maxVal=K46,O46&lt;&gt;0),_xlpm.maxVal,""))</f>
        <v/>
      </c>
      <c r="Y46" s="27" t="str">
        <f>_xlfn.LET(_xlpm.maxVal,_xlfn.MAXIFS($K:$K,$A:$A,A46),IF(AND(_xlpm.maxVal=K46,P46&lt;&gt;0),_xlpm.maxVal,""))</f>
        <v/>
      </c>
      <c r="Z46" s="27" t="str">
        <f>_xlfn.LET(_xlpm.maxVal,_xlfn.MAXIFS($K:$K,$A:$A,A46),IF(AND(_xlpm.maxVal=K46,Q46&lt;&gt;0),_xlpm.maxVal,""))</f>
        <v/>
      </c>
      <c r="AA46" s="27" t="str">
        <f>_xlfn.LET(_xlpm.maxVal,_xlfn.MAXIFS($K:$K,$A:$A,A46),IF(AND(_xlpm.maxVal=K46,R46&lt;&gt;0),_xlpm.maxVal,""))</f>
        <v/>
      </c>
      <c r="AB46" s="27" t="str">
        <f>_xlfn.LET(_xlpm.maxVal,_xlfn.MAXIFS($K:$K,$A:$A,A46),IF(AND(_xlpm.maxVal=K46,S46&lt;&gt;0),_xlpm.maxVal,""))</f>
        <v/>
      </c>
      <c r="AC46" s="27" t="str">
        <f>_xlfn.LET(_xlpm.maxVal,_xlfn.MAXIFS($K:$K,$A:$A,A46),IF(AND(_xlpm.maxVal=K46,T46&lt;&gt;0),_xlpm.maxVal,""))</f>
        <v/>
      </c>
      <c r="AD46" s="27">
        <f>$K46*L46*负载统计!$K$3/60</f>
        <v>0</v>
      </c>
      <c r="AE46" s="27">
        <f>$K46*L46*负载统计!$K$4/60</f>
        <v>0</v>
      </c>
      <c r="AF46" s="27">
        <f>$K46*N46*负载统计!$K$5/60</f>
        <v>0</v>
      </c>
      <c r="AG46" s="27">
        <f>$K46*O46*负载统计!$K$6/60</f>
        <v>0</v>
      </c>
      <c r="AH46" s="27">
        <f>$K46*P46*负载统计!$K$7/60</f>
        <v>0</v>
      </c>
      <c r="AI46" s="27">
        <f>$K46*Q46*负载统计!$K$8/60</f>
        <v>0</v>
      </c>
      <c r="AJ46" s="27">
        <f>$K46*R46*负载统计!$K$9/60</f>
        <v>0</v>
      </c>
      <c r="AK46" s="27">
        <f>$K46*S46*负载统计!$K$10/60</f>
        <v>0</v>
      </c>
      <c r="AL46" s="27">
        <f>$K46*T46*负载统计!$K$11/60</f>
        <v>0</v>
      </c>
    </row>
    <row r="47" spans="1:38">
      <c r="A47" s="1">
        <v>23</v>
      </c>
      <c r="B47" s="25" t="s">
        <v>1335</v>
      </c>
      <c r="C47" s="25" t="s">
        <v>1329</v>
      </c>
      <c r="D47" s="25" t="s">
        <v>318</v>
      </c>
      <c r="E47" s="25" t="s">
        <v>319</v>
      </c>
      <c r="F47" s="25" t="s">
        <v>320</v>
      </c>
      <c r="G47" s="25">
        <f>VLOOKUP(A47,负载电气特性!A:G,7,FALSE)</f>
        <v>28</v>
      </c>
      <c r="H47" s="26" t="s">
        <v>66</v>
      </c>
      <c r="I47" s="25" t="s">
        <v>1706</v>
      </c>
      <c r="J47" s="24" t="s">
        <v>1707</v>
      </c>
      <c r="K47" s="25">
        <v>0.065</v>
      </c>
      <c r="L47" s="25">
        <v>1</v>
      </c>
      <c r="M47" s="25">
        <v>1</v>
      </c>
      <c r="N47" s="25">
        <v>1</v>
      </c>
      <c r="O47" s="25">
        <v>1</v>
      </c>
      <c r="P47" s="25">
        <v>1</v>
      </c>
      <c r="Q47" s="25">
        <v>1</v>
      </c>
      <c r="R47" s="25">
        <v>1</v>
      </c>
      <c r="S47" s="25">
        <v>1</v>
      </c>
      <c r="T47" s="25">
        <v>1</v>
      </c>
      <c r="U47" s="27">
        <f>_xlfn.LET(_xlpm.maxVal,_xlfn.MAXIFS($K:$K,$A:$A,A47),IF(AND(_xlpm.maxVal=K47,L47&lt;&gt;0),_xlpm.maxVal,""))</f>
        <v>0.065</v>
      </c>
      <c r="V47" s="27">
        <f>_xlfn.LET(_xlpm.maxVal,_xlfn.MAXIFS($K:$K,$A:$A,A47),IF(AND(_xlpm.maxVal=K47,M47&lt;&gt;0),_xlpm.maxVal,""))</f>
        <v>0.065</v>
      </c>
      <c r="W47" s="27">
        <f>_xlfn.LET(_xlpm.maxVal,_xlfn.MAXIFS($K:$K,$A:$A,A47),IF(AND(_xlpm.maxVal=K47,N47&lt;&gt;0),_xlpm.maxVal,""))</f>
        <v>0.065</v>
      </c>
      <c r="X47" s="27">
        <f>_xlfn.LET(_xlpm.maxVal,_xlfn.MAXIFS($K:$K,$A:$A,A47),IF(AND(_xlpm.maxVal=K47,O47&lt;&gt;0),_xlpm.maxVal,""))</f>
        <v>0.065</v>
      </c>
      <c r="Y47" s="27">
        <f>_xlfn.LET(_xlpm.maxVal,_xlfn.MAXIFS($K:$K,$A:$A,A47),IF(AND(_xlpm.maxVal=K47,P47&lt;&gt;0),_xlpm.maxVal,""))</f>
        <v>0.065</v>
      </c>
      <c r="Z47" s="27">
        <f>_xlfn.LET(_xlpm.maxVal,_xlfn.MAXIFS($K:$K,$A:$A,A47),IF(AND(_xlpm.maxVal=K47,Q47&lt;&gt;0),_xlpm.maxVal,""))</f>
        <v>0.065</v>
      </c>
      <c r="AA47" s="27">
        <f>_xlfn.LET(_xlpm.maxVal,_xlfn.MAXIFS($K:$K,$A:$A,A47),IF(AND(_xlpm.maxVal=K47,R47&lt;&gt;0),_xlpm.maxVal,""))</f>
        <v>0.065</v>
      </c>
      <c r="AB47" s="27">
        <f>_xlfn.LET(_xlpm.maxVal,_xlfn.MAXIFS($K:$K,$A:$A,A47),IF(AND(_xlpm.maxVal=K47,S47&lt;&gt;0),_xlpm.maxVal,""))</f>
        <v>0.065</v>
      </c>
      <c r="AC47" s="27">
        <f>_xlfn.LET(_xlpm.maxVal,_xlfn.MAXIFS($K:$K,$A:$A,A47),IF(AND(_xlpm.maxVal=K47,T47&lt;&gt;0),_xlpm.maxVal,""))</f>
        <v>0.065</v>
      </c>
      <c r="AD47" s="27">
        <f>$K47*L47*负载统计!$K$3/60</f>
        <v>0</v>
      </c>
      <c r="AE47" s="27">
        <f>$K47*L47*负载统计!$K$4/60</f>
        <v>0</v>
      </c>
      <c r="AF47" s="27">
        <f>$K47*N47*负载统计!$K$5/60</f>
        <v>0.00108333333333333</v>
      </c>
      <c r="AG47" s="27">
        <f>$K47*O47*负载统计!$K$6/60</f>
        <v>0.00325</v>
      </c>
      <c r="AH47" s="27">
        <f>$K47*P47*负载统计!$K$7/60</f>
        <v>0.00733416666666667</v>
      </c>
      <c r="AI47" s="27">
        <f>$K47*Q47*负载统计!$K$8/60</f>
        <v>0.0472333333333333</v>
      </c>
      <c r="AJ47" s="27">
        <f>$K47*R47*负载统计!$K$9/60</f>
        <v>0.0150041666666667</v>
      </c>
      <c r="AK47" s="27">
        <f>$K47*S47*负载统计!$K$10/60</f>
        <v>0.000541666666666667</v>
      </c>
      <c r="AL47" s="27">
        <f>$K47*T47*负载统计!$K$11/60</f>
        <v>0.00433333333333333</v>
      </c>
    </row>
    <row r="48" spans="1:38">
      <c r="A48" s="1">
        <v>23</v>
      </c>
      <c r="B48" s="25" t="s">
        <v>1335</v>
      </c>
      <c r="C48" s="25" t="s">
        <v>1329</v>
      </c>
      <c r="D48" s="25" t="s">
        <v>318</v>
      </c>
      <c r="E48" s="25" t="s">
        <v>319</v>
      </c>
      <c r="F48" s="25" t="s">
        <v>320</v>
      </c>
      <c r="G48" s="25">
        <f>VLOOKUP(A48,负载电气特性!A:G,7,FALSE)</f>
        <v>28</v>
      </c>
      <c r="H48" s="26" t="s">
        <v>66</v>
      </c>
      <c r="I48" s="25" t="s">
        <v>1706</v>
      </c>
      <c r="J48" s="24" t="s">
        <v>1708</v>
      </c>
      <c r="K48" s="25">
        <v>0</v>
      </c>
      <c r="L48" s="25">
        <v>0</v>
      </c>
      <c r="M48" s="25">
        <v>0</v>
      </c>
      <c r="N48" s="25">
        <v>0</v>
      </c>
      <c r="O48" s="25">
        <v>0</v>
      </c>
      <c r="P48" s="25">
        <v>0</v>
      </c>
      <c r="Q48" s="25">
        <v>0</v>
      </c>
      <c r="R48" s="25">
        <v>0</v>
      </c>
      <c r="S48" s="25">
        <v>0</v>
      </c>
      <c r="T48" s="25">
        <v>0</v>
      </c>
      <c r="U48" s="27" t="str">
        <f>_xlfn.LET(_xlpm.maxVal,_xlfn.MAXIFS($K:$K,$A:$A,A48),IF(AND(_xlpm.maxVal=K48,L48&lt;&gt;0),_xlpm.maxVal,""))</f>
        <v/>
      </c>
      <c r="V48" s="27" t="str">
        <f>_xlfn.LET(_xlpm.maxVal,_xlfn.MAXIFS($K:$K,$A:$A,A48),IF(AND(_xlpm.maxVal=K48,M48&lt;&gt;0),_xlpm.maxVal,""))</f>
        <v/>
      </c>
      <c r="W48" s="27" t="str">
        <f>_xlfn.LET(_xlpm.maxVal,_xlfn.MAXIFS($K:$K,$A:$A,A48),IF(AND(_xlpm.maxVal=K48,N48&lt;&gt;0),_xlpm.maxVal,""))</f>
        <v/>
      </c>
      <c r="X48" s="27" t="str">
        <f>_xlfn.LET(_xlpm.maxVal,_xlfn.MAXIFS($K:$K,$A:$A,A48),IF(AND(_xlpm.maxVal=K48,O48&lt;&gt;0),_xlpm.maxVal,""))</f>
        <v/>
      </c>
      <c r="Y48" s="27" t="str">
        <f>_xlfn.LET(_xlpm.maxVal,_xlfn.MAXIFS($K:$K,$A:$A,A48),IF(AND(_xlpm.maxVal=K48,P48&lt;&gt;0),_xlpm.maxVal,""))</f>
        <v/>
      </c>
      <c r="Z48" s="27" t="str">
        <f>_xlfn.LET(_xlpm.maxVal,_xlfn.MAXIFS($K:$K,$A:$A,A48),IF(AND(_xlpm.maxVal=K48,Q48&lt;&gt;0),_xlpm.maxVal,""))</f>
        <v/>
      </c>
      <c r="AA48" s="27" t="str">
        <f>_xlfn.LET(_xlpm.maxVal,_xlfn.MAXIFS($K:$K,$A:$A,A48),IF(AND(_xlpm.maxVal=K48,R48&lt;&gt;0),_xlpm.maxVal,""))</f>
        <v/>
      </c>
      <c r="AB48" s="27" t="str">
        <f>_xlfn.LET(_xlpm.maxVal,_xlfn.MAXIFS($K:$K,$A:$A,A48),IF(AND(_xlpm.maxVal=K48,S48&lt;&gt;0),_xlpm.maxVal,""))</f>
        <v/>
      </c>
      <c r="AC48" s="27" t="str">
        <f>_xlfn.LET(_xlpm.maxVal,_xlfn.MAXIFS($K:$K,$A:$A,A48),IF(AND(_xlpm.maxVal=K48,T48&lt;&gt;0),_xlpm.maxVal,""))</f>
        <v/>
      </c>
      <c r="AD48" s="27">
        <f>$K48*L48*负载统计!$K$3/60</f>
        <v>0</v>
      </c>
      <c r="AE48" s="27">
        <f>$K48*L48*负载统计!$K$4/60</f>
        <v>0</v>
      </c>
      <c r="AF48" s="27">
        <f>$K48*N48*负载统计!$K$5/60</f>
        <v>0</v>
      </c>
      <c r="AG48" s="27">
        <f>$K48*O48*负载统计!$K$6/60</f>
        <v>0</v>
      </c>
      <c r="AH48" s="27">
        <f>$K48*P48*负载统计!$K$7/60</f>
        <v>0</v>
      </c>
      <c r="AI48" s="27">
        <f>$K48*Q48*负载统计!$K$8/60</f>
        <v>0</v>
      </c>
      <c r="AJ48" s="27">
        <f>$K48*R48*负载统计!$K$9/60</f>
        <v>0</v>
      </c>
      <c r="AK48" s="27">
        <f>$K48*S48*负载统计!$K$10/60</f>
        <v>0</v>
      </c>
      <c r="AL48" s="27">
        <f>$K48*T48*负载统计!$K$11/60</f>
        <v>0</v>
      </c>
    </row>
    <row r="49" spans="1:38">
      <c r="A49" s="1">
        <v>24</v>
      </c>
      <c r="B49" s="25" t="s">
        <v>1336</v>
      </c>
      <c r="C49" s="25" t="s">
        <v>1329</v>
      </c>
      <c r="D49" s="25" t="s">
        <v>1337</v>
      </c>
      <c r="E49" s="25" t="s">
        <v>322</v>
      </c>
      <c r="F49" s="25" t="s">
        <v>323</v>
      </c>
      <c r="G49" s="25">
        <f>VLOOKUP(A49,负载电气特性!A:G,7,FALSE)</f>
        <v>28</v>
      </c>
      <c r="H49" s="26" t="s">
        <v>61</v>
      </c>
      <c r="I49" s="25" t="s">
        <v>1706</v>
      </c>
      <c r="J49" s="24" t="s">
        <v>1707</v>
      </c>
      <c r="K49" s="25">
        <v>0.025</v>
      </c>
      <c r="L49" s="25">
        <v>1</v>
      </c>
      <c r="M49" s="25">
        <v>1</v>
      </c>
      <c r="N49" s="25">
        <v>1</v>
      </c>
      <c r="O49" s="25">
        <v>1</v>
      </c>
      <c r="P49" s="25">
        <v>1</v>
      </c>
      <c r="Q49" s="25">
        <v>1</v>
      </c>
      <c r="R49" s="25">
        <v>1</v>
      </c>
      <c r="S49" s="25">
        <v>1</v>
      </c>
      <c r="T49" s="25">
        <v>1</v>
      </c>
      <c r="U49" s="27">
        <f>_xlfn.LET(_xlpm.maxVal,_xlfn.MAXIFS($K:$K,$A:$A,A49),IF(AND(_xlpm.maxVal=K49,L49&lt;&gt;0),_xlpm.maxVal,""))</f>
        <v>0.025</v>
      </c>
      <c r="V49" s="27">
        <f>_xlfn.LET(_xlpm.maxVal,_xlfn.MAXIFS($K:$K,$A:$A,A49),IF(AND(_xlpm.maxVal=K49,M49&lt;&gt;0),_xlpm.maxVal,""))</f>
        <v>0.025</v>
      </c>
      <c r="W49" s="27">
        <f>_xlfn.LET(_xlpm.maxVal,_xlfn.MAXIFS($K:$K,$A:$A,A49),IF(AND(_xlpm.maxVal=K49,N49&lt;&gt;0),_xlpm.maxVal,""))</f>
        <v>0.025</v>
      </c>
      <c r="X49" s="27">
        <f>_xlfn.LET(_xlpm.maxVal,_xlfn.MAXIFS($K:$K,$A:$A,A49),IF(AND(_xlpm.maxVal=K49,O49&lt;&gt;0),_xlpm.maxVal,""))</f>
        <v>0.025</v>
      </c>
      <c r="Y49" s="27">
        <f>_xlfn.LET(_xlpm.maxVal,_xlfn.MAXIFS($K:$K,$A:$A,A49),IF(AND(_xlpm.maxVal=K49,P49&lt;&gt;0),_xlpm.maxVal,""))</f>
        <v>0.025</v>
      </c>
      <c r="Z49" s="27">
        <f>_xlfn.LET(_xlpm.maxVal,_xlfn.MAXIFS($K:$K,$A:$A,A49),IF(AND(_xlpm.maxVal=K49,Q49&lt;&gt;0),_xlpm.maxVal,""))</f>
        <v>0.025</v>
      </c>
      <c r="AA49" s="27">
        <f>_xlfn.LET(_xlpm.maxVal,_xlfn.MAXIFS($K:$K,$A:$A,A49),IF(AND(_xlpm.maxVal=K49,R49&lt;&gt;0),_xlpm.maxVal,""))</f>
        <v>0.025</v>
      </c>
      <c r="AB49" s="27">
        <f>_xlfn.LET(_xlpm.maxVal,_xlfn.MAXIFS($K:$K,$A:$A,A49),IF(AND(_xlpm.maxVal=K49,S49&lt;&gt;0),_xlpm.maxVal,""))</f>
        <v>0.025</v>
      </c>
      <c r="AC49" s="27">
        <f>_xlfn.LET(_xlpm.maxVal,_xlfn.MAXIFS($K:$K,$A:$A,A49),IF(AND(_xlpm.maxVal=K49,T49&lt;&gt;0),_xlpm.maxVal,""))</f>
        <v>0.025</v>
      </c>
      <c r="AD49" s="27">
        <f>$K49*L49*负载统计!$K$3/60</f>
        <v>0</v>
      </c>
      <c r="AE49" s="27">
        <f>$K49*L49*负载统计!$K$4/60</f>
        <v>0</v>
      </c>
      <c r="AF49" s="27">
        <f>$K49*N49*负载统计!$K$5/60</f>
        <v>0.000416666666666667</v>
      </c>
      <c r="AG49" s="27">
        <f>$K49*O49*负载统计!$K$6/60</f>
        <v>0.00125</v>
      </c>
      <c r="AH49" s="27">
        <f>$K49*P49*负载统计!$K$7/60</f>
        <v>0.00282083333333333</v>
      </c>
      <c r="AI49" s="27">
        <f>$K49*Q49*负载统计!$K$8/60</f>
        <v>0.0181666666666667</v>
      </c>
      <c r="AJ49" s="27">
        <f>$K49*R49*负载统计!$K$9/60</f>
        <v>0.00577083333333333</v>
      </c>
      <c r="AK49" s="27">
        <f>$K49*S49*负载统计!$K$10/60</f>
        <v>0.000208333333333333</v>
      </c>
      <c r="AL49" s="27">
        <f>$K49*T49*负载统计!$K$11/60</f>
        <v>0.00166666666666667</v>
      </c>
    </row>
    <row r="50" spans="1:38">
      <c r="A50" s="1">
        <v>24</v>
      </c>
      <c r="B50" s="25" t="s">
        <v>1336</v>
      </c>
      <c r="C50" s="25" t="s">
        <v>1329</v>
      </c>
      <c r="D50" s="25" t="s">
        <v>1337</v>
      </c>
      <c r="E50" s="25" t="s">
        <v>322</v>
      </c>
      <c r="F50" s="25" t="s">
        <v>323</v>
      </c>
      <c r="G50" s="25">
        <f>VLOOKUP(A50,负载电气特性!A:G,7,FALSE)</f>
        <v>28</v>
      </c>
      <c r="H50" s="26" t="s">
        <v>61</v>
      </c>
      <c r="I50" s="25" t="s">
        <v>1706</v>
      </c>
      <c r="J50" s="24" t="s">
        <v>1708</v>
      </c>
      <c r="K50" s="25">
        <v>0</v>
      </c>
      <c r="L50" s="25">
        <v>0</v>
      </c>
      <c r="M50" s="25">
        <v>0</v>
      </c>
      <c r="N50" s="25">
        <v>0</v>
      </c>
      <c r="O50" s="25">
        <v>0</v>
      </c>
      <c r="P50" s="25">
        <v>0</v>
      </c>
      <c r="Q50" s="25">
        <v>0</v>
      </c>
      <c r="R50" s="25">
        <v>0</v>
      </c>
      <c r="S50" s="25">
        <v>0</v>
      </c>
      <c r="T50" s="25">
        <v>0</v>
      </c>
      <c r="U50" s="27" t="str">
        <f>_xlfn.LET(_xlpm.maxVal,_xlfn.MAXIFS($K:$K,$A:$A,A50),IF(AND(_xlpm.maxVal=K50,L50&lt;&gt;0),_xlpm.maxVal,""))</f>
        <v/>
      </c>
      <c r="V50" s="27" t="str">
        <f>_xlfn.LET(_xlpm.maxVal,_xlfn.MAXIFS($K:$K,$A:$A,A50),IF(AND(_xlpm.maxVal=K50,M50&lt;&gt;0),_xlpm.maxVal,""))</f>
        <v/>
      </c>
      <c r="W50" s="27" t="str">
        <f>_xlfn.LET(_xlpm.maxVal,_xlfn.MAXIFS($K:$K,$A:$A,A50),IF(AND(_xlpm.maxVal=K50,N50&lt;&gt;0),_xlpm.maxVal,""))</f>
        <v/>
      </c>
      <c r="X50" s="27" t="str">
        <f>_xlfn.LET(_xlpm.maxVal,_xlfn.MAXIFS($K:$K,$A:$A,A50),IF(AND(_xlpm.maxVal=K50,O50&lt;&gt;0),_xlpm.maxVal,""))</f>
        <v/>
      </c>
      <c r="Y50" s="27" t="str">
        <f>_xlfn.LET(_xlpm.maxVal,_xlfn.MAXIFS($K:$K,$A:$A,A50),IF(AND(_xlpm.maxVal=K50,P50&lt;&gt;0),_xlpm.maxVal,""))</f>
        <v/>
      </c>
      <c r="Z50" s="27" t="str">
        <f>_xlfn.LET(_xlpm.maxVal,_xlfn.MAXIFS($K:$K,$A:$A,A50),IF(AND(_xlpm.maxVal=K50,Q50&lt;&gt;0),_xlpm.maxVal,""))</f>
        <v/>
      </c>
      <c r="AA50" s="27" t="str">
        <f>_xlfn.LET(_xlpm.maxVal,_xlfn.MAXIFS($K:$K,$A:$A,A50),IF(AND(_xlpm.maxVal=K50,R50&lt;&gt;0),_xlpm.maxVal,""))</f>
        <v/>
      </c>
      <c r="AB50" s="27" t="str">
        <f>_xlfn.LET(_xlpm.maxVal,_xlfn.MAXIFS($K:$K,$A:$A,A50),IF(AND(_xlpm.maxVal=K50,S50&lt;&gt;0),_xlpm.maxVal,""))</f>
        <v/>
      </c>
      <c r="AC50" s="27" t="str">
        <f>_xlfn.LET(_xlpm.maxVal,_xlfn.MAXIFS($K:$K,$A:$A,A50),IF(AND(_xlpm.maxVal=K50,T50&lt;&gt;0),_xlpm.maxVal,""))</f>
        <v/>
      </c>
      <c r="AD50" s="27">
        <f>$K50*L50*负载统计!$K$3/60</f>
        <v>0</v>
      </c>
      <c r="AE50" s="27">
        <f>$K50*L50*负载统计!$K$4/60</f>
        <v>0</v>
      </c>
      <c r="AF50" s="27">
        <f>$K50*N50*负载统计!$K$5/60</f>
        <v>0</v>
      </c>
      <c r="AG50" s="27">
        <f>$K50*O50*负载统计!$K$6/60</f>
        <v>0</v>
      </c>
      <c r="AH50" s="27">
        <f>$K50*P50*负载统计!$K$7/60</f>
        <v>0</v>
      </c>
      <c r="AI50" s="27">
        <f>$K50*Q50*负载统计!$K$8/60</f>
        <v>0</v>
      </c>
      <c r="AJ50" s="27">
        <f>$K50*R50*负载统计!$K$9/60</f>
        <v>0</v>
      </c>
      <c r="AK50" s="27">
        <f>$K50*S50*负载统计!$K$10/60</f>
        <v>0</v>
      </c>
      <c r="AL50" s="27">
        <f>$K50*T50*负载统计!$K$11/60</f>
        <v>0</v>
      </c>
    </row>
    <row r="51" spans="1:38">
      <c r="A51" s="1">
        <v>25</v>
      </c>
      <c r="B51" s="25" t="s">
        <v>1339</v>
      </c>
      <c r="C51" s="25" t="s">
        <v>1329</v>
      </c>
      <c r="D51" s="25" t="s">
        <v>1340</v>
      </c>
      <c r="E51" s="25" t="s">
        <v>322</v>
      </c>
      <c r="F51" s="25" t="s">
        <v>326</v>
      </c>
      <c r="G51" s="25">
        <f>VLOOKUP(A51,负载电气特性!A:G,7,FALSE)</f>
        <v>28</v>
      </c>
      <c r="H51" s="26" t="s">
        <v>61</v>
      </c>
      <c r="I51" s="25" t="s">
        <v>1706</v>
      </c>
      <c r="J51" s="24" t="s">
        <v>1707</v>
      </c>
      <c r="K51" s="25">
        <v>0.025</v>
      </c>
      <c r="L51" s="25">
        <v>1</v>
      </c>
      <c r="M51" s="25">
        <v>1</v>
      </c>
      <c r="N51" s="25">
        <v>1</v>
      </c>
      <c r="O51" s="25">
        <v>1</v>
      </c>
      <c r="P51" s="25">
        <v>1</v>
      </c>
      <c r="Q51" s="25">
        <v>1</v>
      </c>
      <c r="R51" s="25">
        <v>1</v>
      </c>
      <c r="S51" s="25">
        <v>1</v>
      </c>
      <c r="T51" s="25">
        <v>1</v>
      </c>
      <c r="U51" s="27">
        <f>_xlfn.LET(_xlpm.maxVal,_xlfn.MAXIFS($K:$K,$A:$A,A51),IF(AND(_xlpm.maxVal=K51,L51&lt;&gt;0),_xlpm.maxVal,""))</f>
        <v>0.025</v>
      </c>
      <c r="V51" s="27">
        <f>_xlfn.LET(_xlpm.maxVal,_xlfn.MAXIFS($K:$K,$A:$A,A51),IF(AND(_xlpm.maxVal=K51,M51&lt;&gt;0),_xlpm.maxVal,""))</f>
        <v>0.025</v>
      </c>
      <c r="W51" s="27">
        <f>_xlfn.LET(_xlpm.maxVal,_xlfn.MAXIFS($K:$K,$A:$A,A51),IF(AND(_xlpm.maxVal=K51,N51&lt;&gt;0),_xlpm.maxVal,""))</f>
        <v>0.025</v>
      </c>
      <c r="X51" s="27">
        <f>_xlfn.LET(_xlpm.maxVal,_xlfn.MAXIFS($K:$K,$A:$A,A51),IF(AND(_xlpm.maxVal=K51,O51&lt;&gt;0),_xlpm.maxVal,""))</f>
        <v>0.025</v>
      </c>
      <c r="Y51" s="27">
        <f>_xlfn.LET(_xlpm.maxVal,_xlfn.MAXIFS($K:$K,$A:$A,A51),IF(AND(_xlpm.maxVal=K51,P51&lt;&gt;0),_xlpm.maxVal,""))</f>
        <v>0.025</v>
      </c>
      <c r="Z51" s="27">
        <f>_xlfn.LET(_xlpm.maxVal,_xlfn.MAXIFS($K:$K,$A:$A,A51),IF(AND(_xlpm.maxVal=K51,Q51&lt;&gt;0),_xlpm.maxVal,""))</f>
        <v>0.025</v>
      </c>
      <c r="AA51" s="27">
        <f>_xlfn.LET(_xlpm.maxVal,_xlfn.MAXIFS($K:$K,$A:$A,A51),IF(AND(_xlpm.maxVal=K51,R51&lt;&gt;0),_xlpm.maxVal,""))</f>
        <v>0.025</v>
      </c>
      <c r="AB51" s="27">
        <f>_xlfn.LET(_xlpm.maxVal,_xlfn.MAXIFS($K:$K,$A:$A,A51),IF(AND(_xlpm.maxVal=K51,S51&lt;&gt;0),_xlpm.maxVal,""))</f>
        <v>0.025</v>
      </c>
      <c r="AC51" s="27">
        <f>_xlfn.LET(_xlpm.maxVal,_xlfn.MAXIFS($K:$K,$A:$A,A51),IF(AND(_xlpm.maxVal=K51,T51&lt;&gt;0),_xlpm.maxVal,""))</f>
        <v>0.025</v>
      </c>
      <c r="AD51" s="27">
        <f>$K51*L51*负载统计!$K$3/60</f>
        <v>0</v>
      </c>
      <c r="AE51" s="27">
        <f>$K51*L51*负载统计!$K$4/60</f>
        <v>0</v>
      </c>
      <c r="AF51" s="27">
        <f>$K51*N51*负载统计!$K$5/60</f>
        <v>0.000416666666666667</v>
      </c>
      <c r="AG51" s="27">
        <f>$K51*O51*负载统计!$K$6/60</f>
        <v>0.00125</v>
      </c>
      <c r="AH51" s="27">
        <f>$K51*P51*负载统计!$K$7/60</f>
        <v>0.00282083333333333</v>
      </c>
      <c r="AI51" s="27">
        <f>$K51*Q51*负载统计!$K$8/60</f>
        <v>0.0181666666666667</v>
      </c>
      <c r="AJ51" s="27">
        <f>$K51*R51*负载统计!$K$9/60</f>
        <v>0.00577083333333333</v>
      </c>
      <c r="AK51" s="27">
        <f>$K51*S51*负载统计!$K$10/60</f>
        <v>0.000208333333333333</v>
      </c>
      <c r="AL51" s="27">
        <f>$K51*T51*负载统计!$K$11/60</f>
        <v>0.00166666666666667</v>
      </c>
    </row>
    <row r="52" spans="1:38">
      <c r="A52" s="1">
        <v>25</v>
      </c>
      <c r="B52" s="25" t="s">
        <v>1339</v>
      </c>
      <c r="C52" s="25" t="s">
        <v>1329</v>
      </c>
      <c r="D52" s="25" t="s">
        <v>1340</v>
      </c>
      <c r="E52" s="25" t="s">
        <v>322</v>
      </c>
      <c r="F52" s="25" t="s">
        <v>326</v>
      </c>
      <c r="G52" s="25">
        <f>VLOOKUP(A52,负载电气特性!A:G,7,FALSE)</f>
        <v>28</v>
      </c>
      <c r="H52" s="26" t="s">
        <v>61</v>
      </c>
      <c r="I52" s="25" t="s">
        <v>1706</v>
      </c>
      <c r="J52" s="24" t="s">
        <v>1708</v>
      </c>
      <c r="K52" s="25">
        <v>0</v>
      </c>
      <c r="L52" s="25">
        <v>0</v>
      </c>
      <c r="M52" s="25">
        <v>0</v>
      </c>
      <c r="N52" s="25">
        <v>0</v>
      </c>
      <c r="O52" s="25">
        <v>0</v>
      </c>
      <c r="P52" s="25">
        <v>0</v>
      </c>
      <c r="Q52" s="25">
        <v>0</v>
      </c>
      <c r="R52" s="25">
        <v>0</v>
      </c>
      <c r="S52" s="25">
        <v>0</v>
      </c>
      <c r="T52" s="25">
        <v>0</v>
      </c>
      <c r="U52" s="27" t="str">
        <f>_xlfn.LET(_xlpm.maxVal,_xlfn.MAXIFS($K:$K,$A:$A,A52),IF(AND(_xlpm.maxVal=K52,L52&lt;&gt;0),_xlpm.maxVal,""))</f>
        <v/>
      </c>
      <c r="V52" s="27" t="str">
        <f>_xlfn.LET(_xlpm.maxVal,_xlfn.MAXIFS($K:$K,$A:$A,A52),IF(AND(_xlpm.maxVal=K52,M52&lt;&gt;0),_xlpm.maxVal,""))</f>
        <v/>
      </c>
      <c r="W52" s="27" t="str">
        <f>_xlfn.LET(_xlpm.maxVal,_xlfn.MAXIFS($K:$K,$A:$A,A52),IF(AND(_xlpm.maxVal=K52,N52&lt;&gt;0),_xlpm.maxVal,""))</f>
        <v/>
      </c>
      <c r="X52" s="27" t="str">
        <f>_xlfn.LET(_xlpm.maxVal,_xlfn.MAXIFS($K:$K,$A:$A,A52),IF(AND(_xlpm.maxVal=K52,O52&lt;&gt;0),_xlpm.maxVal,""))</f>
        <v/>
      </c>
      <c r="Y52" s="27" t="str">
        <f>_xlfn.LET(_xlpm.maxVal,_xlfn.MAXIFS($K:$K,$A:$A,A52),IF(AND(_xlpm.maxVal=K52,P52&lt;&gt;0),_xlpm.maxVal,""))</f>
        <v/>
      </c>
      <c r="Z52" s="27" t="str">
        <f>_xlfn.LET(_xlpm.maxVal,_xlfn.MAXIFS($K:$K,$A:$A,A52),IF(AND(_xlpm.maxVal=K52,Q52&lt;&gt;0),_xlpm.maxVal,""))</f>
        <v/>
      </c>
      <c r="AA52" s="27" t="str">
        <f>_xlfn.LET(_xlpm.maxVal,_xlfn.MAXIFS($K:$K,$A:$A,A52),IF(AND(_xlpm.maxVal=K52,R52&lt;&gt;0),_xlpm.maxVal,""))</f>
        <v/>
      </c>
      <c r="AB52" s="27" t="str">
        <f>_xlfn.LET(_xlpm.maxVal,_xlfn.MAXIFS($K:$K,$A:$A,A52),IF(AND(_xlpm.maxVal=K52,S52&lt;&gt;0),_xlpm.maxVal,""))</f>
        <v/>
      </c>
      <c r="AC52" s="27" t="str">
        <f>_xlfn.LET(_xlpm.maxVal,_xlfn.MAXIFS($K:$K,$A:$A,A52),IF(AND(_xlpm.maxVal=K52,T52&lt;&gt;0),_xlpm.maxVal,""))</f>
        <v/>
      </c>
      <c r="AD52" s="27">
        <f>$K52*L52*负载统计!$K$3/60</f>
        <v>0</v>
      </c>
      <c r="AE52" s="27">
        <f>$K52*L52*负载统计!$K$4/60</f>
        <v>0</v>
      </c>
      <c r="AF52" s="27">
        <f>$K52*N52*负载统计!$K$5/60</f>
        <v>0</v>
      </c>
      <c r="AG52" s="27">
        <f>$K52*O52*负载统计!$K$6/60</f>
        <v>0</v>
      </c>
      <c r="AH52" s="27">
        <f>$K52*P52*负载统计!$K$7/60</f>
        <v>0</v>
      </c>
      <c r="AI52" s="27">
        <f>$K52*Q52*负载统计!$K$8/60</f>
        <v>0</v>
      </c>
      <c r="AJ52" s="27">
        <f>$K52*R52*负载统计!$K$9/60</f>
        <v>0</v>
      </c>
      <c r="AK52" s="27">
        <f>$K52*S52*负载统计!$K$10/60</f>
        <v>0</v>
      </c>
      <c r="AL52" s="27">
        <f>$K52*T52*负载统计!$K$11/60</f>
        <v>0</v>
      </c>
    </row>
    <row r="53" spans="1:38">
      <c r="A53" s="1">
        <v>26</v>
      </c>
      <c r="B53" s="24" t="s">
        <v>1341</v>
      </c>
      <c r="C53" s="24" t="s">
        <v>1329</v>
      </c>
      <c r="D53" s="24" t="s">
        <v>1342</v>
      </c>
      <c r="E53" s="24" t="s">
        <v>329</v>
      </c>
      <c r="F53" s="24" t="s">
        <v>330</v>
      </c>
      <c r="G53" s="25">
        <f>VLOOKUP(A53,负载电气特性!A:G,7,FALSE)</f>
        <v>270</v>
      </c>
      <c r="H53" s="26" t="s">
        <v>66</v>
      </c>
      <c r="I53" s="24" t="s">
        <v>1709</v>
      </c>
      <c r="J53" s="25" t="s">
        <v>1710</v>
      </c>
      <c r="K53" s="25">
        <v>2.5</v>
      </c>
      <c r="L53" s="25">
        <v>0</v>
      </c>
      <c r="M53" s="24">
        <v>0.2</v>
      </c>
      <c r="N53" s="25">
        <v>0.1</v>
      </c>
      <c r="O53" s="25">
        <v>0.15</v>
      </c>
      <c r="P53" s="25">
        <v>0.35</v>
      </c>
      <c r="Q53" s="25">
        <v>0.2</v>
      </c>
      <c r="R53" s="25">
        <v>0.3</v>
      </c>
      <c r="S53" s="25">
        <v>0.25</v>
      </c>
      <c r="T53" s="25">
        <v>0.15</v>
      </c>
      <c r="U53" s="27" t="str">
        <f>_xlfn.LET(_xlpm.maxVal,_xlfn.MAXIFS($K:$K,$A:$A,A53),IF(AND(_xlpm.maxVal=K53,L53&lt;&gt;0),_xlpm.maxVal,""))</f>
        <v/>
      </c>
      <c r="V53" s="27">
        <f>_xlfn.LET(_xlpm.maxVal,_xlfn.MAXIFS($K:$K,$A:$A,A53),IF(AND(_xlpm.maxVal=K53,M53&lt;&gt;0),_xlpm.maxVal,""))</f>
        <v>2.5</v>
      </c>
      <c r="W53" s="27">
        <f>_xlfn.LET(_xlpm.maxVal,_xlfn.MAXIFS($K:$K,$A:$A,A53),IF(AND(_xlpm.maxVal=K53,N53&lt;&gt;0),_xlpm.maxVal,""))</f>
        <v>2.5</v>
      </c>
      <c r="X53" s="27">
        <f>_xlfn.LET(_xlpm.maxVal,_xlfn.MAXIFS($K:$K,$A:$A,A53),IF(AND(_xlpm.maxVal=K53,O53&lt;&gt;0),_xlpm.maxVal,""))</f>
        <v>2.5</v>
      </c>
      <c r="Y53" s="27">
        <f>_xlfn.LET(_xlpm.maxVal,_xlfn.MAXIFS($K:$K,$A:$A,A53),IF(AND(_xlpm.maxVal=K53,P53&lt;&gt;0),_xlpm.maxVal,""))</f>
        <v>2.5</v>
      </c>
      <c r="Z53" s="27">
        <f>_xlfn.LET(_xlpm.maxVal,_xlfn.MAXIFS($K:$K,$A:$A,A53),IF(AND(_xlpm.maxVal=K53,Q53&lt;&gt;0),_xlpm.maxVal,""))</f>
        <v>2.5</v>
      </c>
      <c r="AA53" s="27">
        <f>_xlfn.LET(_xlpm.maxVal,_xlfn.MAXIFS($K:$K,$A:$A,A53),IF(AND(_xlpm.maxVal=K53,R53&lt;&gt;0),_xlpm.maxVal,""))</f>
        <v>2.5</v>
      </c>
      <c r="AB53" s="27">
        <f>_xlfn.LET(_xlpm.maxVal,_xlfn.MAXIFS($K:$K,$A:$A,A53),IF(AND(_xlpm.maxVal=K53,S53&lt;&gt;0),_xlpm.maxVal,""))</f>
        <v>2.5</v>
      </c>
      <c r="AC53" s="27">
        <f>_xlfn.LET(_xlpm.maxVal,_xlfn.MAXIFS($K:$K,$A:$A,A53),IF(AND(_xlpm.maxVal=K53,T53&lt;&gt;0),_xlpm.maxVal,""))</f>
        <v>2.5</v>
      </c>
      <c r="AD53" s="27">
        <f>$K53*L53*负载统计!$K$3/60</f>
        <v>0</v>
      </c>
      <c r="AE53" s="27">
        <f>$K53*L53*负载统计!$K$4/60</f>
        <v>0</v>
      </c>
      <c r="AF53" s="27">
        <f>$K53*N53*负载统计!$K$5/60</f>
        <v>0.00416666666666667</v>
      </c>
      <c r="AG53" s="27">
        <f>$K53*O53*负载统计!$K$6/60</f>
        <v>0.01875</v>
      </c>
      <c r="AH53" s="27">
        <f>$K53*P53*负载统计!$K$7/60</f>
        <v>0.0987291666666667</v>
      </c>
      <c r="AI53" s="27">
        <f>$K53*Q53*负载统计!$K$8/60</f>
        <v>0.363333333333333</v>
      </c>
      <c r="AJ53" s="27">
        <f>$K53*R53*负载统计!$K$9/60</f>
        <v>0.173125</v>
      </c>
      <c r="AK53" s="27">
        <f>$K53*S53*负载统计!$K$10/60</f>
        <v>0.00520833333333333</v>
      </c>
      <c r="AL53" s="27">
        <f>$K53*T53*负载统计!$K$11/60</f>
        <v>0.025</v>
      </c>
    </row>
    <row r="54" spans="1:38">
      <c r="A54" s="1">
        <v>26</v>
      </c>
      <c r="B54" s="24" t="s">
        <v>1341</v>
      </c>
      <c r="C54" s="24" t="s">
        <v>1329</v>
      </c>
      <c r="D54" s="24" t="s">
        <v>1342</v>
      </c>
      <c r="E54" s="24" t="s">
        <v>329</v>
      </c>
      <c r="F54" s="24" t="s">
        <v>330</v>
      </c>
      <c r="G54" s="25">
        <f>VLOOKUP(A54,负载电气特性!A:G,7,FALSE)</f>
        <v>270</v>
      </c>
      <c r="H54" s="26" t="s">
        <v>66</v>
      </c>
      <c r="I54" s="24" t="s">
        <v>1709</v>
      </c>
      <c r="J54" s="25" t="s">
        <v>1711</v>
      </c>
      <c r="K54" s="25">
        <v>1.9</v>
      </c>
      <c r="L54" s="25">
        <v>0</v>
      </c>
      <c r="M54" s="24">
        <v>0</v>
      </c>
      <c r="N54" s="24">
        <v>0</v>
      </c>
      <c r="O54" s="24">
        <v>0</v>
      </c>
      <c r="P54" s="24">
        <v>0</v>
      </c>
      <c r="Q54" s="24">
        <v>0</v>
      </c>
      <c r="R54" s="24">
        <v>0</v>
      </c>
      <c r="S54" s="24">
        <v>0</v>
      </c>
      <c r="T54" s="24">
        <v>0</v>
      </c>
      <c r="U54" s="27" t="str">
        <f>_xlfn.LET(_xlpm.maxVal,_xlfn.MAXIFS($K:$K,$A:$A,A54),IF(AND(_xlpm.maxVal=K54,L54&lt;&gt;0),_xlpm.maxVal,""))</f>
        <v/>
      </c>
      <c r="V54" s="27" t="str">
        <f>_xlfn.LET(_xlpm.maxVal,_xlfn.MAXIFS($K:$K,$A:$A,A54),IF(AND(_xlpm.maxVal=K54,M54&lt;&gt;0),_xlpm.maxVal,""))</f>
        <v/>
      </c>
      <c r="W54" s="27" t="str">
        <f>_xlfn.LET(_xlpm.maxVal,_xlfn.MAXIFS($K:$K,$A:$A,A54),IF(AND(_xlpm.maxVal=K54,N54&lt;&gt;0),_xlpm.maxVal,""))</f>
        <v/>
      </c>
      <c r="X54" s="27" t="str">
        <f>_xlfn.LET(_xlpm.maxVal,_xlfn.MAXIFS($K:$K,$A:$A,A54),IF(AND(_xlpm.maxVal=K54,O54&lt;&gt;0),_xlpm.maxVal,""))</f>
        <v/>
      </c>
      <c r="Y54" s="27" t="str">
        <f>_xlfn.LET(_xlpm.maxVal,_xlfn.MAXIFS($K:$K,$A:$A,A54),IF(AND(_xlpm.maxVal=K54,P54&lt;&gt;0),_xlpm.maxVal,""))</f>
        <v/>
      </c>
      <c r="Z54" s="27" t="str">
        <f>_xlfn.LET(_xlpm.maxVal,_xlfn.MAXIFS($K:$K,$A:$A,A54),IF(AND(_xlpm.maxVal=K54,Q54&lt;&gt;0),_xlpm.maxVal,""))</f>
        <v/>
      </c>
      <c r="AA54" s="27" t="str">
        <f>_xlfn.LET(_xlpm.maxVal,_xlfn.MAXIFS($K:$K,$A:$A,A54),IF(AND(_xlpm.maxVal=K54,R54&lt;&gt;0),_xlpm.maxVal,""))</f>
        <v/>
      </c>
      <c r="AB54" s="27" t="str">
        <f>_xlfn.LET(_xlpm.maxVal,_xlfn.MAXIFS($K:$K,$A:$A,A54),IF(AND(_xlpm.maxVal=K54,S54&lt;&gt;0),_xlpm.maxVal,""))</f>
        <v/>
      </c>
      <c r="AC54" s="27" t="str">
        <f>_xlfn.LET(_xlpm.maxVal,_xlfn.MAXIFS($K:$K,$A:$A,A54),IF(AND(_xlpm.maxVal=K54,T54&lt;&gt;0),_xlpm.maxVal,""))</f>
        <v/>
      </c>
      <c r="AD54" s="27">
        <f>$K54*L54*负载统计!$K$3/60</f>
        <v>0</v>
      </c>
      <c r="AE54" s="27">
        <f>$K54*L54*负载统计!$K$4/60</f>
        <v>0</v>
      </c>
      <c r="AF54" s="27">
        <f>$K54*N54*负载统计!$K$5/60</f>
        <v>0</v>
      </c>
      <c r="AG54" s="27">
        <f>$K54*O54*负载统计!$K$6/60</f>
        <v>0</v>
      </c>
      <c r="AH54" s="27">
        <f>$K54*P54*负载统计!$K$7/60</f>
        <v>0</v>
      </c>
      <c r="AI54" s="27">
        <f>$K54*Q54*负载统计!$K$8/60</f>
        <v>0</v>
      </c>
      <c r="AJ54" s="27">
        <f>$K54*R54*负载统计!$K$9/60</f>
        <v>0</v>
      </c>
      <c r="AK54" s="27">
        <f>$K54*S54*负载统计!$K$10/60</f>
        <v>0</v>
      </c>
      <c r="AL54" s="27">
        <f>$K54*T54*负载统计!$K$11/60</f>
        <v>0</v>
      </c>
    </row>
    <row r="55" spans="1:38">
      <c r="A55" s="1">
        <v>26</v>
      </c>
      <c r="B55" s="24" t="s">
        <v>1341</v>
      </c>
      <c r="C55" s="24" t="s">
        <v>1329</v>
      </c>
      <c r="D55" s="24" t="s">
        <v>1342</v>
      </c>
      <c r="E55" s="24" t="s">
        <v>329</v>
      </c>
      <c r="F55" s="24" t="s">
        <v>330</v>
      </c>
      <c r="G55" s="25">
        <f>VLOOKUP(A55,负载电气特性!A:G,7,FALSE)</f>
        <v>270</v>
      </c>
      <c r="H55" s="26" t="s">
        <v>66</v>
      </c>
      <c r="I55" s="24" t="s">
        <v>1709</v>
      </c>
      <c r="J55" s="24" t="s">
        <v>1708</v>
      </c>
      <c r="K55" s="25">
        <v>0</v>
      </c>
      <c r="L55" s="25">
        <v>1</v>
      </c>
      <c r="M55" s="25">
        <v>0.8</v>
      </c>
      <c r="N55" s="25">
        <v>0.9</v>
      </c>
      <c r="O55" s="25">
        <v>0.85</v>
      </c>
      <c r="P55" s="25">
        <v>0.65</v>
      </c>
      <c r="Q55" s="25">
        <v>0.8</v>
      </c>
      <c r="R55" s="25">
        <v>0.7</v>
      </c>
      <c r="S55" s="25">
        <v>0.75</v>
      </c>
      <c r="T55" s="25">
        <v>0.85</v>
      </c>
      <c r="U55" s="27" t="str">
        <f>_xlfn.LET(_xlpm.maxVal,_xlfn.MAXIFS($K:$K,$A:$A,A55),IF(AND(_xlpm.maxVal=K55,L55&lt;&gt;0),_xlpm.maxVal,""))</f>
        <v/>
      </c>
      <c r="V55" s="27" t="str">
        <f>_xlfn.LET(_xlpm.maxVal,_xlfn.MAXIFS($K:$K,$A:$A,A55),IF(AND(_xlpm.maxVal=K55,M55&lt;&gt;0),_xlpm.maxVal,""))</f>
        <v/>
      </c>
      <c r="W55" s="27" t="str">
        <f>_xlfn.LET(_xlpm.maxVal,_xlfn.MAXIFS($K:$K,$A:$A,A55),IF(AND(_xlpm.maxVal=K55,N55&lt;&gt;0),_xlpm.maxVal,""))</f>
        <v/>
      </c>
      <c r="X55" s="27" t="str">
        <f>_xlfn.LET(_xlpm.maxVal,_xlfn.MAXIFS($K:$K,$A:$A,A55),IF(AND(_xlpm.maxVal=K55,O55&lt;&gt;0),_xlpm.maxVal,""))</f>
        <v/>
      </c>
      <c r="Y55" s="27" t="str">
        <f>_xlfn.LET(_xlpm.maxVal,_xlfn.MAXIFS($K:$K,$A:$A,A55),IF(AND(_xlpm.maxVal=K55,P55&lt;&gt;0),_xlpm.maxVal,""))</f>
        <v/>
      </c>
      <c r="Z55" s="27" t="str">
        <f>_xlfn.LET(_xlpm.maxVal,_xlfn.MAXIFS($K:$K,$A:$A,A55),IF(AND(_xlpm.maxVal=K55,Q55&lt;&gt;0),_xlpm.maxVal,""))</f>
        <v/>
      </c>
      <c r="AA55" s="27" t="str">
        <f>_xlfn.LET(_xlpm.maxVal,_xlfn.MAXIFS($K:$K,$A:$A,A55),IF(AND(_xlpm.maxVal=K55,R55&lt;&gt;0),_xlpm.maxVal,""))</f>
        <v/>
      </c>
      <c r="AB55" s="27" t="str">
        <f>_xlfn.LET(_xlpm.maxVal,_xlfn.MAXIFS($K:$K,$A:$A,A55),IF(AND(_xlpm.maxVal=K55,S55&lt;&gt;0),_xlpm.maxVal,""))</f>
        <v/>
      </c>
      <c r="AC55" s="27" t="str">
        <f>_xlfn.LET(_xlpm.maxVal,_xlfn.MAXIFS($K:$K,$A:$A,A55),IF(AND(_xlpm.maxVal=K55,T55&lt;&gt;0),_xlpm.maxVal,""))</f>
        <v/>
      </c>
      <c r="AD55" s="27">
        <f>$K55*L55*负载统计!$K$3/60</f>
        <v>0</v>
      </c>
      <c r="AE55" s="27">
        <f>$K55*L55*负载统计!$K$4/60</f>
        <v>0</v>
      </c>
      <c r="AF55" s="27">
        <f>$K55*N55*负载统计!$K$5/60</f>
        <v>0</v>
      </c>
      <c r="AG55" s="27">
        <f>$K55*O55*负载统计!$K$6/60</f>
        <v>0</v>
      </c>
      <c r="AH55" s="27">
        <f>$K55*P55*负载统计!$K$7/60</f>
        <v>0</v>
      </c>
      <c r="AI55" s="27">
        <f>$K55*Q55*负载统计!$K$8/60</f>
        <v>0</v>
      </c>
      <c r="AJ55" s="27">
        <f>$K55*R55*负载统计!$K$9/60</f>
        <v>0</v>
      </c>
      <c r="AK55" s="27">
        <f>$K55*S55*负载统计!$K$10/60</f>
        <v>0</v>
      </c>
      <c r="AL55" s="27">
        <f>$K55*T55*负载统计!$K$11/60</f>
        <v>0</v>
      </c>
    </row>
    <row r="56" spans="1:38">
      <c r="A56" s="1">
        <v>27</v>
      </c>
      <c r="B56" s="24" t="s">
        <v>1344</v>
      </c>
      <c r="C56" s="24" t="s">
        <v>1329</v>
      </c>
      <c r="D56" s="24" t="s">
        <v>1342</v>
      </c>
      <c r="E56" s="24" t="s">
        <v>329</v>
      </c>
      <c r="F56" s="24" t="s">
        <v>330</v>
      </c>
      <c r="G56" s="25">
        <f>VLOOKUP(A56,负载电气特性!A:G,7,FALSE)</f>
        <v>28</v>
      </c>
      <c r="H56" s="26" t="s">
        <v>66</v>
      </c>
      <c r="I56" s="25" t="s">
        <v>1706</v>
      </c>
      <c r="J56" s="24" t="s">
        <v>1707</v>
      </c>
      <c r="K56" s="25">
        <v>0.03</v>
      </c>
      <c r="L56" s="25">
        <v>1</v>
      </c>
      <c r="M56" s="25">
        <v>1</v>
      </c>
      <c r="N56" s="25">
        <v>1</v>
      </c>
      <c r="O56" s="25">
        <v>1</v>
      </c>
      <c r="P56" s="25">
        <v>1</v>
      </c>
      <c r="Q56" s="25">
        <v>1</v>
      </c>
      <c r="R56" s="25">
        <v>1</v>
      </c>
      <c r="S56" s="25">
        <v>1</v>
      </c>
      <c r="T56" s="25">
        <v>1</v>
      </c>
      <c r="U56" s="27">
        <f>_xlfn.LET(_xlpm.maxVal,_xlfn.MAXIFS($K:$K,$A:$A,A56),IF(AND(_xlpm.maxVal=K56,L56&lt;&gt;0),_xlpm.maxVal,""))</f>
        <v>0.03</v>
      </c>
      <c r="V56" s="27">
        <f>_xlfn.LET(_xlpm.maxVal,_xlfn.MAXIFS($K:$K,$A:$A,A56),IF(AND(_xlpm.maxVal=K56,M56&lt;&gt;0),_xlpm.maxVal,""))</f>
        <v>0.03</v>
      </c>
      <c r="W56" s="27">
        <f>_xlfn.LET(_xlpm.maxVal,_xlfn.MAXIFS($K:$K,$A:$A,A56),IF(AND(_xlpm.maxVal=K56,N56&lt;&gt;0),_xlpm.maxVal,""))</f>
        <v>0.03</v>
      </c>
      <c r="X56" s="27">
        <f>_xlfn.LET(_xlpm.maxVal,_xlfn.MAXIFS($K:$K,$A:$A,A56),IF(AND(_xlpm.maxVal=K56,O56&lt;&gt;0),_xlpm.maxVal,""))</f>
        <v>0.03</v>
      </c>
      <c r="Y56" s="27">
        <f>_xlfn.LET(_xlpm.maxVal,_xlfn.MAXIFS($K:$K,$A:$A,A56),IF(AND(_xlpm.maxVal=K56,P56&lt;&gt;0),_xlpm.maxVal,""))</f>
        <v>0.03</v>
      </c>
      <c r="Z56" s="27">
        <f>_xlfn.LET(_xlpm.maxVal,_xlfn.MAXIFS($K:$K,$A:$A,A56),IF(AND(_xlpm.maxVal=K56,Q56&lt;&gt;0),_xlpm.maxVal,""))</f>
        <v>0.03</v>
      </c>
      <c r="AA56" s="27">
        <f>_xlfn.LET(_xlpm.maxVal,_xlfn.MAXIFS($K:$K,$A:$A,A56),IF(AND(_xlpm.maxVal=K56,R56&lt;&gt;0),_xlpm.maxVal,""))</f>
        <v>0.03</v>
      </c>
      <c r="AB56" s="27">
        <f>_xlfn.LET(_xlpm.maxVal,_xlfn.MAXIFS($K:$K,$A:$A,A56),IF(AND(_xlpm.maxVal=K56,S56&lt;&gt;0),_xlpm.maxVal,""))</f>
        <v>0.03</v>
      </c>
      <c r="AC56" s="27">
        <f>_xlfn.LET(_xlpm.maxVal,_xlfn.MAXIFS($K:$K,$A:$A,A56),IF(AND(_xlpm.maxVal=K56,T56&lt;&gt;0),_xlpm.maxVal,""))</f>
        <v>0.03</v>
      </c>
      <c r="AD56" s="27">
        <f>$K56*L56*负载统计!$K$3/60</f>
        <v>0</v>
      </c>
      <c r="AE56" s="27">
        <f>$K56*L56*负载统计!$K$4/60</f>
        <v>0</v>
      </c>
      <c r="AF56" s="27">
        <f>$K56*N56*负载统计!$K$5/60</f>
        <v>0.0005</v>
      </c>
      <c r="AG56" s="27">
        <f>$K56*O56*负载统计!$K$6/60</f>
        <v>0.0015</v>
      </c>
      <c r="AH56" s="27">
        <f>$K56*P56*负载统计!$K$7/60</f>
        <v>0.003385</v>
      </c>
      <c r="AI56" s="27">
        <f>$K56*Q56*负载统计!$K$8/60</f>
        <v>0.0218</v>
      </c>
      <c r="AJ56" s="27">
        <f>$K56*R56*负载统计!$K$9/60</f>
        <v>0.006925</v>
      </c>
      <c r="AK56" s="27">
        <f>$K56*S56*负载统计!$K$10/60</f>
        <v>0.00025</v>
      </c>
      <c r="AL56" s="27">
        <f>$K56*T56*负载统计!$K$11/60</f>
        <v>0.002</v>
      </c>
    </row>
    <row r="57" spans="1:38">
      <c r="A57" s="1">
        <v>27</v>
      </c>
      <c r="B57" s="24" t="s">
        <v>1344</v>
      </c>
      <c r="C57" s="24" t="s">
        <v>1329</v>
      </c>
      <c r="D57" s="24" t="s">
        <v>1342</v>
      </c>
      <c r="E57" s="24" t="s">
        <v>329</v>
      </c>
      <c r="F57" s="24" t="s">
        <v>330</v>
      </c>
      <c r="G57" s="25">
        <f>VLOOKUP(A57,负载电气特性!A:G,7,FALSE)</f>
        <v>28</v>
      </c>
      <c r="H57" s="26" t="s">
        <v>66</v>
      </c>
      <c r="I57" s="25" t="s">
        <v>1706</v>
      </c>
      <c r="J57" s="24" t="s">
        <v>1708</v>
      </c>
      <c r="K57" s="25">
        <v>0</v>
      </c>
      <c r="L57" s="25">
        <v>0</v>
      </c>
      <c r="M57" s="25">
        <v>0</v>
      </c>
      <c r="N57" s="25">
        <v>0</v>
      </c>
      <c r="O57" s="25">
        <v>0</v>
      </c>
      <c r="P57" s="25">
        <v>0</v>
      </c>
      <c r="Q57" s="25">
        <v>0</v>
      </c>
      <c r="R57" s="25">
        <v>0</v>
      </c>
      <c r="S57" s="25">
        <v>0</v>
      </c>
      <c r="T57" s="25">
        <v>0</v>
      </c>
      <c r="U57" s="27" t="str">
        <f>_xlfn.LET(_xlpm.maxVal,_xlfn.MAXIFS($K:$K,$A:$A,A57),IF(AND(_xlpm.maxVal=K57,L57&lt;&gt;0),_xlpm.maxVal,""))</f>
        <v/>
      </c>
      <c r="V57" s="27" t="str">
        <f>_xlfn.LET(_xlpm.maxVal,_xlfn.MAXIFS($K:$K,$A:$A,A57),IF(AND(_xlpm.maxVal=K57,M57&lt;&gt;0),_xlpm.maxVal,""))</f>
        <v/>
      </c>
      <c r="W57" s="27" t="str">
        <f>_xlfn.LET(_xlpm.maxVal,_xlfn.MAXIFS($K:$K,$A:$A,A57),IF(AND(_xlpm.maxVal=K57,N57&lt;&gt;0),_xlpm.maxVal,""))</f>
        <v/>
      </c>
      <c r="X57" s="27" t="str">
        <f>_xlfn.LET(_xlpm.maxVal,_xlfn.MAXIFS($K:$K,$A:$A,A57),IF(AND(_xlpm.maxVal=K57,O57&lt;&gt;0),_xlpm.maxVal,""))</f>
        <v/>
      </c>
      <c r="Y57" s="27" t="str">
        <f>_xlfn.LET(_xlpm.maxVal,_xlfn.MAXIFS($K:$K,$A:$A,A57),IF(AND(_xlpm.maxVal=K57,P57&lt;&gt;0),_xlpm.maxVal,""))</f>
        <v/>
      </c>
      <c r="Z57" s="27" t="str">
        <f>_xlfn.LET(_xlpm.maxVal,_xlfn.MAXIFS($K:$K,$A:$A,A57),IF(AND(_xlpm.maxVal=K57,Q57&lt;&gt;0),_xlpm.maxVal,""))</f>
        <v/>
      </c>
      <c r="AA57" s="27" t="str">
        <f>_xlfn.LET(_xlpm.maxVal,_xlfn.MAXIFS($K:$K,$A:$A,A57),IF(AND(_xlpm.maxVal=K57,R57&lt;&gt;0),_xlpm.maxVal,""))</f>
        <v/>
      </c>
      <c r="AB57" s="27" t="str">
        <f>_xlfn.LET(_xlpm.maxVal,_xlfn.MAXIFS($K:$K,$A:$A,A57),IF(AND(_xlpm.maxVal=K57,S57&lt;&gt;0),_xlpm.maxVal,""))</f>
        <v/>
      </c>
      <c r="AC57" s="27" t="str">
        <f>_xlfn.LET(_xlpm.maxVal,_xlfn.MAXIFS($K:$K,$A:$A,A57),IF(AND(_xlpm.maxVal=K57,T57&lt;&gt;0),_xlpm.maxVal,""))</f>
        <v/>
      </c>
      <c r="AD57" s="27">
        <f>$K57*L57*负载统计!$K$3/60</f>
        <v>0</v>
      </c>
      <c r="AE57" s="27">
        <f>$K57*L57*负载统计!$K$4/60</f>
        <v>0</v>
      </c>
      <c r="AF57" s="27">
        <f>$K57*N57*负载统计!$K$5/60</f>
        <v>0</v>
      </c>
      <c r="AG57" s="27">
        <f>$K57*O57*负载统计!$K$6/60</f>
        <v>0</v>
      </c>
      <c r="AH57" s="27">
        <f>$K57*P57*负载统计!$K$7/60</f>
        <v>0</v>
      </c>
      <c r="AI57" s="27">
        <f>$K57*Q57*负载统计!$K$8/60</f>
        <v>0</v>
      </c>
      <c r="AJ57" s="27">
        <f>$K57*R57*负载统计!$K$9/60</f>
        <v>0</v>
      </c>
      <c r="AK57" s="27">
        <f>$K57*S57*负载统计!$K$10/60</f>
        <v>0</v>
      </c>
      <c r="AL57" s="27">
        <f>$K57*T57*负载统计!$K$11/60</f>
        <v>0</v>
      </c>
    </row>
    <row r="58" spans="1:38">
      <c r="A58" s="1">
        <v>28</v>
      </c>
      <c r="B58" s="24" t="s">
        <v>1346</v>
      </c>
      <c r="C58" s="24" t="s">
        <v>1329</v>
      </c>
      <c r="D58" s="24" t="s">
        <v>1347</v>
      </c>
      <c r="E58" s="24" t="s">
        <v>329</v>
      </c>
      <c r="F58" s="24" t="s">
        <v>332</v>
      </c>
      <c r="G58" s="25">
        <f>VLOOKUP(A58,负载电气特性!A:G,7,FALSE)</f>
        <v>270</v>
      </c>
      <c r="H58" s="26" t="s">
        <v>66</v>
      </c>
      <c r="I58" s="24" t="s">
        <v>1709</v>
      </c>
      <c r="J58" s="25" t="s">
        <v>1710</v>
      </c>
      <c r="K58" s="25">
        <v>2.5</v>
      </c>
      <c r="L58" s="25">
        <v>0</v>
      </c>
      <c r="M58" s="24">
        <v>0.2</v>
      </c>
      <c r="N58" s="25">
        <v>0.1</v>
      </c>
      <c r="O58" s="25">
        <v>0.15</v>
      </c>
      <c r="P58" s="25">
        <v>0.35</v>
      </c>
      <c r="Q58" s="25">
        <v>0.2</v>
      </c>
      <c r="R58" s="25">
        <v>0.3</v>
      </c>
      <c r="S58" s="25">
        <v>0.25</v>
      </c>
      <c r="T58" s="25">
        <v>0.15</v>
      </c>
      <c r="U58" s="27" t="str">
        <f>_xlfn.LET(_xlpm.maxVal,_xlfn.MAXIFS($K:$K,$A:$A,A58),IF(AND(_xlpm.maxVal=K58,L58&lt;&gt;0),_xlpm.maxVal,""))</f>
        <v/>
      </c>
      <c r="V58" s="27">
        <f>_xlfn.LET(_xlpm.maxVal,_xlfn.MAXIFS($K:$K,$A:$A,A58),IF(AND(_xlpm.maxVal=K58,M58&lt;&gt;0),_xlpm.maxVal,""))</f>
        <v>2.5</v>
      </c>
      <c r="W58" s="27">
        <f>_xlfn.LET(_xlpm.maxVal,_xlfn.MAXIFS($K:$K,$A:$A,A58),IF(AND(_xlpm.maxVal=K58,N58&lt;&gt;0),_xlpm.maxVal,""))</f>
        <v>2.5</v>
      </c>
      <c r="X58" s="27">
        <f>_xlfn.LET(_xlpm.maxVal,_xlfn.MAXIFS($K:$K,$A:$A,A58),IF(AND(_xlpm.maxVal=K58,O58&lt;&gt;0),_xlpm.maxVal,""))</f>
        <v>2.5</v>
      </c>
      <c r="Y58" s="27">
        <f>_xlfn.LET(_xlpm.maxVal,_xlfn.MAXIFS($K:$K,$A:$A,A58),IF(AND(_xlpm.maxVal=K58,P58&lt;&gt;0),_xlpm.maxVal,""))</f>
        <v>2.5</v>
      </c>
      <c r="Z58" s="27">
        <f>_xlfn.LET(_xlpm.maxVal,_xlfn.MAXIFS($K:$K,$A:$A,A58),IF(AND(_xlpm.maxVal=K58,Q58&lt;&gt;0),_xlpm.maxVal,""))</f>
        <v>2.5</v>
      </c>
      <c r="AA58" s="27">
        <f>_xlfn.LET(_xlpm.maxVal,_xlfn.MAXIFS($K:$K,$A:$A,A58),IF(AND(_xlpm.maxVal=K58,R58&lt;&gt;0),_xlpm.maxVal,""))</f>
        <v>2.5</v>
      </c>
      <c r="AB58" s="27">
        <f>_xlfn.LET(_xlpm.maxVal,_xlfn.MAXIFS($K:$K,$A:$A,A58),IF(AND(_xlpm.maxVal=K58,S58&lt;&gt;0),_xlpm.maxVal,""))</f>
        <v>2.5</v>
      </c>
      <c r="AC58" s="27">
        <f>_xlfn.LET(_xlpm.maxVal,_xlfn.MAXIFS($K:$K,$A:$A,A58),IF(AND(_xlpm.maxVal=K58,T58&lt;&gt;0),_xlpm.maxVal,""))</f>
        <v>2.5</v>
      </c>
      <c r="AD58" s="27">
        <f>$K58*L58*负载统计!$K$3/60</f>
        <v>0</v>
      </c>
      <c r="AE58" s="27">
        <f>$K58*L58*负载统计!$K$4/60</f>
        <v>0</v>
      </c>
      <c r="AF58" s="27">
        <f>$K58*N58*负载统计!$K$5/60</f>
        <v>0.00416666666666667</v>
      </c>
      <c r="AG58" s="27">
        <f>$K58*O58*负载统计!$K$6/60</f>
        <v>0.01875</v>
      </c>
      <c r="AH58" s="27">
        <f>$K58*P58*负载统计!$K$7/60</f>
        <v>0.0987291666666667</v>
      </c>
      <c r="AI58" s="27">
        <f>$K58*Q58*负载统计!$K$8/60</f>
        <v>0.363333333333333</v>
      </c>
      <c r="AJ58" s="27">
        <f>$K58*R58*负载统计!$K$9/60</f>
        <v>0.173125</v>
      </c>
      <c r="AK58" s="27">
        <f>$K58*S58*负载统计!$K$10/60</f>
        <v>0.00520833333333333</v>
      </c>
      <c r="AL58" s="27">
        <f>$K58*T58*负载统计!$K$11/60</f>
        <v>0.025</v>
      </c>
    </row>
    <row r="59" spans="1:38">
      <c r="A59" s="1">
        <v>28</v>
      </c>
      <c r="B59" s="24" t="s">
        <v>1346</v>
      </c>
      <c r="C59" s="24" t="s">
        <v>1329</v>
      </c>
      <c r="D59" s="24" t="s">
        <v>1347</v>
      </c>
      <c r="E59" s="24" t="s">
        <v>329</v>
      </c>
      <c r="F59" s="24" t="s">
        <v>332</v>
      </c>
      <c r="G59" s="25">
        <f>VLOOKUP(A59,负载电气特性!A:G,7,FALSE)</f>
        <v>270</v>
      </c>
      <c r="H59" s="26" t="s">
        <v>66</v>
      </c>
      <c r="I59" s="24" t="s">
        <v>1709</v>
      </c>
      <c r="J59" s="25" t="s">
        <v>1711</v>
      </c>
      <c r="K59" s="25">
        <v>1.9</v>
      </c>
      <c r="L59" s="25">
        <v>0</v>
      </c>
      <c r="M59" s="24">
        <v>0</v>
      </c>
      <c r="N59" s="24">
        <v>0</v>
      </c>
      <c r="O59" s="24">
        <v>0</v>
      </c>
      <c r="P59" s="24">
        <v>0</v>
      </c>
      <c r="Q59" s="24">
        <v>0</v>
      </c>
      <c r="R59" s="24">
        <v>0</v>
      </c>
      <c r="S59" s="24">
        <v>0</v>
      </c>
      <c r="T59" s="24">
        <v>0</v>
      </c>
      <c r="U59" s="27" t="str">
        <f>_xlfn.LET(_xlpm.maxVal,_xlfn.MAXIFS($K:$K,$A:$A,A59),IF(AND(_xlpm.maxVal=K59,L59&lt;&gt;0),_xlpm.maxVal,""))</f>
        <v/>
      </c>
      <c r="V59" s="27" t="str">
        <f>_xlfn.LET(_xlpm.maxVal,_xlfn.MAXIFS($K:$K,$A:$A,A59),IF(AND(_xlpm.maxVal=K59,M59&lt;&gt;0),_xlpm.maxVal,""))</f>
        <v/>
      </c>
      <c r="W59" s="27" t="str">
        <f>_xlfn.LET(_xlpm.maxVal,_xlfn.MAXIFS($K:$K,$A:$A,A59),IF(AND(_xlpm.maxVal=K59,N59&lt;&gt;0),_xlpm.maxVal,""))</f>
        <v/>
      </c>
      <c r="X59" s="27" t="str">
        <f>_xlfn.LET(_xlpm.maxVal,_xlfn.MAXIFS($K:$K,$A:$A,A59),IF(AND(_xlpm.maxVal=K59,O59&lt;&gt;0),_xlpm.maxVal,""))</f>
        <v/>
      </c>
      <c r="Y59" s="27" t="str">
        <f>_xlfn.LET(_xlpm.maxVal,_xlfn.MAXIFS($K:$K,$A:$A,A59),IF(AND(_xlpm.maxVal=K59,P59&lt;&gt;0),_xlpm.maxVal,""))</f>
        <v/>
      </c>
      <c r="Z59" s="27" t="str">
        <f>_xlfn.LET(_xlpm.maxVal,_xlfn.MAXIFS($K:$K,$A:$A,A59),IF(AND(_xlpm.maxVal=K59,Q59&lt;&gt;0),_xlpm.maxVal,""))</f>
        <v/>
      </c>
      <c r="AA59" s="27" t="str">
        <f>_xlfn.LET(_xlpm.maxVal,_xlfn.MAXIFS($K:$K,$A:$A,A59),IF(AND(_xlpm.maxVal=K59,R59&lt;&gt;0),_xlpm.maxVal,""))</f>
        <v/>
      </c>
      <c r="AB59" s="27" t="str">
        <f>_xlfn.LET(_xlpm.maxVal,_xlfn.MAXIFS($K:$K,$A:$A,A59),IF(AND(_xlpm.maxVal=K59,S59&lt;&gt;0),_xlpm.maxVal,""))</f>
        <v/>
      </c>
      <c r="AC59" s="27" t="str">
        <f>_xlfn.LET(_xlpm.maxVal,_xlfn.MAXIFS($K:$K,$A:$A,A59),IF(AND(_xlpm.maxVal=K59,T59&lt;&gt;0),_xlpm.maxVal,""))</f>
        <v/>
      </c>
      <c r="AD59" s="27">
        <f>$K59*L59*负载统计!$K$3/60</f>
        <v>0</v>
      </c>
      <c r="AE59" s="27">
        <f>$K59*L59*负载统计!$K$4/60</f>
        <v>0</v>
      </c>
      <c r="AF59" s="27">
        <f>$K59*N59*负载统计!$K$5/60</f>
        <v>0</v>
      </c>
      <c r="AG59" s="27">
        <f>$K59*O59*负载统计!$K$6/60</f>
        <v>0</v>
      </c>
      <c r="AH59" s="27">
        <f>$K59*P59*负载统计!$K$7/60</f>
        <v>0</v>
      </c>
      <c r="AI59" s="27">
        <f>$K59*Q59*负载统计!$K$8/60</f>
        <v>0</v>
      </c>
      <c r="AJ59" s="27">
        <f>$K59*R59*负载统计!$K$9/60</f>
        <v>0</v>
      </c>
      <c r="AK59" s="27">
        <f>$K59*S59*负载统计!$K$10/60</f>
        <v>0</v>
      </c>
      <c r="AL59" s="27">
        <f>$K59*T59*负载统计!$K$11/60</f>
        <v>0</v>
      </c>
    </row>
    <row r="60" spans="1:38">
      <c r="A60" s="1">
        <v>28</v>
      </c>
      <c r="B60" s="24" t="s">
        <v>1346</v>
      </c>
      <c r="C60" s="24" t="s">
        <v>1329</v>
      </c>
      <c r="D60" s="24" t="s">
        <v>1347</v>
      </c>
      <c r="E60" s="24" t="s">
        <v>329</v>
      </c>
      <c r="F60" s="24" t="s">
        <v>332</v>
      </c>
      <c r="G60" s="25">
        <f>VLOOKUP(A60,负载电气特性!A:G,7,FALSE)</f>
        <v>270</v>
      </c>
      <c r="H60" s="26" t="s">
        <v>66</v>
      </c>
      <c r="I60" s="24" t="s">
        <v>1709</v>
      </c>
      <c r="J60" s="24" t="s">
        <v>1708</v>
      </c>
      <c r="K60" s="25">
        <v>0</v>
      </c>
      <c r="L60" s="25">
        <v>1</v>
      </c>
      <c r="M60" s="25">
        <v>0.8</v>
      </c>
      <c r="N60" s="25">
        <v>0.9</v>
      </c>
      <c r="O60" s="25">
        <v>0.85</v>
      </c>
      <c r="P60" s="25">
        <v>0.65</v>
      </c>
      <c r="Q60" s="25">
        <v>0.8</v>
      </c>
      <c r="R60" s="25">
        <v>0.7</v>
      </c>
      <c r="S60" s="25">
        <v>0.75</v>
      </c>
      <c r="T60" s="25">
        <v>0.85</v>
      </c>
      <c r="U60" s="27" t="str">
        <f>_xlfn.LET(_xlpm.maxVal,_xlfn.MAXIFS($K:$K,$A:$A,A60),IF(AND(_xlpm.maxVal=K60,L60&lt;&gt;0),_xlpm.maxVal,""))</f>
        <v/>
      </c>
      <c r="V60" s="27" t="str">
        <f>_xlfn.LET(_xlpm.maxVal,_xlfn.MAXIFS($K:$K,$A:$A,A60),IF(AND(_xlpm.maxVal=K60,M60&lt;&gt;0),_xlpm.maxVal,""))</f>
        <v/>
      </c>
      <c r="W60" s="27" t="str">
        <f>_xlfn.LET(_xlpm.maxVal,_xlfn.MAXIFS($K:$K,$A:$A,A60),IF(AND(_xlpm.maxVal=K60,N60&lt;&gt;0),_xlpm.maxVal,""))</f>
        <v/>
      </c>
      <c r="X60" s="27" t="str">
        <f>_xlfn.LET(_xlpm.maxVal,_xlfn.MAXIFS($K:$K,$A:$A,A60),IF(AND(_xlpm.maxVal=K60,O60&lt;&gt;0),_xlpm.maxVal,""))</f>
        <v/>
      </c>
      <c r="Y60" s="27" t="str">
        <f>_xlfn.LET(_xlpm.maxVal,_xlfn.MAXIFS($K:$K,$A:$A,A60),IF(AND(_xlpm.maxVal=K60,P60&lt;&gt;0),_xlpm.maxVal,""))</f>
        <v/>
      </c>
      <c r="Z60" s="27" t="str">
        <f>_xlfn.LET(_xlpm.maxVal,_xlfn.MAXIFS($K:$K,$A:$A,A60),IF(AND(_xlpm.maxVal=K60,Q60&lt;&gt;0),_xlpm.maxVal,""))</f>
        <v/>
      </c>
      <c r="AA60" s="27" t="str">
        <f>_xlfn.LET(_xlpm.maxVal,_xlfn.MAXIFS($K:$K,$A:$A,A60),IF(AND(_xlpm.maxVal=K60,R60&lt;&gt;0),_xlpm.maxVal,""))</f>
        <v/>
      </c>
      <c r="AB60" s="27" t="str">
        <f>_xlfn.LET(_xlpm.maxVal,_xlfn.MAXIFS($K:$K,$A:$A,A60),IF(AND(_xlpm.maxVal=K60,S60&lt;&gt;0),_xlpm.maxVal,""))</f>
        <v/>
      </c>
      <c r="AC60" s="27" t="str">
        <f>_xlfn.LET(_xlpm.maxVal,_xlfn.MAXIFS($K:$K,$A:$A,A60),IF(AND(_xlpm.maxVal=K60,T60&lt;&gt;0),_xlpm.maxVal,""))</f>
        <v/>
      </c>
      <c r="AD60" s="27">
        <f>$K60*L60*负载统计!$K$3/60</f>
        <v>0</v>
      </c>
      <c r="AE60" s="27">
        <f>$K60*L60*负载统计!$K$4/60</f>
        <v>0</v>
      </c>
      <c r="AF60" s="27">
        <f>$K60*N60*负载统计!$K$5/60</f>
        <v>0</v>
      </c>
      <c r="AG60" s="27">
        <f>$K60*O60*负载统计!$K$6/60</f>
        <v>0</v>
      </c>
      <c r="AH60" s="27">
        <f>$K60*P60*负载统计!$K$7/60</f>
        <v>0</v>
      </c>
      <c r="AI60" s="27">
        <f>$K60*Q60*负载统计!$K$8/60</f>
        <v>0</v>
      </c>
      <c r="AJ60" s="27">
        <f>$K60*R60*负载统计!$K$9/60</f>
        <v>0</v>
      </c>
      <c r="AK60" s="27">
        <f>$K60*S60*负载统计!$K$10/60</f>
        <v>0</v>
      </c>
      <c r="AL60" s="27">
        <f>$K60*T60*负载统计!$K$11/60</f>
        <v>0</v>
      </c>
    </row>
    <row r="61" spans="1:38">
      <c r="A61" s="1">
        <v>29</v>
      </c>
      <c r="B61" s="24" t="s">
        <v>1348</v>
      </c>
      <c r="C61" s="24" t="s">
        <v>1329</v>
      </c>
      <c r="D61" s="24" t="s">
        <v>1347</v>
      </c>
      <c r="E61" s="24" t="s">
        <v>329</v>
      </c>
      <c r="F61" s="24" t="s">
        <v>332</v>
      </c>
      <c r="G61" s="25">
        <f>VLOOKUP(A61,负载电气特性!A:G,7,FALSE)</f>
        <v>28</v>
      </c>
      <c r="H61" s="26" t="s">
        <v>66</v>
      </c>
      <c r="I61" s="25" t="s">
        <v>1706</v>
      </c>
      <c r="J61" s="24" t="s">
        <v>1707</v>
      </c>
      <c r="K61" s="25">
        <v>0.03</v>
      </c>
      <c r="L61" s="25">
        <v>1</v>
      </c>
      <c r="M61" s="25">
        <v>1</v>
      </c>
      <c r="N61" s="25">
        <v>1</v>
      </c>
      <c r="O61" s="25">
        <v>1</v>
      </c>
      <c r="P61" s="25">
        <v>1</v>
      </c>
      <c r="Q61" s="25">
        <v>1</v>
      </c>
      <c r="R61" s="25">
        <v>1</v>
      </c>
      <c r="S61" s="25">
        <v>1</v>
      </c>
      <c r="T61" s="25">
        <v>1</v>
      </c>
      <c r="U61" s="27">
        <f>_xlfn.LET(_xlpm.maxVal,_xlfn.MAXIFS($K:$K,$A:$A,A61),IF(AND(_xlpm.maxVal=K61,L61&lt;&gt;0),_xlpm.maxVal,""))</f>
        <v>0.03</v>
      </c>
      <c r="V61" s="27">
        <f>_xlfn.LET(_xlpm.maxVal,_xlfn.MAXIFS($K:$K,$A:$A,A61),IF(AND(_xlpm.maxVal=K61,M61&lt;&gt;0),_xlpm.maxVal,""))</f>
        <v>0.03</v>
      </c>
      <c r="W61" s="27">
        <f>_xlfn.LET(_xlpm.maxVal,_xlfn.MAXIFS($K:$K,$A:$A,A61),IF(AND(_xlpm.maxVal=K61,N61&lt;&gt;0),_xlpm.maxVal,""))</f>
        <v>0.03</v>
      </c>
      <c r="X61" s="27">
        <f>_xlfn.LET(_xlpm.maxVal,_xlfn.MAXIFS($K:$K,$A:$A,A61),IF(AND(_xlpm.maxVal=K61,O61&lt;&gt;0),_xlpm.maxVal,""))</f>
        <v>0.03</v>
      </c>
      <c r="Y61" s="27">
        <f>_xlfn.LET(_xlpm.maxVal,_xlfn.MAXIFS($K:$K,$A:$A,A61),IF(AND(_xlpm.maxVal=K61,P61&lt;&gt;0),_xlpm.maxVal,""))</f>
        <v>0.03</v>
      </c>
      <c r="Z61" s="27">
        <f>_xlfn.LET(_xlpm.maxVal,_xlfn.MAXIFS($K:$K,$A:$A,A61),IF(AND(_xlpm.maxVal=K61,Q61&lt;&gt;0),_xlpm.maxVal,""))</f>
        <v>0.03</v>
      </c>
      <c r="AA61" s="27">
        <f>_xlfn.LET(_xlpm.maxVal,_xlfn.MAXIFS($K:$K,$A:$A,A61),IF(AND(_xlpm.maxVal=K61,R61&lt;&gt;0),_xlpm.maxVal,""))</f>
        <v>0.03</v>
      </c>
      <c r="AB61" s="27">
        <f>_xlfn.LET(_xlpm.maxVal,_xlfn.MAXIFS($K:$K,$A:$A,A61),IF(AND(_xlpm.maxVal=K61,S61&lt;&gt;0),_xlpm.maxVal,""))</f>
        <v>0.03</v>
      </c>
      <c r="AC61" s="27">
        <f>_xlfn.LET(_xlpm.maxVal,_xlfn.MAXIFS($K:$K,$A:$A,A61),IF(AND(_xlpm.maxVal=K61,T61&lt;&gt;0),_xlpm.maxVal,""))</f>
        <v>0.03</v>
      </c>
      <c r="AD61" s="27">
        <f>$K61*L61*负载统计!$K$3/60</f>
        <v>0</v>
      </c>
      <c r="AE61" s="27">
        <f>$K61*L61*负载统计!$K$4/60</f>
        <v>0</v>
      </c>
      <c r="AF61" s="27">
        <f>$K61*N61*负载统计!$K$5/60</f>
        <v>0.0005</v>
      </c>
      <c r="AG61" s="27">
        <f>$K61*O61*负载统计!$K$6/60</f>
        <v>0.0015</v>
      </c>
      <c r="AH61" s="27">
        <f>$K61*P61*负载统计!$K$7/60</f>
        <v>0.003385</v>
      </c>
      <c r="AI61" s="27">
        <f>$K61*Q61*负载统计!$K$8/60</f>
        <v>0.0218</v>
      </c>
      <c r="AJ61" s="27">
        <f>$K61*R61*负载统计!$K$9/60</f>
        <v>0.006925</v>
      </c>
      <c r="AK61" s="27">
        <f>$K61*S61*负载统计!$K$10/60</f>
        <v>0.00025</v>
      </c>
      <c r="AL61" s="27">
        <f>$K61*T61*负载统计!$K$11/60</f>
        <v>0.002</v>
      </c>
    </row>
    <row r="62" spans="1:38">
      <c r="A62" s="1">
        <v>29</v>
      </c>
      <c r="B62" s="24" t="s">
        <v>1348</v>
      </c>
      <c r="C62" s="24" t="s">
        <v>1329</v>
      </c>
      <c r="D62" s="24" t="s">
        <v>1347</v>
      </c>
      <c r="E62" s="24" t="s">
        <v>329</v>
      </c>
      <c r="F62" s="24" t="s">
        <v>332</v>
      </c>
      <c r="G62" s="25">
        <f>VLOOKUP(A62,负载电气特性!A:G,7,FALSE)</f>
        <v>28</v>
      </c>
      <c r="H62" s="26" t="s">
        <v>66</v>
      </c>
      <c r="I62" s="25" t="s">
        <v>1706</v>
      </c>
      <c r="J62" s="24" t="s">
        <v>1708</v>
      </c>
      <c r="K62" s="25">
        <v>0</v>
      </c>
      <c r="L62" s="25">
        <v>0</v>
      </c>
      <c r="M62" s="25">
        <v>0</v>
      </c>
      <c r="N62" s="25">
        <v>0</v>
      </c>
      <c r="O62" s="25">
        <v>0</v>
      </c>
      <c r="P62" s="25">
        <v>0</v>
      </c>
      <c r="Q62" s="25">
        <v>0</v>
      </c>
      <c r="R62" s="25">
        <v>0</v>
      </c>
      <c r="S62" s="25">
        <v>0</v>
      </c>
      <c r="T62" s="25">
        <v>0</v>
      </c>
      <c r="U62" s="27" t="str">
        <f>_xlfn.LET(_xlpm.maxVal,_xlfn.MAXIFS($K:$K,$A:$A,A62),IF(AND(_xlpm.maxVal=K62,L62&lt;&gt;0),_xlpm.maxVal,""))</f>
        <v/>
      </c>
      <c r="V62" s="27" t="str">
        <f>_xlfn.LET(_xlpm.maxVal,_xlfn.MAXIFS($K:$K,$A:$A,A62),IF(AND(_xlpm.maxVal=K62,M62&lt;&gt;0),_xlpm.maxVal,""))</f>
        <v/>
      </c>
      <c r="W62" s="27" t="str">
        <f>_xlfn.LET(_xlpm.maxVal,_xlfn.MAXIFS($K:$K,$A:$A,A62),IF(AND(_xlpm.maxVal=K62,N62&lt;&gt;0),_xlpm.maxVal,""))</f>
        <v/>
      </c>
      <c r="X62" s="27" t="str">
        <f>_xlfn.LET(_xlpm.maxVal,_xlfn.MAXIFS($K:$K,$A:$A,A62),IF(AND(_xlpm.maxVal=K62,O62&lt;&gt;0),_xlpm.maxVal,""))</f>
        <v/>
      </c>
      <c r="Y62" s="27" t="str">
        <f>_xlfn.LET(_xlpm.maxVal,_xlfn.MAXIFS($K:$K,$A:$A,A62),IF(AND(_xlpm.maxVal=K62,P62&lt;&gt;0),_xlpm.maxVal,""))</f>
        <v/>
      </c>
      <c r="Z62" s="27" t="str">
        <f>_xlfn.LET(_xlpm.maxVal,_xlfn.MAXIFS($K:$K,$A:$A,A62),IF(AND(_xlpm.maxVal=K62,Q62&lt;&gt;0),_xlpm.maxVal,""))</f>
        <v/>
      </c>
      <c r="AA62" s="27" t="str">
        <f>_xlfn.LET(_xlpm.maxVal,_xlfn.MAXIFS($K:$K,$A:$A,A62),IF(AND(_xlpm.maxVal=K62,R62&lt;&gt;0),_xlpm.maxVal,""))</f>
        <v/>
      </c>
      <c r="AB62" s="27" t="str">
        <f>_xlfn.LET(_xlpm.maxVal,_xlfn.MAXIFS($K:$K,$A:$A,A62),IF(AND(_xlpm.maxVal=K62,S62&lt;&gt;0),_xlpm.maxVal,""))</f>
        <v/>
      </c>
      <c r="AC62" s="27" t="str">
        <f>_xlfn.LET(_xlpm.maxVal,_xlfn.MAXIFS($K:$K,$A:$A,A62),IF(AND(_xlpm.maxVal=K62,T62&lt;&gt;0),_xlpm.maxVal,""))</f>
        <v/>
      </c>
      <c r="AD62" s="27">
        <f>$K62*L62*负载统计!$K$3/60</f>
        <v>0</v>
      </c>
      <c r="AE62" s="27">
        <f>$K62*L62*负载统计!$K$4/60</f>
        <v>0</v>
      </c>
      <c r="AF62" s="27">
        <f>$K62*N62*负载统计!$K$5/60</f>
        <v>0</v>
      </c>
      <c r="AG62" s="27">
        <f>$K62*O62*负载统计!$K$6/60</f>
        <v>0</v>
      </c>
      <c r="AH62" s="27">
        <f>$K62*P62*负载统计!$K$7/60</f>
        <v>0</v>
      </c>
      <c r="AI62" s="27">
        <f>$K62*Q62*负载统计!$K$8/60</f>
        <v>0</v>
      </c>
      <c r="AJ62" s="27">
        <f>$K62*R62*负载统计!$K$9/60</f>
        <v>0</v>
      </c>
      <c r="AK62" s="27">
        <f>$K62*S62*负载统计!$K$10/60</f>
        <v>0</v>
      </c>
      <c r="AL62" s="27">
        <f>$K62*T62*负载统计!$K$11/60</f>
        <v>0</v>
      </c>
    </row>
    <row r="63" spans="1:38">
      <c r="A63" s="1">
        <v>30</v>
      </c>
      <c r="B63" s="24" t="s">
        <v>1349</v>
      </c>
      <c r="C63" s="24" t="s">
        <v>1329</v>
      </c>
      <c r="D63" s="24" t="s">
        <v>1350</v>
      </c>
      <c r="E63" s="24" t="s">
        <v>329</v>
      </c>
      <c r="F63" s="24" t="s">
        <v>334</v>
      </c>
      <c r="G63" s="25">
        <f>VLOOKUP(A63,负载电气特性!A:G,7,FALSE)</f>
        <v>270</v>
      </c>
      <c r="H63" s="26" t="s">
        <v>66</v>
      </c>
      <c r="I63" s="24" t="s">
        <v>1709</v>
      </c>
      <c r="J63" s="25" t="s">
        <v>1710</v>
      </c>
      <c r="K63" s="25">
        <v>2.5</v>
      </c>
      <c r="L63" s="25">
        <v>0</v>
      </c>
      <c r="M63" s="24">
        <v>0.2</v>
      </c>
      <c r="N63" s="25">
        <v>0.1</v>
      </c>
      <c r="O63" s="25">
        <v>0.15</v>
      </c>
      <c r="P63" s="25">
        <v>0.35</v>
      </c>
      <c r="Q63" s="25">
        <v>0.2</v>
      </c>
      <c r="R63" s="25">
        <v>0.3</v>
      </c>
      <c r="S63" s="25">
        <v>0.25</v>
      </c>
      <c r="T63" s="25">
        <v>0.15</v>
      </c>
      <c r="U63" s="27" t="str">
        <f>_xlfn.LET(_xlpm.maxVal,_xlfn.MAXIFS($K:$K,$A:$A,A63),IF(AND(_xlpm.maxVal=K63,L63&lt;&gt;0),_xlpm.maxVal,""))</f>
        <v/>
      </c>
      <c r="V63" s="27">
        <f>_xlfn.LET(_xlpm.maxVal,_xlfn.MAXIFS($K:$K,$A:$A,A63),IF(AND(_xlpm.maxVal=K63,M63&lt;&gt;0),_xlpm.maxVal,""))</f>
        <v>2.5</v>
      </c>
      <c r="W63" s="27">
        <f>_xlfn.LET(_xlpm.maxVal,_xlfn.MAXIFS($K:$K,$A:$A,A63),IF(AND(_xlpm.maxVal=K63,N63&lt;&gt;0),_xlpm.maxVal,""))</f>
        <v>2.5</v>
      </c>
      <c r="X63" s="27">
        <f>_xlfn.LET(_xlpm.maxVal,_xlfn.MAXIFS($K:$K,$A:$A,A63),IF(AND(_xlpm.maxVal=K63,O63&lt;&gt;0),_xlpm.maxVal,""))</f>
        <v>2.5</v>
      </c>
      <c r="Y63" s="27">
        <f>_xlfn.LET(_xlpm.maxVal,_xlfn.MAXIFS($K:$K,$A:$A,A63),IF(AND(_xlpm.maxVal=K63,P63&lt;&gt;0),_xlpm.maxVal,""))</f>
        <v>2.5</v>
      </c>
      <c r="Z63" s="27">
        <f>_xlfn.LET(_xlpm.maxVal,_xlfn.MAXIFS($K:$K,$A:$A,A63),IF(AND(_xlpm.maxVal=K63,Q63&lt;&gt;0),_xlpm.maxVal,""))</f>
        <v>2.5</v>
      </c>
      <c r="AA63" s="27">
        <f>_xlfn.LET(_xlpm.maxVal,_xlfn.MAXIFS($K:$K,$A:$A,A63),IF(AND(_xlpm.maxVal=K63,R63&lt;&gt;0),_xlpm.maxVal,""))</f>
        <v>2.5</v>
      </c>
      <c r="AB63" s="27">
        <f>_xlfn.LET(_xlpm.maxVal,_xlfn.MAXIFS($K:$K,$A:$A,A63),IF(AND(_xlpm.maxVal=K63,S63&lt;&gt;0),_xlpm.maxVal,""))</f>
        <v>2.5</v>
      </c>
      <c r="AC63" s="27">
        <f>_xlfn.LET(_xlpm.maxVal,_xlfn.MAXIFS($K:$K,$A:$A,A63),IF(AND(_xlpm.maxVal=K63,T63&lt;&gt;0),_xlpm.maxVal,""))</f>
        <v>2.5</v>
      </c>
      <c r="AD63" s="27">
        <f>$K63*L63*负载统计!$K$3/60</f>
        <v>0</v>
      </c>
      <c r="AE63" s="27">
        <f>$K63*L63*负载统计!$K$4/60</f>
        <v>0</v>
      </c>
      <c r="AF63" s="27">
        <f>$K63*N63*负载统计!$K$5/60</f>
        <v>0.00416666666666667</v>
      </c>
      <c r="AG63" s="27">
        <f>$K63*O63*负载统计!$K$6/60</f>
        <v>0.01875</v>
      </c>
      <c r="AH63" s="27">
        <f>$K63*P63*负载统计!$K$7/60</f>
        <v>0.0987291666666667</v>
      </c>
      <c r="AI63" s="27">
        <f>$K63*Q63*负载统计!$K$8/60</f>
        <v>0.363333333333333</v>
      </c>
      <c r="AJ63" s="27">
        <f>$K63*R63*负载统计!$K$9/60</f>
        <v>0.173125</v>
      </c>
      <c r="AK63" s="27">
        <f>$K63*S63*负载统计!$K$10/60</f>
        <v>0.00520833333333333</v>
      </c>
      <c r="AL63" s="27">
        <f>$K63*T63*负载统计!$K$11/60</f>
        <v>0.025</v>
      </c>
    </row>
    <row r="64" spans="1:38">
      <c r="A64" s="1">
        <v>30</v>
      </c>
      <c r="B64" s="24" t="s">
        <v>1349</v>
      </c>
      <c r="C64" s="24" t="s">
        <v>1329</v>
      </c>
      <c r="D64" s="24" t="s">
        <v>1350</v>
      </c>
      <c r="E64" s="24" t="s">
        <v>329</v>
      </c>
      <c r="F64" s="24" t="s">
        <v>334</v>
      </c>
      <c r="G64" s="25">
        <f>VLOOKUP(A64,负载电气特性!A:G,7,FALSE)</f>
        <v>270</v>
      </c>
      <c r="H64" s="26" t="s">
        <v>66</v>
      </c>
      <c r="I64" s="24" t="s">
        <v>1709</v>
      </c>
      <c r="J64" s="25" t="s">
        <v>1711</v>
      </c>
      <c r="K64" s="25">
        <v>1.9</v>
      </c>
      <c r="L64" s="25">
        <v>0</v>
      </c>
      <c r="M64" s="24">
        <v>0</v>
      </c>
      <c r="N64" s="24">
        <v>0</v>
      </c>
      <c r="O64" s="24">
        <v>0</v>
      </c>
      <c r="P64" s="24">
        <v>0</v>
      </c>
      <c r="Q64" s="24">
        <v>0</v>
      </c>
      <c r="R64" s="24">
        <v>0</v>
      </c>
      <c r="S64" s="24">
        <v>0</v>
      </c>
      <c r="T64" s="24">
        <v>0</v>
      </c>
      <c r="U64" s="27" t="str">
        <f>_xlfn.LET(_xlpm.maxVal,_xlfn.MAXIFS($K:$K,$A:$A,A64),IF(AND(_xlpm.maxVal=K64,L64&lt;&gt;0),_xlpm.maxVal,""))</f>
        <v/>
      </c>
      <c r="V64" s="27" t="str">
        <f>_xlfn.LET(_xlpm.maxVal,_xlfn.MAXIFS($K:$K,$A:$A,A64),IF(AND(_xlpm.maxVal=K64,M64&lt;&gt;0),_xlpm.maxVal,""))</f>
        <v/>
      </c>
      <c r="W64" s="27" t="str">
        <f>_xlfn.LET(_xlpm.maxVal,_xlfn.MAXIFS($K:$K,$A:$A,A64),IF(AND(_xlpm.maxVal=K64,N64&lt;&gt;0),_xlpm.maxVal,""))</f>
        <v/>
      </c>
      <c r="X64" s="27" t="str">
        <f>_xlfn.LET(_xlpm.maxVal,_xlfn.MAXIFS($K:$K,$A:$A,A64),IF(AND(_xlpm.maxVal=K64,O64&lt;&gt;0),_xlpm.maxVal,""))</f>
        <v/>
      </c>
      <c r="Y64" s="27" t="str">
        <f>_xlfn.LET(_xlpm.maxVal,_xlfn.MAXIFS($K:$K,$A:$A,A64),IF(AND(_xlpm.maxVal=K64,P64&lt;&gt;0),_xlpm.maxVal,""))</f>
        <v/>
      </c>
      <c r="Z64" s="27" t="str">
        <f>_xlfn.LET(_xlpm.maxVal,_xlfn.MAXIFS($K:$K,$A:$A,A64),IF(AND(_xlpm.maxVal=K64,Q64&lt;&gt;0),_xlpm.maxVal,""))</f>
        <v/>
      </c>
      <c r="AA64" s="27" t="str">
        <f>_xlfn.LET(_xlpm.maxVal,_xlfn.MAXIFS($K:$K,$A:$A,A64),IF(AND(_xlpm.maxVal=K64,R64&lt;&gt;0),_xlpm.maxVal,""))</f>
        <v/>
      </c>
      <c r="AB64" s="27" t="str">
        <f>_xlfn.LET(_xlpm.maxVal,_xlfn.MAXIFS($K:$K,$A:$A,A64),IF(AND(_xlpm.maxVal=K64,S64&lt;&gt;0),_xlpm.maxVal,""))</f>
        <v/>
      </c>
      <c r="AC64" s="27" t="str">
        <f>_xlfn.LET(_xlpm.maxVal,_xlfn.MAXIFS($K:$K,$A:$A,A64),IF(AND(_xlpm.maxVal=K64,T64&lt;&gt;0),_xlpm.maxVal,""))</f>
        <v/>
      </c>
      <c r="AD64" s="27">
        <f>$K64*L64*负载统计!$K$3/60</f>
        <v>0</v>
      </c>
      <c r="AE64" s="27">
        <f>$K64*L64*负载统计!$K$4/60</f>
        <v>0</v>
      </c>
      <c r="AF64" s="27">
        <f>$K64*N64*负载统计!$K$5/60</f>
        <v>0</v>
      </c>
      <c r="AG64" s="27">
        <f>$K64*O64*负载统计!$K$6/60</f>
        <v>0</v>
      </c>
      <c r="AH64" s="27">
        <f>$K64*P64*负载统计!$K$7/60</f>
        <v>0</v>
      </c>
      <c r="AI64" s="27">
        <f>$K64*Q64*负载统计!$K$8/60</f>
        <v>0</v>
      </c>
      <c r="AJ64" s="27">
        <f>$K64*R64*负载统计!$K$9/60</f>
        <v>0</v>
      </c>
      <c r="AK64" s="27">
        <f>$K64*S64*负载统计!$K$10/60</f>
        <v>0</v>
      </c>
      <c r="AL64" s="27">
        <f>$K64*T64*负载统计!$K$11/60</f>
        <v>0</v>
      </c>
    </row>
    <row r="65" spans="1:38">
      <c r="A65" s="1">
        <v>30</v>
      </c>
      <c r="B65" s="24" t="s">
        <v>1349</v>
      </c>
      <c r="C65" s="24" t="s">
        <v>1329</v>
      </c>
      <c r="D65" s="24" t="s">
        <v>1350</v>
      </c>
      <c r="E65" s="24" t="s">
        <v>329</v>
      </c>
      <c r="F65" s="24" t="s">
        <v>334</v>
      </c>
      <c r="G65" s="25">
        <f>VLOOKUP(A65,负载电气特性!A:G,7,FALSE)</f>
        <v>270</v>
      </c>
      <c r="H65" s="26" t="s">
        <v>66</v>
      </c>
      <c r="I65" s="24" t="s">
        <v>1709</v>
      </c>
      <c r="J65" s="24" t="s">
        <v>1708</v>
      </c>
      <c r="K65" s="25">
        <v>0</v>
      </c>
      <c r="L65" s="25">
        <v>1</v>
      </c>
      <c r="M65" s="25">
        <v>0.8</v>
      </c>
      <c r="N65" s="25">
        <v>0.9</v>
      </c>
      <c r="O65" s="25">
        <v>0.85</v>
      </c>
      <c r="P65" s="25">
        <v>0.65</v>
      </c>
      <c r="Q65" s="25">
        <v>0.8</v>
      </c>
      <c r="R65" s="25">
        <v>0.7</v>
      </c>
      <c r="S65" s="25">
        <v>0.75</v>
      </c>
      <c r="T65" s="25">
        <v>0.85</v>
      </c>
      <c r="U65" s="27" t="str">
        <f>_xlfn.LET(_xlpm.maxVal,_xlfn.MAXIFS($K:$K,$A:$A,A65),IF(AND(_xlpm.maxVal=K65,L65&lt;&gt;0),_xlpm.maxVal,""))</f>
        <v/>
      </c>
      <c r="V65" s="27" t="str">
        <f>_xlfn.LET(_xlpm.maxVal,_xlfn.MAXIFS($K:$K,$A:$A,A65),IF(AND(_xlpm.maxVal=K65,M65&lt;&gt;0),_xlpm.maxVal,""))</f>
        <v/>
      </c>
      <c r="W65" s="27" t="str">
        <f>_xlfn.LET(_xlpm.maxVal,_xlfn.MAXIFS($K:$K,$A:$A,A65),IF(AND(_xlpm.maxVal=K65,N65&lt;&gt;0),_xlpm.maxVal,""))</f>
        <v/>
      </c>
      <c r="X65" s="27" t="str">
        <f>_xlfn.LET(_xlpm.maxVal,_xlfn.MAXIFS($K:$K,$A:$A,A65),IF(AND(_xlpm.maxVal=K65,O65&lt;&gt;0),_xlpm.maxVal,""))</f>
        <v/>
      </c>
      <c r="Y65" s="27" t="str">
        <f>_xlfn.LET(_xlpm.maxVal,_xlfn.MAXIFS($K:$K,$A:$A,A65),IF(AND(_xlpm.maxVal=K65,P65&lt;&gt;0),_xlpm.maxVal,""))</f>
        <v/>
      </c>
      <c r="Z65" s="27" t="str">
        <f>_xlfn.LET(_xlpm.maxVal,_xlfn.MAXIFS($K:$K,$A:$A,A65),IF(AND(_xlpm.maxVal=K65,Q65&lt;&gt;0),_xlpm.maxVal,""))</f>
        <v/>
      </c>
      <c r="AA65" s="27" t="str">
        <f>_xlfn.LET(_xlpm.maxVal,_xlfn.MAXIFS($K:$K,$A:$A,A65),IF(AND(_xlpm.maxVal=K65,R65&lt;&gt;0),_xlpm.maxVal,""))</f>
        <v/>
      </c>
      <c r="AB65" s="27" t="str">
        <f>_xlfn.LET(_xlpm.maxVal,_xlfn.MAXIFS($K:$K,$A:$A,A65),IF(AND(_xlpm.maxVal=K65,S65&lt;&gt;0),_xlpm.maxVal,""))</f>
        <v/>
      </c>
      <c r="AC65" s="27" t="str">
        <f>_xlfn.LET(_xlpm.maxVal,_xlfn.MAXIFS($K:$K,$A:$A,A65),IF(AND(_xlpm.maxVal=K65,T65&lt;&gt;0),_xlpm.maxVal,""))</f>
        <v/>
      </c>
      <c r="AD65" s="27">
        <f>$K65*L65*负载统计!$K$3/60</f>
        <v>0</v>
      </c>
      <c r="AE65" s="27">
        <f>$K65*L65*负载统计!$K$4/60</f>
        <v>0</v>
      </c>
      <c r="AF65" s="27">
        <f>$K65*N65*负载统计!$K$5/60</f>
        <v>0</v>
      </c>
      <c r="AG65" s="27">
        <f>$K65*O65*负载统计!$K$6/60</f>
        <v>0</v>
      </c>
      <c r="AH65" s="27">
        <f>$K65*P65*负载统计!$K$7/60</f>
        <v>0</v>
      </c>
      <c r="AI65" s="27">
        <f>$K65*Q65*负载统计!$K$8/60</f>
        <v>0</v>
      </c>
      <c r="AJ65" s="27">
        <f>$K65*R65*负载统计!$K$9/60</f>
        <v>0</v>
      </c>
      <c r="AK65" s="27">
        <f>$K65*S65*负载统计!$K$10/60</f>
        <v>0</v>
      </c>
      <c r="AL65" s="27">
        <f>$K65*T65*负载统计!$K$11/60</f>
        <v>0</v>
      </c>
    </row>
    <row r="66" spans="1:38">
      <c r="A66" s="1">
        <v>31</v>
      </c>
      <c r="B66" s="24" t="s">
        <v>1351</v>
      </c>
      <c r="C66" s="24" t="s">
        <v>1329</v>
      </c>
      <c r="D66" s="24" t="s">
        <v>1350</v>
      </c>
      <c r="E66" s="24" t="s">
        <v>329</v>
      </c>
      <c r="F66" s="24" t="s">
        <v>334</v>
      </c>
      <c r="G66" s="25">
        <f>VLOOKUP(A66,负载电气特性!A:G,7,FALSE)</f>
        <v>28</v>
      </c>
      <c r="H66" s="26" t="s">
        <v>66</v>
      </c>
      <c r="I66" s="25" t="s">
        <v>1706</v>
      </c>
      <c r="J66" s="24" t="s">
        <v>1707</v>
      </c>
      <c r="K66" s="25">
        <v>0.03</v>
      </c>
      <c r="L66" s="25">
        <v>1</v>
      </c>
      <c r="M66" s="25">
        <v>1</v>
      </c>
      <c r="N66" s="25">
        <v>1</v>
      </c>
      <c r="O66" s="25">
        <v>1</v>
      </c>
      <c r="P66" s="25">
        <v>1</v>
      </c>
      <c r="Q66" s="25">
        <v>1</v>
      </c>
      <c r="R66" s="25">
        <v>1</v>
      </c>
      <c r="S66" s="25">
        <v>1</v>
      </c>
      <c r="T66" s="25">
        <v>1</v>
      </c>
      <c r="U66" s="27">
        <f>_xlfn.LET(_xlpm.maxVal,_xlfn.MAXIFS($K:$K,$A:$A,A66),IF(AND(_xlpm.maxVal=K66,L66&lt;&gt;0),_xlpm.maxVal,""))</f>
        <v>0.03</v>
      </c>
      <c r="V66" s="27">
        <f>_xlfn.LET(_xlpm.maxVal,_xlfn.MAXIFS($K:$K,$A:$A,A66),IF(AND(_xlpm.maxVal=K66,M66&lt;&gt;0),_xlpm.maxVal,""))</f>
        <v>0.03</v>
      </c>
      <c r="W66" s="27">
        <f>_xlfn.LET(_xlpm.maxVal,_xlfn.MAXIFS($K:$K,$A:$A,A66),IF(AND(_xlpm.maxVal=K66,N66&lt;&gt;0),_xlpm.maxVal,""))</f>
        <v>0.03</v>
      </c>
      <c r="X66" s="27">
        <f>_xlfn.LET(_xlpm.maxVal,_xlfn.MAXIFS($K:$K,$A:$A,A66),IF(AND(_xlpm.maxVal=K66,O66&lt;&gt;0),_xlpm.maxVal,""))</f>
        <v>0.03</v>
      </c>
      <c r="Y66" s="27">
        <f>_xlfn.LET(_xlpm.maxVal,_xlfn.MAXIFS($K:$K,$A:$A,A66),IF(AND(_xlpm.maxVal=K66,P66&lt;&gt;0),_xlpm.maxVal,""))</f>
        <v>0.03</v>
      </c>
      <c r="Z66" s="27">
        <f>_xlfn.LET(_xlpm.maxVal,_xlfn.MAXIFS($K:$K,$A:$A,A66),IF(AND(_xlpm.maxVal=K66,Q66&lt;&gt;0),_xlpm.maxVal,""))</f>
        <v>0.03</v>
      </c>
      <c r="AA66" s="27">
        <f>_xlfn.LET(_xlpm.maxVal,_xlfn.MAXIFS($K:$K,$A:$A,A66),IF(AND(_xlpm.maxVal=K66,R66&lt;&gt;0),_xlpm.maxVal,""))</f>
        <v>0.03</v>
      </c>
      <c r="AB66" s="27">
        <f>_xlfn.LET(_xlpm.maxVal,_xlfn.MAXIFS($K:$K,$A:$A,A66),IF(AND(_xlpm.maxVal=K66,S66&lt;&gt;0),_xlpm.maxVal,""))</f>
        <v>0.03</v>
      </c>
      <c r="AC66" s="27">
        <f>_xlfn.LET(_xlpm.maxVal,_xlfn.MAXIFS($K:$K,$A:$A,A66),IF(AND(_xlpm.maxVal=K66,T66&lt;&gt;0),_xlpm.maxVal,""))</f>
        <v>0.03</v>
      </c>
      <c r="AD66" s="27">
        <f>$K66*L66*负载统计!$K$3/60</f>
        <v>0</v>
      </c>
      <c r="AE66" s="27">
        <f>$K66*L66*负载统计!$K$4/60</f>
        <v>0</v>
      </c>
      <c r="AF66" s="27">
        <f>$K66*N66*负载统计!$K$5/60</f>
        <v>0.0005</v>
      </c>
      <c r="AG66" s="27">
        <f>$K66*O66*负载统计!$K$6/60</f>
        <v>0.0015</v>
      </c>
      <c r="AH66" s="27">
        <f>$K66*P66*负载统计!$K$7/60</f>
        <v>0.003385</v>
      </c>
      <c r="AI66" s="27">
        <f>$K66*Q66*负载统计!$K$8/60</f>
        <v>0.0218</v>
      </c>
      <c r="AJ66" s="27">
        <f>$K66*R66*负载统计!$K$9/60</f>
        <v>0.006925</v>
      </c>
      <c r="AK66" s="27">
        <f>$K66*S66*负载统计!$K$10/60</f>
        <v>0.00025</v>
      </c>
      <c r="AL66" s="27">
        <f>$K66*T66*负载统计!$K$11/60</f>
        <v>0.002</v>
      </c>
    </row>
    <row r="67" spans="1:38">
      <c r="A67" s="1">
        <v>31</v>
      </c>
      <c r="B67" s="24" t="s">
        <v>1351</v>
      </c>
      <c r="C67" s="24" t="s">
        <v>1329</v>
      </c>
      <c r="D67" s="24" t="s">
        <v>1350</v>
      </c>
      <c r="E67" s="24" t="s">
        <v>329</v>
      </c>
      <c r="F67" s="24" t="s">
        <v>334</v>
      </c>
      <c r="G67" s="25">
        <f>VLOOKUP(A67,负载电气特性!A:G,7,FALSE)</f>
        <v>28</v>
      </c>
      <c r="H67" s="26" t="s">
        <v>66</v>
      </c>
      <c r="I67" s="25" t="s">
        <v>1706</v>
      </c>
      <c r="J67" s="24" t="s">
        <v>1708</v>
      </c>
      <c r="K67" s="25">
        <v>0</v>
      </c>
      <c r="L67" s="25">
        <v>0</v>
      </c>
      <c r="M67" s="25">
        <v>0</v>
      </c>
      <c r="N67" s="25">
        <v>0</v>
      </c>
      <c r="O67" s="25">
        <v>0</v>
      </c>
      <c r="P67" s="25">
        <v>0</v>
      </c>
      <c r="Q67" s="25">
        <v>0</v>
      </c>
      <c r="R67" s="25">
        <v>0</v>
      </c>
      <c r="S67" s="25">
        <v>0</v>
      </c>
      <c r="T67" s="25">
        <v>0</v>
      </c>
      <c r="U67" s="27" t="str">
        <f>_xlfn.LET(_xlpm.maxVal,_xlfn.MAXIFS($K:$K,$A:$A,A67),IF(AND(_xlpm.maxVal=K67,L67&lt;&gt;0),_xlpm.maxVal,""))</f>
        <v/>
      </c>
      <c r="V67" s="27" t="str">
        <f>_xlfn.LET(_xlpm.maxVal,_xlfn.MAXIFS($K:$K,$A:$A,A67),IF(AND(_xlpm.maxVal=K67,M67&lt;&gt;0),_xlpm.maxVal,""))</f>
        <v/>
      </c>
      <c r="W67" s="27" t="str">
        <f>_xlfn.LET(_xlpm.maxVal,_xlfn.MAXIFS($K:$K,$A:$A,A67),IF(AND(_xlpm.maxVal=K67,N67&lt;&gt;0),_xlpm.maxVal,""))</f>
        <v/>
      </c>
      <c r="X67" s="27" t="str">
        <f>_xlfn.LET(_xlpm.maxVal,_xlfn.MAXIFS($K:$K,$A:$A,A67),IF(AND(_xlpm.maxVal=K67,O67&lt;&gt;0),_xlpm.maxVal,""))</f>
        <v/>
      </c>
      <c r="Y67" s="27" t="str">
        <f>_xlfn.LET(_xlpm.maxVal,_xlfn.MAXIFS($K:$K,$A:$A,A67),IF(AND(_xlpm.maxVal=K67,P67&lt;&gt;0),_xlpm.maxVal,""))</f>
        <v/>
      </c>
      <c r="Z67" s="27" t="str">
        <f>_xlfn.LET(_xlpm.maxVal,_xlfn.MAXIFS($K:$K,$A:$A,A67),IF(AND(_xlpm.maxVal=K67,Q67&lt;&gt;0),_xlpm.maxVal,""))</f>
        <v/>
      </c>
      <c r="AA67" s="27" t="str">
        <f>_xlfn.LET(_xlpm.maxVal,_xlfn.MAXIFS($K:$K,$A:$A,A67),IF(AND(_xlpm.maxVal=K67,R67&lt;&gt;0),_xlpm.maxVal,""))</f>
        <v/>
      </c>
      <c r="AB67" s="27" t="str">
        <f>_xlfn.LET(_xlpm.maxVal,_xlfn.MAXIFS($K:$K,$A:$A,A67),IF(AND(_xlpm.maxVal=K67,S67&lt;&gt;0),_xlpm.maxVal,""))</f>
        <v/>
      </c>
      <c r="AC67" s="27" t="str">
        <f>_xlfn.LET(_xlpm.maxVal,_xlfn.MAXIFS($K:$K,$A:$A,A67),IF(AND(_xlpm.maxVal=K67,T67&lt;&gt;0),_xlpm.maxVal,""))</f>
        <v/>
      </c>
      <c r="AD67" s="27">
        <f>$K67*L67*负载统计!$K$3/60</f>
        <v>0</v>
      </c>
      <c r="AE67" s="27">
        <f>$K67*L67*负载统计!$K$4/60</f>
        <v>0</v>
      </c>
      <c r="AF67" s="27">
        <f>$K67*N67*负载统计!$K$5/60</f>
        <v>0</v>
      </c>
      <c r="AG67" s="27">
        <f>$K67*O67*负载统计!$K$6/60</f>
        <v>0</v>
      </c>
      <c r="AH67" s="27">
        <f>$K67*P67*负载统计!$K$7/60</f>
        <v>0</v>
      </c>
      <c r="AI67" s="27">
        <f>$K67*Q67*负载统计!$K$8/60</f>
        <v>0</v>
      </c>
      <c r="AJ67" s="27">
        <f>$K67*R67*负载统计!$K$9/60</f>
        <v>0</v>
      </c>
      <c r="AK67" s="27">
        <f>$K67*S67*负载统计!$K$10/60</f>
        <v>0</v>
      </c>
      <c r="AL67" s="27">
        <f>$K67*T67*负载统计!$K$11/60</f>
        <v>0</v>
      </c>
    </row>
    <row r="68" spans="1:38">
      <c r="A68" s="1">
        <v>32</v>
      </c>
      <c r="B68" s="24" t="s">
        <v>1352</v>
      </c>
      <c r="C68" s="24" t="s">
        <v>1329</v>
      </c>
      <c r="D68" s="24" t="s">
        <v>1353</v>
      </c>
      <c r="E68" s="24" t="s">
        <v>329</v>
      </c>
      <c r="F68" s="24" t="s">
        <v>336</v>
      </c>
      <c r="G68" s="25">
        <f>VLOOKUP(A68,负载电气特性!A:G,7,FALSE)</f>
        <v>270</v>
      </c>
      <c r="H68" s="26" t="s">
        <v>66</v>
      </c>
      <c r="I68" s="24" t="s">
        <v>1709</v>
      </c>
      <c r="J68" s="25" t="s">
        <v>1710</v>
      </c>
      <c r="K68" s="25">
        <v>2.5</v>
      </c>
      <c r="L68" s="25">
        <v>0</v>
      </c>
      <c r="M68" s="24">
        <v>0.2</v>
      </c>
      <c r="N68" s="25">
        <v>0.1</v>
      </c>
      <c r="O68" s="25">
        <v>0.15</v>
      </c>
      <c r="P68" s="25">
        <v>0.35</v>
      </c>
      <c r="Q68" s="25">
        <v>0.2</v>
      </c>
      <c r="R68" s="25">
        <v>0.3</v>
      </c>
      <c r="S68" s="25">
        <v>0.25</v>
      </c>
      <c r="T68" s="25">
        <v>0.15</v>
      </c>
      <c r="U68" s="27" t="str">
        <f>_xlfn.LET(_xlpm.maxVal,_xlfn.MAXIFS($K:$K,$A:$A,A68),IF(AND(_xlpm.maxVal=K68,L68&lt;&gt;0),_xlpm.maxVal,""))</f>
        <v/>
      </c>
      <c r="V68" s="27">
        <f>_xlfn.LET(_xlpm.maxVal,_xlfn.MAXIFS($K:$K,$A:$A,A68),IF(AND(_xlpm.maxVal=K68,M68&lt;&gt;0),_xlpm.maxVal,""))</f>
        <v>2.5</v>
      </c>
      <c r="W68" s="27">
        <f>_xlfn.LET(_xlpm.maxVal,_xlfn.MAXIFS($K:$K,$A:$A,A68),IF(AND(_xlpm.maxVal=K68,N68&lt;&gt;0),_xlpm.maxVal,""))</f>
        <v>2.5</v>
      </c>
      <c r="X68" s="27">
        <f>_xlfn.LET(_xlpm.maxVal,_xlfn.MAXIFS($K:$K,$A:$A,A68),IF(AND(_xlpm.maxVal=K68,O68&lt;&gt;0),_xlpm.maxVal,""))</f>
        <v>2.5</v>
      </c>
      <c r="Y68" s="27">
        <f>_xlfn.LET(_xlpm.maxVal,_xlfn.MAXIFS($K:$K,$A:$A,A68),IF(AND(_xlpm.maxVal=K68,P68&lt;&gt;0),_xlpm.maxVal,""))</f>
        <v>2.5</v>
      </c>
      <c r="Z68" s="27">
        <f>_xlfn.LET(_xlpm.maxVal,_xlfn.MAXIFS($K:$K,$A:$A,A68),IF(AND(_xlpm.maxVal=K68,Q68&lt;&gt;0),_xlpm.maxVal,""))</f>
        <v>2.5</v>
      </c>
      <c r="AA68" s="27">
        <f>_xlfn.LET(_xlpm.maxVal,_xlfn.MAXIFS($K:$K,$A:$A,A68),IF(AND(_xlpm.maxVal=K68,R68&lt;&gt;0),_xlpm.maxVal,""))</f>
        <v>2.5</v>
      </c>
      <c r="AB68" s="27">
        <f>_xlfn.LET(_xlpm.maxVal,_xlfn.MAXIFS($K:$K,$A:$A,A68),IF(AND(_xlpm.maxVal=K68,S68&lt;&gt;0),_xlpm.maxVal,""))</f>
        <v>2.5</v>
      </c>
      <c r="AC68" s="27">
        <f>_xlfn.LET(_xlpm.maxVal,_xlfn.MAXIFS($K:$K,$A:$A,A68),IF(AND(_xlpm.maxVal=K68,T68&lt;&gt;0),_xlpm.maxVal,""))</f>
        <v>2.5</v>
      </c>
      <c r="AD68" s="27">
        <f>$K68*L68*负载统计!$K$3/60</f>
        <v>0</v>
      </c>
      <c r="AE68" s="27">
        <f>$K68*L68*负载统计!$K$4/60</f>
        <v>0</v>
      </c>
      <c r="AF68" s="27">
        <f>$K68*N68*负载统计!$K$5/60</f>
        <v>0.00416666666666667</v>
      </c>
      <c r="AG68" s="27">
        <f>$K68*O68*负载统计!$K$6/60</f>
        <v>0.01875</v>
      </c>
      <c r="AH68" s="27">
        <f>$K68*P68*负载统计!$K$7/60</f>
        <v>0.0987291666666667</v>
      </c>
      <c r="AI68" s="27">
        <f>$K68*Q68*负载统计!$K$8/60</f>
        <v>0.363333333333333</v>
      </c>
      <c r="AJ68" s="27">
        <f>$K68*R68*负载统计!$K$9/60</f>
        <v>0.173125</v>
      </c>
      <c r="AK68" s="27">
        <f>$K68*S68*负载统计!$K$10/60</f>
        <v>0.00520833333333333</v>
      </c>
      <c r="AL68" s="27">
        <f>$K68*T68*负载统计!$K$11/60</f>
        <v>0.025</v>
      </c>
    </row>
    <row r="69" spans="1:38">
      <c r="A69" s="1">
        <v>32</v>
      </c>
      <c r="B69" s="24" t="s">
        <v>1352</v>
      </c>
      <c r="C69" s="24" t="s">
        <v>1329</v>
      </c>
      <c r="D69" s="24" t="s">
        <v>1353</v>
      </c>
      <c r="E69" s="24" t="s">
        <v>329</v>
      </c>
      <c r="F69" s="24" t="s">
        <v>336</v>
      </c>
      <c r="G69" s="25">
        <f>VLOOKUP(A69,负载电气特性!A:G,7,FALSE)</f>
        <v>270</v>
      </c>
      <c r="H69" s="26" t="s">
        <v>66</v>
      </c>
      <c r="I69" s="24" t="s">
        <v>1709</v>
      </c>
      <c r="J69" s="25" t="s">
        <v>1711</v>
      </c>
      <c r="K69" s="25">
        <v>1.9</v>
      </c>
      <c r="L69" s="25">
        <v>0</v>
      </c>
      <c r="M69" s="24">
        <v>0</v>
      </c>
      <c r="N69" s="24">
        <v>0</v>
      </c>
      <c r="O69" s="24">
        <v>0</v>
      </c>
      <c r="P69" s="24">
        <v>0</v>
      </c>
      <c r="Q69" s="24">
        <v>0</v>
      </c>
      <c r="R69" s="24">
        <v>0</v>
      </c>
      <c r="S69" s="24">
        <v>0</v>
      </c>
      <c r="T69" s="24">
        <v>0</v>
      </c>
      <c r="U69" s="27" t="str">
        <f>_xlfn.LET(_xlpm.maxVal,_xlfn.MAXIFS($K:$K,$A:$A,A69),IF(AND(_xlpm.maxVal=K69,L69&lt;&gt;0),_xlpm.maxVal,""))</f>
        <v/>
      </c>
      <c r="V69" s="27" t="str">
        <f>_xlfn.LET(_xlpm.maxVal,_xlfn.MAXIFS($K:$K,$A:$A,A69),IF(AND(_xlpm.maxVal=K69,M69&lt;&gt;0),_xlpm.maxVal,""))</f>
        <v/>
      </c>
      <c r="W69" s="27" t="str">
        <f>_xlfn.LET(_xlpm.maxVal,_xlfn.MAXIFS($K:$K,$A:$A,A69),IF(AND(_xlpm.maxVal=K69,N69&lt;&gt;0),_xlpm.maxVal,""))</f>
        <v/>
      </c>
      <c r="X69" s="27" t="str">
        <f>_xlfn.LET(_xlpm.maxVal,_xlfn.MAXIFS($K:$K,$A:$A,A69),IF(AND(_xlpm.maxVal=K69,O69&lt;&gt;0),_xlpm.maxVal,""))</f>
        <v/>
      </c>
      <c r="Y69" s="27" t="str">
        <f>_xlfn.LET(_xlpm.maxVal,_xlfn.MAXIFS($K:$K,$A:$A,A69),IF(AND(_xlpm.maxVal=K69,P69&lt;&gt;0),_xlpm.maxVal,""))</f>
        <v/>
      </c>
      <c r="Z69" s="27" t="str">
        <f>_xlfn.LET(_xlpm.maxVal,_xlfn.MAXIFS($K:$K,$A:$A,A69),IF(AND(_xlpm.maxVal=K69,Q69&lt;&gt;0),_xlpm.maxVal,""))</f>
        <v/>
      </c>
      <c r="AA69" s="27" t="str">
        <f>_xlfn.LET(_xlpm.maxVal,_xlfn.MAXIFS($K:$K,$A:$A,A69),IF(AND(_xlpm.maxVal=K69,R69&lt;&gt;0),_xlpm.maxVal,""))</f>
        <v/>
      </c>
      <c r="AB69" s="27" t="str">
        <f>_xlfn.LET(_xlpm.maxVal,_xlfn.MAXIFS($K:$K,$A:$A,A69),IF(AND(_xlpm.maxVal=K69,S69&lt;&gt;0),_xlpm.maxVal,""))</f>
        <v/>
      </c>
      <c r="AC69" s="27" t="str">
        <f>_xlfn.LET(_xlpm.maxVal,_xlfn.MAXIFS($K:$K,$A:$A,A69),IF(AND(_xlpm.maxVal=K69,T69&lt;&gt;0),_xlpm.maxVal,""))</f>
        <v/>
      </c>
      <c r="AD69" s="27">
        <f>$K69*L69*负载统计!$K$3/60</f>
        <v>0</v>
      </c>
      <c r="AE69" s="27">
        <f>$K69*L69*负载统计!$K$4/60</f>
        <v>0</v>
      </c>
      <c r="AF69" s="27">
        <f>$K69*N69*负载统计!$K$5/60</f>
        <v>0</v>
      </c>
      <c r="AG69" s="27">
        <f>$K69*O69*负载统计!$K$6/60</f>
        <v>0</v>
      </c>
      <c r="AH69" s="27">
        <f>$K69*P69*负载统计!$K$7/60</f>
        <v>0</v>
      </c>
      <c r="AI69" s="27">
        <f>$K69*Q69*负载统计!$K$8/60</f>
        <v>0</v>
      </c>
      <c r="AJ69" s="27">
        <f>$K69*R69*负载统计!$K$9/60</f>
        <v>0</v>
      </c>
      <c r="AK69" s="27">
        <f>$K69*S69*负载统计!$K$10/60</f>
        <v>0</v>
      </c>
      <c r="AL69" s="27">
        <f>$K69*T69*负载统计!$K$11/60</f>
        <v>0</v>
      </c>
    </row>
    <row r="70" spans="1:38">
      <c r="A70" s="1">
        <v>32</v>
      </c>
      <c r="B70" s="24" t="s">
        <v>1352</v>
      </c>
      <c r="C70" s="24" t="s">
        <v>1329</v>
      </c>
      <c r="D70" s="24" t="s">
        <v>1353</v>
      </c>
      <c r="E70" s="24" t="s">
        <v>329</v>
      </c>
      <c r="F70" s="24" t="s">
        <v>336</v>
      </c>
      <c r="G70" s="25">
        <f>VLOOKUP(A70,负载电气特性!A:G,7,FALSE)</f>
        <v>270</v>
      </c>
      <c r="H70" s="26" t="s">
        <v>66</v>
      </c>
      <c r="I70" s="24" t="s">
        <v>1709</v>
      </c>
      <c r="J70" s="24" t="s">
        <v>1708</v>
      </c>
      <c r="K70" s="25">
        <v>0</v>
      </c>
      <c r="L70" s="25">
        <v>1</v>
      </c>
      <c r="M70" s="25">
        <v>0.8</v>
      </c>
      <c r="N70" s="25">
        <v>0.9</v>
      </c>
      <c r="O70" s="25">
        <v>0.85</v>
      </c>
      <c r="P70" s="25">
        <v>0.65</v>
      </c>
      <c r="Q70" s="25">
        <v>0.8</v>
      </c>
      <c r="R70" s="25">
        <v>0.7</v>
      </c>
      <c r="S70" s="25">
        <v>0.75</v>
      </c>
      <c r="T70" s="25">
        <v>0.85</v>
      </c>
      <c r="U70" s="27" t="str">
        <f>_xlfn.LET(_xlpm.maxVal,_xlfn.MAXIFS($K:$K,$A:$A,A70),IF(AND(_xlpm.maxVal=K70,L70&lt;&gt;0),_xlpm.maxVal,""))</f>
        <v/>
      </c>
      <c r="V70" s="27" t="str">
        <f>_xlfn.LET(_xlpm.maxVal,_xlfn.MAXIFS($K:$K,$A:$A,A70),IF(AND(_xlpm.maxVal=K70,M70&lt;&gt;0),_xlpm.maxVal,""))</f>
        <v/>
      </c>
      <c r="W70" s="27" t="str">
        <f>_xlfn.LET(_xlpm.maxVal,_xlfn.MAXIFS($K:$K,$A:$A,A70),IF(AND(_xlpm.maxVal=K70,N70&lt;&gt;0),_xlpm.maxVal,""))</f>
        <v/>
      </c>
      <c r="X70" s="27" t="str">
        <f>_xlfn.LET(_xlpm.maxVal,_xlfn.MAXIFS($K:$K,$A:$A,A70),IF(AND(_xlpm.maxVal=K70,O70&lt;&gt;0),_xlpm.maxVal,""))</f>
        <v/>
      </c>
      <c r="Y70" s="27" t="str">
        <f>_xlfn.LET(_xlpm.maxVal,_xlfn.MAXIFS($K:$K,$A:$A,A70),IF(AND(_xlpm.maxVal=K70,P70&lt;&gt;0),_xlpm.maxVal,""))</f>
        <v/>
      </c>
      <c r="Z70" s="27" t="str">
        <f>_xlfn.LET(_xlpm.maxVal,_xlfn.MAXIFS($K:$K,$A:$A,A70),IF(AND(_xlpm.maxVal=K70,Q70&lt;&gt;0),_xlpm.maxVal,""))</f>
        <v/>
      </c>
      <c r="AA70" s="27" t="str">
        <f>_xlfn.LET(_xlpm.maxVal,_xlfn.MAXIFS($K:$K,$A:$A,A70),IF(AND(_xlpm.maxVal=K70,R70&lt;&gt;0),_xlpm.maxVal,""))</f>
        <v/>
      </c>
      <c r="AB70" s="27" t="str">
        <f>_xlfn.LET(_xlpm.maxVal,_xlfn.MAXIFS($K:$K,$A:$A,A70),IF(AND(_xlpm.maxVal=K70,S70&lt;&gt;0),_xlpm.maxVal,""))</f>
        <v/>
      </c>
      <c r="AC70" s="27" t="str">
        <f>_xlfn.LET(_xlpm.maxVal,_xlfn.MAXIFS($K:$K,$A:$A,A70),IF(AND(_xlpm.maxVal=K70,T70&lt;&gt;0),_xlpm.maxVal,""))</f>
        <v/>
      </c>
      <c r="AD70" s="27">
        <f>$K70*L70*负载统计!$K$3/60</f>
        <v>0</v>
      </c>
      <c r="AE70" s="27">
        <f>$K70*L70*负载统计!$K$4/60</f>
        <v>0</v>
      </c>
      <c r="AF70" s="27">
        <f>$K70*N70*负载统计!$K$5/60</f>
        <v>0</v>
      </c>
      <c r="AG70" s="27">
        <f>$K70*O70*负载统计!$K$6/60</f>
        <v>0</v>
      </c>
      <c r="AH70" s="27">
        <f>$K70*P70*负载统计!$K$7/60</f>
        <v>0</v>
      </c>
      <c r="AI70" s="27">
        <f>$K70*Q70*负载统计!$K$8/60</f>
        <v>0</v>
      </c>
      <c r="AJ70" s="27">
        <f>$K70*R70*负载统计!$K$9/60</f>
        <v>0</v>
      </c>
      <c r="AK70" s="27">
        <f>$K70*S70*负载统计!$K$10/60</f>
        <v>0</v>
      </c>
      <c r="AL70" s="27">
        <f>$K70*T70*负载统计!$K$11/60</f>
        <v>0</v>
      </c>
    </row>
    <row r="71" spans="1:38">
      <c r="A71" s="1">
        <v>33</v>
      </c>
      <c r="B71" s="24" t="s">
        <v>1354</v>
      </c>
      <c r="C71" s="24" t="s">
        <v>1329</v>
      </c>
      <c r="D71" s="24" t="s">
        <v>1353</v>
      </c>
      <c r="E71" s="24" t="s">
        <v>329</v>
      </c>
      <c r="F71" s="24" t="s">
        <v>336</v>
      </c>
      <c r="G71" s="25">
        <f>VLOOKUP(A71,负载电气特性!A:G,7,FALSE)</f>
        <v>28</v>
      </c>
      <c r="H71" s="26" t="s">
        <v>66</v>
      </c>
      <c r="I71" s="25" t="s">
        <v>1706</v>
      </c>
      <c r="J71" s="24" t="s">
        <v>1707</v>
      </c>
      <c r="K71" s="25">
        <v>0.03</v>
      </c>
      <c r="L71" s="25">
        <v>1</v>
      </c>
      <c r="M71" s="25">
        <v>1</v>
      </c>
      <c r="N71" s="25">
        <v>1</v>
      </c>
      <c r="O71" s="25">
        <v>1</v>
      </c>
      <c r="P71" s="25">
        <v>1</v>
      </c>
      <c r="Q71" s="25">
        <v>1</v>
      </c>
      <c r="R71" s="25">
        <v>1</v>
      </c>
      <c r="S71" s="25">
        <v>1</v>
      </c>
      <c r="T71" s="25">
        <v>1</v>
      </c>
      <c r="U71" s="27">
        <f>_xlfn.LET(_xlpm.maxVal,_xlfn.MAXIFS($K:$K,$A:$A,A71),IF(AND(_xlpm.maxVal=K71,L71&lt;&gt;0),_xlpm.maxVal,""))</f>
        <v>0.03</v>
      </c>
      <c r="V71" s="27">
        <f>_xlfn.LET(_xlpm.maxVal,_xlfn.MAXIFS($K:$K,$A:$A,A71),IF(AND(_xlpm.maxVal=K71,M71&lt;&gt;0),_xlpm.maxVal,""))</f>
        <v>0.03</v>
      </c>
      <c r="W71" s="27">
        <f>_xlfn.LET(_xlpm.maxVal,_xlfn.MAXIFS($K:$K,$A:$A,A71),IF(AND(_xlpm.maxVal=K71,N71&lt;&gt;0),_xlpm.maxVal,""))</f>
        <v>0.03</v>
      </c>
      <c r="X71" s="27">
        <f>_xlfn.LET(_xlpm.maxVal,_xlfn.MAXIFS($K:$K,$A:$A,A71),IF(AND(_xlpm.maxVal=K71,O71&lt;&gt;0),_xlpm.maxVal,""))</f>
        <v>0.03</v>
      </c>
      <c r="Y71" s="27">
        <f>_xlfn.LET(_xlpm.maxVal,_xlfn.MAXIFS($K:$K,$A:$A,A71),IF(AND(_xlpm.maxVal=K71,P71&lt;&gt;0),_xlpm.maxVal,""))</f>
        <v>0.03</v>
      </c>
      <c r="Z71" s="27">
        <f>_xlfn.LET(_xlpm.maxVal,_xlfn.MAXIFS($K:$K,$A:$A,A71),IF(AND(_xlpm.maxVal=K71,Q71&lt;&gt;0),_xlpm.maxVal,""))</f>
        <v>0.03</v>
      </c>
      <c r="AA71" s="27">
        <f>_xlfn.LET(_xlpm.maxVal,_xlfn.MAXIFS($K:$K,$A:$A,A71),IF(AND(_xlpm.maxVal=K71,R71&lt;&gt;0),_xlpm.maxVal,""))</f>
        <v>0.03</v>
      </c>
      <c r="AB71" s="27">
        <f>_xlfn.LET(_xlpm.maxVal,_xlfn.MAXIFS($K:$K,$A:$A,A71),IF(AND(_xlpm.maxVal=K71,S71&lt;&gt;0),_xlpm.maxVal,""))</f>
        <v>0.03</v>
      </c>
      <c r="AC71" s="27">
        <f>_xlfn.LET(_xlpm.maxVal,_xlfn.MAXIFS($K:$K,$A:$A,A71),IF(AND(_xlpm.maxVal=K71,T71&lt;&gt;0),_xlpm.maxVal,""))</f>
        <v>0.03</v>
      </c>
      <c r="AD71" s="27">
        <f>$K71*L71*负载统计!$K$3/60</f>
        <v>0</v>
      </c>
      <c r="AE71" s="27">
        <f>$K71*L71*负载统计!$K$4/60</f>
        <v>0</v>
      </c>
      <c r="AF71" s="27">
        <f>$K71*N71*负载统计!$K$5/60</f>
        <v>0.0005</v>
      </c>
      <c r="AG71" s="27">
        <f>$K71*O71*负载统计!$K$6/60</f>
        <v>0.0015</v>
      </c>
      <c r="AH71" s="27">
        <f>$K71*P71*负载统计!$K$7/60</f>
        <v>0.003385</v>
      </c>
      <c r="AI71" s="27">
        <f>$K71*Q71*负载统计!$K$8/60</f>
        <v>0.0218</v>
      </c>
      <c r="AJ71" s="27">
        <f>$K71*R71*负载统计!$K$9/60</f>
        <v>0.006925</v>
      </c>
      <c r="AK71" s="27">
        <f>$K71*S71*负载统计!$K$10/60</f>
        <v>0.00025</v>
      </c>
      <c r="AL71" s="27">
        <f>$K71*T71*负载统计!$K$11/60</f>
        <v>0.002</v>
      </c>
    </row>
    <row r="72" spans="1:38">
      <c r="A72" s="1">
        <v>33</v>
      </c>
      <c r="B72" s="24" t="s">
        <v>1354</v>
      </c>
      <c r="C72" s="24" t="s">
        <v>1329</v>
      </c>
      <c r="D72" s="24" t="s">
        <v>1353</v>
      </c>
      <c r="E72" s="24" t="s">
        <v>329</v>
      </c>
      <c r="F72" s="24" t="s">
        <v>336</v>
      </c>
      <c r="G72" s="25">
        <f>VLOOKUP(A72,负载电气特性!A:G,7,FALSE)</f>
        <v>28</v>
      </c>
      <c r="H72" s="26" t="s">
        <v>66</v>
      </c>
      <c r="I72" s="25" t="s">
        <v>1706</v>
      </c>
      <c r="J72" s="24" t="s">
        <v>1708</v>
      </c>
      <c r="K72" s="25">
        <v>0</v>
      </c>
      <c r="L72" s="25">
        <v>0</v>
      </c>
      <c r="M72" s="25">
        <v>0</v>
      </c>
      <c r="N72" s="25">
        <v>0</v>
      </c>
      <c r="O72" s="25">
        <v>0</v>
      </c>
      <c r="P72" s="25">
        <v>0</v>
      </c>
      <c r="Q72" s="25">
        <v>0</v>
      </c>
      <c r="R72" s="25">
        <v>0</v>
      </c>
      <c r="S72" s="25">
        <v>0</v>
      </c>
      <c r="T72" s="25">
        <v>0</v>
      </c>
      <c r="U72" s="27" t="str">
        <f>_xlfn.LET(_xlpm.maxVal,_xlfn.MAXIFS($K:$K,$A:$A,A72),IF(AND(_xlpm.maxVal=K72,L72&lt;&gt;0),_xlpm.maxVal,""))</f>
        <v/>
      </c>
      <c r="V72" s="27" t="str">
        <f>_xlfn.LET(_xlpm.maxVal,_xlfn.MAXIFS($K:$K,$A:$A,A72),IF(AND(_xlpm.maxVal=K72,M72&lt;&gt;0),_xlpm.maxVal,""))</f>
        <v/>
      </c>
      <c r="W72" s="27" t="str">
        <f>_xlfn.LET(_xlpm.maxVal,_xlfn.MAXIFS($K:$K,$A:$A,A72),IF(AND(_xlpm.maxVal=K72,N72&lt;&gt;0),_xlpm.maxVal,""))</f>
        <v/>
      </c>
      <c r="X72" s="27" t="str">
        <f>_xlfn.LET(_xlpm.maxVal,_xlfn.MAXIFS($K:$K,$A:$A,A72),IF(AND(_xlpm.maxVal=K72,O72&lt;&gt;0),_xlpm.maxVal,""))</f>
        <v/>
      </c>
      <c r="Y72" s="27" t="str">
        <f>_xlfn.LET(_xlpm.maxVal,_xlfn.MAXIFS($K:$K,$A:$A,A72),IF(AND(_xlpm.maxVal=K72,P72&lt;&gt;0),_xlpm.maxVal,""))</f>
        <v/>
      </c>
      <c r="Z72" s="27" t="str">
        <f>_xlfn.LET(_xlpm.maxVal,_xlfn.MAXIFS($K:$K,$A:$A,A72),IF(AND(_xlpm.maxVal=K72,Q72&lt;&gt;0),_xlpm.maxVal,""))</f>
        <v/>
      </c>
      <c r="AA72" s="27" t="str">
        <f>_xlfn.LET(_xlpm.maxVal,_xlfn.MAXIFS($K:$K,$A:$A,A72),IF(AND(_xlpm.maxVal=K72,R72&lt;&gt;0),_xlpm.maxVal,""))</f>
        <v/>
      </c>
      <c r="AB72" s="27" t="str">
        <f>_xlfn.LET(_xlpm.maxVal,_xlfn.MAXIFS($K:$K,$A:$A,A72),IF(AND(_xlpm.maxVal=K72,S72&lt;&gt;0),_xlpm.maxVal,""))</f>
        <v/>
      </c>
      <c r="AC72" s="27" t="str">
        <f>_xlfn.LET(_xlpm.maxVal,_xlfn.MAXIFS($K:$K,$A:$A,A72),IF(AND(_xlpm.maxVal=K72,T72&lt;&gt;0),_xlpm.maxVal,""))</f>
        <v/>
      </c>
      <c r="AD72" s="27">
        <f>$K72*L72*负载统计!$K$3/60</f>
        <v>0</v>
      </c>
      <c r="AE72" s="27">
        <f>$K72*L72*负载统计!$K$4/60</f>
        <v>0</v>
      </c>
      <c r="AF72" s="27">
        <f>$K72*N72*负载统计!$K$5/60</f>
        <v>0</v>
      </c>
      <c r="AG72" s="27">
        <f>$K72*O72*负载统计!$K$6/60</f>
        <v>0</v>
      </c>
      <c r="AH72" s="27">
        <f>$K72*P72*负载统计!$K$7/60</f>
        <v>0</v>
      </c>
      <c r="AI72" s="27">
        <f>$K72*Q72*负载统计!$K$8/60</f>
        <v>0</v>
      </c>
      <c r="AJ72" s="27">
        <f>$K72*R72*负载统计!$K$9/60</f>
        <v>0</v>
      </c>
      <c r="AK72" s="27">
        <f>$K72*S72*负载统计!$K$10/60</f>
        <v>0</v>
      </c>
      <c r="AL72" s="27">
        <f>$K72*T72*负载统计!$K$11/60</f>
        <v>0</v>
      </c>
    </row>
    <row r="73" spans="1:38">
      <c r="A73" s="1">
        <v>34</v>
      </c>
      <c r="B73" s="24" t="s">
        <v>1355</v>
      </c>
      <c r="C73" s="24" t="s">
        <v>1329</v>
      </c>
      <c r="D73" s="24" t="s">
        <v>1356</v>
      </c>
      <c r="E73" s="24" t="s">
        <v>338</v>
      </c>
      <c r="F73" s="24" t="s">
        <v>339</v>
      </c>
      <c r="G73" s="25">
        <f>VLOOKUP(A73,负载电气特性!A:G,7,FALSE)</f>
        <v>270</v>
      </c>
      <c r="H73" s="26" t="s">
        <v>66</v>
      </c>
      <c r="I73" s="24" t="s">
        <v>1709</v>
      </c>
      <c r="J73" s="25" t="s">
        <v>1710</v>
      </c>
      <c r="K73" s="25">
        <v>1.65</v>
      </c>
      <c r="L73" s="25">
        <v>0</v>
      </c>
      <c r="M73" s="24">
        <v>0.2</v>
      </c>
      <c r="N73" s="25">
        <v>0.1</v>
      </c>
      <c r="O73" s="25">
        <v>0.15</v>
      </c>
      <c r="P73" s="25">
        <v>0.35</v>
      </c>
      <c r="Q73" s="25">
        <v>0.2</v>
      </c>
      <c r="R73" s="25">
        <v>0.3</v>
      </c>
      <c r="S73" s="25">
        <v>0.25</v>
      </c>
      <c r="T73" s="25">
        <v>0.15</v>
      </c>
      <c r="U73" s="27" t="str">
        <f>_xlfn.LET(_xlpm.maxVal,_xlfn.MAXIFS($K:$K,$A:$A,A73),IF(AND(_xlpm.maxVal=K73,L73&lt;&gt;0),_xlpm.maxVal,""))</f>
        <v/>
      </c>
      <c r="V73" s="27">
        <f>_xlfn.LET(_xlpm.maxVal,_xlfn.MAXIFS($K:$K,$A:$A,A73),IF(AND(_xlpm.maxVal=K73,M73&lt;&gt;0),_xlpm.maxVal,""))</f>
        <v>1.65</v>
      </c>
      <c r="W73" s="27">
        <f>_xlfn.LET(_xlpm.maxVal,_xlfn.MAXIFS($K:$K,$A:$A,A73),IF(AND(_xlpm.maxVal=K73,N73&lt;&gt;0),_xlpm.maxVal,""))</f>
        <v>1.65</v>
      </c>
      <c r="X73" s="27">
        <f>_xlfn.LET(_xlpm.maxVal,_xlfn.MAXIFS($K:$K,$A:$A,A73),IF(AND(_xlpm.maxVal=K73,O73&lt;&gt;0),_xlpm.maxVal,""))</f>
        <v>1.65</v>
      </c>
      <c r="Y73" s="27">
        <f>_xlfn.LET(_xlpm.maxVal,_xlfn.MAXIFS($K:$K,$A:$A,A73),IF(AND(_xlpm.maxVal=K73,P73&lt;&gt;0),_xlpm.maxVal,""))</f>
        <v>1.65</v>
      </c>
      <c r="Z73" s="27">
        <f>_xlfn.LET(_xlpm.maxVal,_xlfn.MAXIFS($K:$K,$A:$A,A73),IF(AND(_xlpm.maxVal=K73,Q73&lt;&gt;0),_xlpm.maxVal,""))</f>
        <v>1.65</v>
      </c>
      <c r="AA73" s="27">
        <f>_xlfn.LET(_xlpm.maxVal,_xlfn.MAXIFS($K:$K,$A:$A,A73),IF(AND(_xlpm.maxVal=K73,R73&lt;&gt;0),_xlpm.maxVal,""))</f>
        <v>1.65</v>
      </c>
      <c r="AB73" s="27">
        <f>_xlfn.LET(_xlpm.maxVal,_xlfn.MAXIFS($K:$K,$A:$A,A73),IF(AND(_xlpm.maxVal=K73,S73&lt;&gt;0),_xlpm.maxVal,""))</f>
        <v>1.65</v>
      </c>
      <c r="AC73" s="27">
        <f>_xlfn.LET(_xlpm.maxVal,_xlfn.MAXIFS($K:$K,$A:$A,A73),IF(AND(_xlpm.maxVal=K73,T73&lt;&gt;0),_xlpm.maxVal,""))</f>
        <v>1.65</v>
      </c>
      <c r="AD73" s="27">
        <f>$K73*L73*负载统计!$K$3/60</f>
        <v>0</v>
      </c>
      <c r="AE73" s="27">
        <f>$K73*L73*负载统计!$K$4/60</f>
        <v>0</v>
      </c>
      <c r="AF73" s="27">
        <f>$K73*N73*负载统计!$K$5/60</f>
        <v>0.00275</v>
      </c>
      <c r="AG73" s="27">
        <f>$K73*O73*负载统计!$K$6/60</f>
        <v>0.012375</v>
      </c>
      <c r="AH73" s="27">
        <f>$K73*P73*负载统计!$K$7/60</f>
        <v>0.06516125</v>
      </c>
      <c r="AI73" s="27">
        <f>$K73*Q73*负载统计!$K$8/60</f>
        <v>0.2398</v>
      </c>
      <c r="AJ73" s="27">
        <f>$K73*R73*负载统计!$K$9/60</f>
        <v>0.1142625</v>
      </c>
      <c r="AK73" s="27">
        <f>$K73*S73*负载统计!$K$10/60</f>
        <v>0.0034375</v>
      </c>
      <c r="AL73" s="27">
        <f>$K73*T73*负载统计!$K$11/60</f>
        <v>0.0165</v>
      </c>
    </row>
    <row r="74" spans="1:38">
      <c r="A74" s="1">
        <v>34</v>
      </c>
      <c r="B74" s="24" t="s">
        <v>1355</v>
      </c>
      <c r="C74" s="24" t="s">
        <v>1329</v>
      </c>
      <c r="D74" s="24" t="s">
        <v>1356</v>
      </c>
      <c r="E74" s="24" t="s">
        <v>338</v>
      </c>
      <c r="F74" s="24" t="s">
        <v>339</v>
      </c>
      <c r="G74" s="25">
        <f>VLOOKUP(A74,负载电气特性!A:G,7,FALSE)</f>
        <v>270</v>
      </c>
      <c r="H74" s="26" t="s">
        <v>66</v>
      </c>
      <c r="I74" s="24" t="s">
        <v>1709</v>
      </c>
      <c r="J74" s="25" t="s">
        <v>1711</v>
      </c>
      <c r="K74" s="25">
        <v>1.4</v>
      </c>
      <c r="L74" s="25">
        <v>0</v>
      </c>
      <c r="M74" s="24">
        <v>0</v>
      </c>
      <c r="N74" s="24">
        <v>0</v>
      </c>
      <c r="O74" s="24">
        <v>0</v>
      </c>
      <c r="P74" s="24">
        <v>0</v>
      </c>
      <c r="Q74" s="24">
        <v>0</v>
      </c>
      <c r="R74" s="24">
        <v>0</v>
      </c>
      <c r="S74" s="24">
        <v>0</v>
      </c>
      <c r="T74" s="24">
        <v>0</v>
      </c>
      <c r="U74" s="27" t="str">
        <f>_xlfn.LET(_xlpm.maxVal,_xlfn.MAXIFS($K:$K,$A:$A,A74),IF(AND(_xlpm.maxVal=K74,L74&lt;&gt;0),_xlpm.maxVal,""))</f>
        <v/>
      </c>
      <c r="V74" s="27" t="str">
        <f>_xlfn.LET(_xlpm.maxVal,_xlfn.MAXIFS($K:$K,$A:$A,A74),IF(AND(_xlpm.maxVal=K74,M74&lt;&gt;0),_xlpm.maxVal,""))</f>
        <v/>
      </c>
      <c r="W74" s="27" t="str">
        <f>_xlfn.LET(_xlpm.maxVal,_xlfn.MAXIFS($K:$K,$A:$A,A74),IF(AND(_xlpm.maxVal=K74,N74&lt;&gt;0),_xlpm.maxVal,""))</f>
        <v/>
      </c>
      <c r="X74" s="27" t="str">
        <f>_xlfn.LET(_xlpm.maxVal,_xlfn.MAXIFS($K:$K,$A:$A,A74),IF(AND(_xlpm.maxVal=K74,O74&lt;&gt;0),_xlpm.maxVal,""))</f>
        <v/>
      </c>
      <c r="Y74" s="27" t="str">
        <f>_xlfn.LET(_xlpm.maxVal,_xlfn.MAXIFS($K:$K,$A:$A,A74),IF(AND(_xlpm.maxVal=K74,P74&lt;&gt;0),_xlpm.maxVal,""))</f>
        <v/>
      </c>
      <c r="Z74" s="27" t="str">
        <f>_xlfn.LET(_xlpm.maxVal,_xlfn.MAXIFS($K:$K,$A:$A,A74),IF(AND(_xlpm.maxVal=K74,Q74&lt;&gt;0),_xlpm.maxVal,""))</f>
        <v/>
      </c>
      <c r="AA74" s="27" t="str">
        <f>_xlfn.LET(_xlpm.maxVal,_xlfn.MAXIFS($K:$K,$A:$A,A74),IF(AND(_xlpm.maxVal=K74,R74&lt;&gt;0),_xlpm.maxVal,""))</f>
        <v/>
      </c>
      <c r="AB74" s="27" t="str">
        <f>_xlfn.LET(_xlpm.maxVal,_xlfn.MAXIFS($K:$K,$A:$A,A74),IF(AND(_xlpm.maxVal=K74,S74&lt;&gt;0),_xlpm.maxVal,""))</f>
        <v/>
      </c>
      <c r="AC74" s="27" t="str">
        <f>_xlfn.LET(_xlpm.maxVal,_xlfn.MAXIFS($K:$K,$A:$A,A74),IF(AND(_xlpm.maxVal=K74,T74&lt;&gt;0),_xlpm.maxVal,""))</f>
        <v/>
      </c>
      <c r="AD74" s="27">
        <f>$K74*L74*负载统计!$K$3/60</f>
        <v>0</v>
      </c>
      <c r="AE74" s="27">
        <f>$K74*L74*负载统计!$K$4/60</f>
        <v>0</v>
      </c>
      <c r="AF74" s="27">
        <f>$K74*N74*负载统计!$K$5/60</f>
        <v>0</v>
      </c>
      <c r="AG74" s="27">
        <f>$K74*O74*负载统计!$K$6/60</f>
        <v>0</v>
      </c>
      <c r="AH74" s="27">
        <f>$K74*P74*负载统计!$K$7/60</f>
        <v>0</v>
      </c>
      <c r="AI74" s="27">
        <f>$K74*Q74*负载统计!$K$8/60</f>
        <v>0</v>
      </c>
      <c r="AJ74" s="27">
        <f>$K74*R74*负载统计!$K$9/60</f>
        <v>0</v>
      </c>
      <c r="AK74" s="27">
        <f>$K74*S74*负载统计!$K$10/60</f>
        <v>0</v>
      </c>
      <c r="AL74" s="27">
        <f>$K74*T74*负载统计!$K$11/60</f>
        <v>0</v>
      </c>
    </row>
    <row r="75" spans="1:38">
      <c r="A75" s="1">
        <v>34</v>
      </c>
      <c r="B75" s="24" t="s">
        <v>1355</v>
      </c>
      <c r="C75" s="24" t="s">
        <v>1329</v>
      </c>
      <c r="D75" s="24" t="s">
        <v>1356</v>
      </c>
      <c r="E75" s="24" t="s">
        <v>338</v>
      </c>
      <c r="F75" s="24" t="s">
        <v>339</v>
      </c>
      <c r="G75" s="25">
        <f>VLOOKUP(A75,负载电气特性!A:G,7,FALSE)</f>
        <v>270</v>
      </c>
      <c r="H75" s="26" t="s">
        <v>66</v>
      </c>
      <c r="I75" s="24" t="s">
        <v>1709</v>
      </c>
      <c r="J75" s="24" t="s">
        <v>1708</v>
      </c>
      <c r="K75" s="25">
        <v>0</v>
      </c>
      <c r="L75" s="25">
        <v>1</v>
      </c>
      <c r="M75" s="25">
        <v>0.8</v>
      </c>
      <c r="N75" s="25">
        <v>0.9</v>
      </c>
      <c r="O75" s="25">
        <v>0.85</v>
      </c>
      <c r="P75" s="25">
        <v>0.65</v>
      </c>
      <c r="Q75" s="25">
        <v>0.8</v>
      </c>
      <c r="R75" s="25">
        <v>0.7</v>
      </c>
      <c r="S75" s="25">
        <v>0.75</v>
      </c>
      <c r="T75" s="25">
        <v>0.85</v>
      </c>
      <c r="U75" s="27" t="str">
        <f>_xlfn.LET(_xlpm.maxVal,_xlfn.MAXIFS($K:$K,$A:$A,A75),IF(AND(_xlpm.maxVal=K75,L75&lt;&gt;0),_xlpm.maxVal,""))</f>
        <v/>
      </c>
      <c r="V75" s="27" t="str">
        <f>_xlfn.LET(_xlpm.maxVal,_xlfn.MAXIFS($K:$K,$A:$A,A75),IF(AND(_xlpm.maxVal=K75,M75&lt;&gt;0),_xlpm.maxVal,""))</f>
        <v/>
      </c>
      <c r="W75" s="27" t="str">
        <f>_xlfn.LET(_xlpm.maxVal,_xlfn.MAXIFS($K:$K,$A:$A,A75),IF(AND(_xlpm.maxVal=K75,N75&lt;&gt;0),_xlpm.maxVal,""))</f>
        <v/>
      </c>
      <c r="X75" s="27" t="str">
        <f>_xlfn.LET(_xlpm.maxVal,_xlfn.MAXIFS($K:$K,$A:$A,A75),IF(AND(_xlpm.maxVal=K75,O75&lt;&gt;0),_xlpm.maxVal,""))</f>
        <v/>
      </c>
      <c r="Y75" s="27" t="str">
        <f>_xlfn.LET(_xlpm.maxVal,_xlfn.MAXIFS($K:$K,$A:$A,A75),IF(AND(_xlpm.maxVal=K75,P75&lt;&gt;0),_xlpm.maxVal,""))</f>
        <v/>
      </c>
      <c r="Z75" s="27" t="str">
        <f>_xlfn.LET(_xlpm.maxVal,_xlfn.MAXIFS($K:$K,$A:$A,A75),IF(AND(_xlpm.maxVal=K75,Q75&lt;&gt;0),_xlpm.maxVal,""))</f>
        <v/>
      </c>
      <c r="AA75" s="27" t="str">
        <f>_xlfn.LET(_xlpm.maxVal,_xlfn.MAXIFS($K:$K,$A:$A,A75),IF(AND(_xlpm.maxVal=K75,R75&lt;&gt;0),_xlpm.maxVal,""))</f>
        <v/>
      </c>
      <c r="AB75" s="27" t="str">
        <f>_xlfn.LET(_xlpm.maxVal,_xlfn.MAXIFS($K:$K,$A:$A,A75),IF(AND(_xlpm.maxVal=K75,S75&lt;&gt;0),_xlpm.maxVal,""))</f>
        <v/>
      </c>
      <c r="AC75" s="27" t="str">
        <f>_xlfn.LET(_xlpm.maxVal,_xlfn.MAXIFS($K:$K,$A:$A,A75),IF(AND(_xlpm.maxVal=K75,T75&lt;&gt;0),_xlpm.maxVal,""))</f>
        <v/>
      </c>
      <c r="AD75" s="27">
        <f>$K75*L75*负载统计!$K$3/60</f>
        <v>0</v>
      </c>
      <c r="AE75" s="27">
        <f>$K75*L75*负载统计!$K$4/60</f>
        <v>0</v>
      </c>
      <c r="AF75" s="27">
        <f>$K75*N75*负载统计!$K$5/60</f>
        <v>0</v>
      </c>
      <c r="AG75" s="27">
        <f>$K75*O75*负载统计!$K$6/60</f>
        <v>0</v>
      </c>
      <c r="AH75" s="27">
        <f>$K75*P75*负载统计!$K$7/60</f>
        <v>0</v>
      </c>
      <c r="AI75" s="27">
        <f>$K75*Q75*负载统计!$K$8/60</f>
        <v>0</v>
      </c>
      <c r="AJ75" s="27">
        <f>$K75*R75*负载统计!$K$9/60</f>
        <v>0</v>
      </c>
      <c r="AK75" s="27">
        <f>$K75*S75*负载统计!$K$10/60</f>
        <v>0</v>
      </c>
      <c r="AL75" s="27">
        <f>$K75*T75*负载统计!$K$11/60</f>
        <v>0</v>
      </c>
    </row>
    <row r="76" spans="1:38">
      <c r="A76" s="1">
        <v>35</v>
      </c>
      <c r="B76" s="24" t="s">
        <v>1357</v>
      </c>
      <c r="C76" s="24" t="s">
        <v>1329</v>
      </c>
      <c r="D76" s="24" t="s">
        <v>1356</v>
      </c>
      <c r="E76" s="24" t="s">
        <v>338</v>
      </c>
      <c r="F76" s="24" t="s">
        <v>339</v>
      </c>
      <c r="G76" s="25">
        <f>VLOOKUP(A76,负载电气特性!A:G,7,FALSE)</f>
        <v>28</v>
      </c>
      <c r="H76" s="26" t="s">
        <v>66</v>
      </c>
      <c r="I76" s="25" t="s">
        <v>1706</v>
      </c>
      <c r="J76" s="24" t="s">
        <v>1707</v>
      </c>
      <c r="K76" s="25">
        <v>0.03</v>
      </c>
      <c r="L76" s="25">
        <v>1</v>
      </c>
      <c r="M76" s="25">
        <v>1</v>
      </c>
      <c r="N76" s="25">
        <v>1</v>
      </c>
      <c r="O76" s="25">
        <v>1</v>
      </c>
      <c r="P76" s="25">
        <v>1</v>
      </c>
      <c r="Q76" s="25">
        <v>1</v>
      </c>
      <c r="R76" s="25">
        <v>1</v>
      </c>
      <c r="S76" s="25">
        <v>1</v>
      </c>
      <c r="T76" s="25">
        <v>1</v>
      </c>
      <c r="U76" s="27">
        <f>_xlfn.LET(_xlpm.maxVal,_xlfn.MAXIFS($K:$K,$A:$A,A76),IF(AND(_xlpm.maxVal=K76,L76&lt;&gt;0),_xlpm.maxVal,""))</f>
        <v>0.03</v>
      </c>
      <c r="V76" s="27">
        <f>_xlfn.LET(_xlpm.maxVal,_xlfn.MAXIFS($K:$K,$A:$A,A76),IF(AND(_xlpm.maxVal=K76,M76&lt;&gt;0),_xlpm.maxVal,""))</f>
        <v>0.03</v>
      </c>
      <c r="W76" s="27">
        <f>_xlfn.LET(_xlpm.maxVal,_xlfn.MAXIFS($K:$K,$A:$A,A76),IF(AND(_xlpm.maxVal=K76,N76&lt;&gt;0),_xlpm.maxVal,""))</f>
        <v>0.03</v>
      </c>
      <c r="X76" s="27">
        <f>_xlfn.LET(_xlpm.maxVal,_xlfn.MAXIFS($K:$K,$A:$A,A76),IF(AND(_xlpm.maxVal=K76,O76&lt;&gt;0),_xlpm.maxVal,""))</f>
        <v>0.03</v>
      </c>
      <c r="Y76" s="27">
        <f>_xlfn.LET(_xlpm.maxVal,_xlfn.MAXIFS($K:$K,$A:$A,A76),IF(AND(_xlpm.maxVal=K76,P76&lt;&gt;0),_xlpm.maxVal,""))</f>
        <v>0.03</v>
      </c>
      <c r="Z76" s="27">
        <f>_xlfn.LET(_xlpm.maxVal,_xlfn.MAXIFS($K:$K,$A:$A,A76),IF(AND(_xlpm.maxVal=K76,Q76&lt;&gt;0),_xlpm.maxVal,""))</f>
        <v>0.03</v>
      </c>
      <c r="AA76" s="27">
        <f>_xlfn.LET(_xlpm.maxVal,_xlfn.MAXIFS($K:$K,$A:$A,A76),IF(AND(_xlpm.maxVal=K76,R76&lt;&gt;0),_xlpm.maxVal,""))</f>
        <v>0.03</v>
      </c>
      <c r="AB76" s="27">
        <f>_xlfn.LET(_xlpm.maxVal,_xlfn.MAXIFS($K:$K,$A:$A,A76),IF(AND(_xlpm.maxVal=K76,S76&lt;&gt;0),_xlpm.maxVal,""))</f>
        <v>0.03</v>
      </c>
      <c r="AC76" s="27">
        <f>_xlfn.LET(_xlpm.maxVal,_xlfn.MAXIFS($K:$K,$A:$A,A76),IF(AND(_xlpm.maxVal=K76,T76&lt;&gt;0),_xlpm.maxVal,""))</f>
        <v>0.03</v>
      </c>
      <c r="AD76" s="27">
        <f>$K76*L76*负载统计!$K$3/60</f>
        <v>0</v>
      </c>
      <c r="AE76" s="27">
        <f>$K76*L76*负载统计!$K$4/60</f>
        <v>0</v>
      </c>
      <c r="AF76" s="27">
        <f>$K76*N76*负载统计!$K$5/60</f>
        <v>0.0005</v>
      </c>
      <c r="AG76" s="27">
        <f>$K76*O76*负载统计!$K$6/60</f>
        <v>0.0015</v>
      </c>
      <c r="AH76" s="27">
        <f>$K76*P76*负载统计!$K$7/60</f>
        <v>0.003385</v>
      </c>
      <c r="AI76" s="27">
        <f>$K76*Q76*负载统计!$K$8/60</f>
        <v>0.0218</v>
      </c>
      <c r="AJ76" s="27">
        <f>$K76*R76*负载统计!$K$9/60</f>
        <v>0.006925</v>
      </c>
      <c r="AK76" s="27">
        <f>$K76*S76*负载统计!$K$10/60</f>
        <v>0.00025</v>
      </c>
      <c r="AL76" s="27">
        <f>$K76*T76*负载统计!$K$11/60</f>
        <v>0.002</v>
      </c>
    </row>
    <row r="77" spans="1:38">
      <c r="A77" s="1">
        <v>35</v>
      </c>
      <c r="B77" s="24" t="s">
        <v>1357</v>
      </c>
      <c r="C77" s="24" t="s">
        <v>1329</v>
      </c>
      <c r="D77" s="24" t="s">
        <v>1356</v>
      </c>
      <c r="E77" s="24" t="s">
        <v>338</v>
      </c>
      <c r="F77" s="24" t="s">
        <v>339</v>
      </c>
      <c r="G77" s="25">
        <f>VLOOKUP(A77,负载电气特性!A:G,7,FALSE)</f>
        <v>28</v>
      </c>
      <c r="H77" s="26" t="s">
        <v>66</v>
      </c>
      <c r="I77" s="25" t="s">
        <v>1706</v>
      </c>
      <c r="J77" s="24" t="s">
        <v>1708</v>
      </c>
      <c r="K77" s="25">
        <v>0</v>
      </c>
      <c r="L77" s="25">
        <v>0</v>
      </c>
      <c r="M77" s="25">
        <v>0</v>
      </c>
      <c r="N77" s="25">
        <v>0</v>
      </c>
      <c r="O77" s="25">
        <v>0</v>
      </c>
      <c r="P77" s="25">
        <v>0</v>
      </c>
      <c r="Q77" s="25">
        <v>0</v>
      </c>
      <c r="R77" s="25">
        <v>0</v>
      </c>
      <c r="S77" s="25">
        <v>0</v>
      </c>
      <c r="T77" s="25">
        <v>0</v>
      </c>
      <c r="U77" s="27" t="str">
        <f>_xlfn.LET(_xlpm.maxVal,_xlfn.MAXIFS($K:$K,$A:$A,A77),IF(AND(_xlpm.maxVal=K77,L77&lt;&gt;0),_xlpm.maxVal,""))</f>
        <v/>
      </c>
      <c r="V77" s="27" t="str">
        <f>_xlfn.LET(_xlpm.maxVal,_xlfn.MAXIFS($K:$K,$A:$A,A77),IF(AND(_xlpm.maxVal=K77,M77&lt;&gt;0),_xlpm.maxVal,""))</f>
        <v/>
      </c>
      <c r="W77" s="27" t="str">
        <f>_xlfn.LET(_xlpm.maxVal,_xlfn.MAXIFS($K:$K,$A:$A,A77),IF(AND(_xlpm.maxVal=K77,N77&lt;&gt;0),_xlpm.maxVal,""))</f>
        <v/>
      </c>
      <c r="X77" s="27" t="str">
        <f>_xlfn.LET(_xlpm.maxVal,_xlfn.MAXIFS($K:$K,$A:$A,A77),IF(AND(_xlpm.maxVal=K77,O77&lt;&gt;0),_xlpm.maxVal,""))</f>
        <v/>
      </c>
      <c r="Y77" s="27" t="str">
        <f>_xlfn.LET(_xlpm.maxVal,_xlfn.MAXIFS($K:$K,$A:$A,A77),IF(AND(_xlpm.maxVal=K77,P77&lt;&gt;0),_xlpm.maxVal,""))</f>
        <v/>
      </c>
      <c r="Z77" s="27" t="str">
        <f>_xlfn.LET(_xlpm.maxVal,_xlfn.MAXIFS($K:$K,$A:$A,A77),IF(AND(_xlpm.maxVal=K77,Q77&lt;&gt;0),_xlpm.maxVal,""))</f>
        <v/>
      </c>
      <c r="AA77" s="27" t="str">
        <f>_xlfn.LET(_xlpm.maxVal,_xlfn.MAXIFS($K:$K,$A:$A,A77),IF(AND(_xlpm.maxVal=K77,R77&lt;&gt;0),_xlpm.maxVal,""))</f>
        <v/>
      </c>
      <c r="AB77" s="27" t="str">
        <f>_xlfn.LET(_xlpm.maxVal,_xlfn.MAXIFS($K:$K,$A:$A,A77),IF(AND(_xlpm.maxVal=K77,S77&lt;&gt;0),_xlpm.maxVal,""))</f>
        <v/>
      </c>
      <c r="AC77" s="27" t="str">
        <f>_xlfn.LET(_xlpm.maxVal,_xlfn.MAXIFS($K:$K,$A:$A,A77),IF(AND(_xlpm.maxVal=K77,T77&lt;&gt;0),_xlpm.maxVal,""))</f>
        <v/>
      </c>
      <c r="AD77" s="27">
        <f>$K77*L77*负载统计!$K$3/60</f>
        <v>0</v>
      </c>
      <c r="AE77" s="27">
        <f>$K77*L77*负载统计!$K$4/60</f>
        <v>0</v>
      </c>
      <c r="AF77" s="27">
        <f>$K77*N77*负载统计!$K$5/60</f>
        <v>0</v>
      </c>
      <c r="AG77" s="27">
        <f>$K77*O77*负载统计!$K$6/60</f>
        <v>0</v>
      </c>
      <c r="AH77" s="27">
        <f>$K77*P77*负载统计!$K$7/60</f>
        <v>0</v>
      </c>
      <c r="AI77" s="27">
        <f>$K77*Q77*负载统计!$K$8/60</f>
        <v>0</v>
      </c>
      <c r="AJ77" s="27">
        <f>$K77*R77*负载统计!$K$9/60</f>
        <v>0</v>
      </c>
      <c r="AK77" s="27">
        <f>$K77*S77*负载统计!$K$10/60</f>
        <v>0</v>
      </c>
      <c r="AL77" s="27">
        <f>$K77*T77*负载统计!$K$11/60</f>
        <v>0</v>
      </c>
    </row>
    <row r="78" spans="1:38">
      <c r="A78" s="1">
        <v>36</v>
      </c>
      <c r="B78" s="24" t="s">
        <v>1358</v>
      </c>
      <c r="C78" s="24" t="s">
        <v>1329</v>
      </c>
      <c r="D78" s="24" t="s">
        <v>1359</v>
      </c>
      <c r="E78" s="24" t="s">
        <v>338</v>
      </c>
      <c r="F78" s="24" t="s">
        <v>341</v>
      </c>
      <c r="G78" s="25">
        <f>VLOOKUP(A78,负载电气特性!A:G,7,FALSE)</f>
        <v>270</v>
      </c>
      <c r="H78" s="26" t="s">
        <v>66</v>
      </c>
      <c r="I78" s="24" t="s">
        <v>1709</v>
      </c>
      <c r="J78" s="25" t="s">
        <v>1710</v>
      </c>
      <c r="K78" s="25">
        <v>1.65</v>
      </c>
      <c r="L78" s="25">
        <v>0</v>
      </c>
      <c r="M78" s="25">
        <v>0</v>
      </c>
      <c r="N78" s="25">
        <v>0</v>
      </c>
      <c r="O78" s="25">
        <v>0</v>
      </c>
      <c r="P78" s="25">
        <v>0</v>
      </c>
      <c r="Q78" s="25">
        <v>0</v>
      </c>
      <c r="R78" s="25">
        <v>0</v>
      </c>
      <c r="S78" s="25">
        <v>0</v>
      </c>
      <c r="T78" s="25">
        <v>0</v>
      </c>
      <c r="U78" s="27" t="str">
        <f>_xlfn.LET(_xlpm.maxVal,_xlfn.MAXIFS($K:$K,$A:$A,A78),IF(AND(_xlpm.maxVal=K78,L78&lt;&gt;0),_xlpm.maxVal,""))</f>
        <v/>
      </c>
      <c r="V78" s="27" t="str">
        <f>_xlfn.LET(_xlpm.maxVal,_xlfn.MAXIFS($K:$K,$A:$A,A78),IF(AND(_xlpm.maxVal=K78,M78&lt;&gt;0),_xlpm.maxVal,""))</f>
        <v/>
      </c>
      <c r="W78" s="27" t="str">
        <f>_xlfn.LET(_xlpm.maxVal,_xlfn.MAXIFS($K:$K,$A:$A,A78),IF(AND(_xlpm.maxVal=K78,N78&lt;&gt;0),_xlpm.maxVal,""))</f>
        <v/>
      </c>
      <c r="X78" s="27" t="str">
        <f>_xlfn.LET(_xlpm.maxVal,_xlfn.MAXIFS($K:$K,$A:$A,A78),IF(AND(_xlpm.maxVal=K78,O78&lt;&gt;0),_xlpm.maxVal,""))</f>
        <v/>
      </c>
      <c r="Y78" s="27" t="str">
        <f>_xlfn.LET(_xlpm.maxVal,_xlfn.MAXIFS($K:$K,$A:$A,A78),IF(AND(_xlpm.maxVal=K78,P78&lt;&gt;0),_xlpm.maxVal,""))</f>
        <v/>
      </c>
      <c r="Z78" s="27" t="str">
        <f>_xlfn.LET(_xlpm.maxVal,_xlfn.MAXIFS($K:$K,$A:$A,A78),IF(AND(_xlpm.maxVal=K78,Q78&lt;&gt;0),_xlpm.maxVal,""))</f>
        <v/>
      </c>
      <c r="AA78" s="27" t="str">
        <f>_xlfn.LET(_xlpm.maxVal,_xlfn.MAXIFS($K:$K,$A:$A,A78),IF(AND(_xlpm.maxVal=K78,R78&lt;&gt;0),_xlpm.maxVal,""))</f>
        <v/>
      </c>
      <c r="AB78" s="27" t="str">
        <f>_xlfn.LET(_xlpm.maxVal,_xlfn.MAXIFS($K:$K,$A:$A,A78),IF(AND(_xlpm.maxVal=K78,S78&lt;&gt;0),_xlpm.maxVal,""))</f>
        <v/>
      </c>
      <c r="AC78" s="27" t="str">
        <f>_xlfn.LET(_xlpm.maxVal,_xlfn.MAXIFS($K:$K,$A:$A,A78),IF(AND(_xlpm.maxVal=K78,T78&lt;&gt;0),_xlpm.maxVal,""))</f>
        <v/>
      </c>
      <c r="AD78" s="27">
        <f>$K78*L78*负载统计!$K$3/60</f>
        <v>0</v>
      </c>
      <c r="AE78" s="27">
        <f>$K78*L78*负载统计!$K$4/60</f>
        <v>0</v>
      </c>
      <c r="AF78" s="27">
        <f>$K78*N78*负载统计!$K$5/60</f>
        <v>0</v>
      </c>
      <c r="AG78" s="27">
        <f>$K78*O78*负载统计!$K$6/60</f>
        <v>0</v>
      </c>
      <c r="AH78" s="27">
        <f>$K78*P78*负载统计!$K$7/60</f>
        <v>0</v>
      </c>
      <c r="AI78" s="27">
        <f>$K78*Q78*负载统计!$K$8/60</f>
        <v>0</v>
      </c>
      <c r="AJ78" s="27">
        <f>$K78*R78*负载统计!$K$9/60</f>
        <v>0</v>
      </c>
      <c r="AK78" s="27">
        <f>$K78*S78*负载统计!$K$10/60</f>
        <v>0</v>
      </c>
      <c r="AL78" s="27">
        <f>$K78*T78*负载统计!$K$11/60</f>
        <v>0</v>
      </c>
    </row>
    <row r="79" spans="1:38">
      <c r="A79" s="1">
        <v>36</v>
      </c>
      <c r="B79" s="24" t="s">
        <v>1358</v>
      </c>
      <c r="C79" s="24" t="s">
        <v>1329</v>
      </c>
      <c r="D79" s="24" t="s">
        <v>1359</v>
      </c>
      <c r="E79" s="24" t="s">
        <v>338</v>
      </c>
      <c r="F79" s="24" t="s">
        <v>341</v>
      </c>
      <c r="G79" s="25">
        <f>VLOOKUP(A79,负载电气特性!A:G,7,FALSE)</f>
        <v>270</v>
      </c>
      <c r="H79" s="26" t="s">
        <v>66</v>
      </c>
      <c r="I79" s="24" t="s">
        <v>1709</v>
      </c>
      <c r="J79" s="25" t="s">
        <v>1711</v>
      </c>
      <c r="K79" s="25">
        <v>1.4</v>
      </c>
      <c r="L79" s="25">
        <v>0</v>
      </c>
      <c r="M79" s="25">
        <v>0</v>
      </c>
      <c r="N79" s="25">
        <v>0</v>
      </c>
      <c r="O79" s="25">
        <v>0</v>
      </c>
      <c r="P79" s="25">
        <v>0</v>
      </c>
      <c r="Q79" s="25">
        <v>0</v>
      </c>
      <c r="R79" s="25">
        <v>0</v>
      </c>
      <c r="S79" s="25">
        <v>0</v>
      </c>
      <c r="T79" s="25">
        <v>0</v>
      </c>
      <c r="U79" s="27" t="str">
        <f>_xlfn.LET(_xlpm.maxVal,_xlfn.MAXIFS($K:$K,$A:$A,A79),IF(AND(_xlpm.maxVal=K79,L79&lt;&gt;0),_xlpm.maxVal,""))</f>
        <v/>
      </c>
      <c r="V79" s="27" t="str">
        <f>_xlfn.LET(_xlpm.maxVal,_xlfn.MAXIFS($K:$K,$A:$A,A79),IF(AND(_xlpm.maxVal=K79,M79&lt;&gt;0),_xlpm.maxVal,""))</f>
        <v/>
      </c>
      <c r="W79" s="27" t="str">
        <f>_xlfn.LET(_xlpm.maxVal,_xlfn.MAXIFS($K:$K,$A:$A,A79),IF(AND(_xlpm.maxVal=K79,N79&lt;&gt;0),_xlpm.maxVal,""))</f>
        <v/>
      </c>
      <c r="X79" s="27" t="str">
        <f>_xlfn.LET(_xlpm.maxVal,_xlfn.MAXIFS($K:$K,$A:$A,A79),IF(AND(_xlpm.maxVal=K79,O79&lt;&gt;0),_xlpm.maxVal,""))</f>
        <v/>
      </c>
      <c r="Y79" s="27" t="str">
        <f>_xlfn.LET(_xlpm.maxVal,_xlfn.MAXIFS($K:$K,$A:$A,A79),IF(AND(_xlpm.maxVal=K79,P79&lt;&gt;0),_xlpm.maxVal,""))</f>
        <v/>
      </c>
      <c r="Z79" s="27" t="str">
        <f>_xlfn.LET(_xlpm.maxVal,_xlfn.MAXIFS($K:$K,$A:$A,A79),IF(AND(_xlpm.maxVal=K79,Q79&lt;&gt;0),_xlpm.maxVal,""))</f>
        <v/>
      </c>
      <c r="AA79" s="27" t="str">
        <f>_xlfn.LET(_xlpm.maxVal,_xlfn.MAXIFS($K:$K,$A:$A,A79),IF(AND(_xlpm.maxVal=K79,R79&lt;&gt;0),_xlpm.maxVal,""))</f>
        <v/>
      </c>
      <c r="AB79" s="27" t="str">
        <f>_xlfn.LET(_xlpm.maxVal,_xlfn.MAXIFS($K:$K,$A:$A,A79),IF(AND(_xlpm.maxVal=K79,S79&lt;&gt;0),_xlpm.maxVal,""))</f>
        <v/>
      </c>
      <c r="AC79" s="27" t="str">
        <f>_xlfn.LET(_xlpm.maxVal,_xlfn.MAXIFS($K:$K,$A:$A,A79),IF(AND(_xlpm.maxVal=K79,T79&lt;&gt;0),_xlpm.maxVal,""))</f>
        <v/>
      </c>
      <c r="AD79" s="27">
        <f>$K79*L79*负载统计!$K$3/60</f>
        <v>0</v>
      </c>
      <c r="AE79" s="27">
        <f>$K79*L79*负载统计!$K$4/60</f>
        <v>0</v>
      </c>
      <c r="AF79" s="27">
        <f>$K79*N79*负载统计!$K$5/60</f>
        <v>0</v>
      </c>
      <c r="AG79" s="27">
        <f>$K79*O79*负载统计!$K$6/60</f>
        <v>0</v>
      </c>
      <c r="AH79" s="27">
        <f>$K79*P79*负载统计!$K$7/60</f>
        <v>0</v>
      </c>
      <c r="AI79" s="27">
        <f>$K79*Q79*负载统计!$K$8/60</f>
        <v>0</v>
      </c>
      <c r="AJ79" s="27">
        <f>$K79*R79*负载统计!$K$9/60</f>
        <v>0</v>
      </c>
      <c r="AK79" s="27">
        <f>$K79*S79*负载统计!$K$10/60</f>
        <v>0</v>
      </c>
      <c r="AL79" s="27">
        <f>$K79*T79*负载统计!$K$11/60</f>
        <v>0</v>
      </c>
    </row>
    <row r="80" spans="1:38">
      <c r="A80" s="1">
        <v>36</v>
      </c>
      <c r="B80" s="24" t="s">
        <v>1358</v>
      </c>
      <c r="C80" s="24" t="s">
        <v>1329</v>
      </c>
      <c r="D80" s="24" t="s">
        <v>1359</v>
      </c>
      <c r="E80" s="24" t="s">
        <v>338</v>
      </c>
      <c r="F80" s="24" t="s">
        <v>341</v>
      </c>
      <c r="G80" s="25">
        <f>VLOOKUP(A80,负载电气特性!A:G,7,FALSE)</f>
        <v>270</v>
      </c>
      <c r="H80" s="26" t="s">
        <v>66</v>
      </c>
      <c r="I80" s="24" t="s">
        <v>1709</v>
      </c>
      <c r="J80" s="24" t="s">
        <v>1708</v>
      </c>
      <c r="K80" s="25">
        <v>0</v>
      </c>
      <c r="L80" s="25">
        <v>1</v>
      </c>
      <c r="M80" s="25">
        <v>1</v>
      </c>
      <c r="N80" s="25">
        <v>1</v>
      </c>
      <c r="O80" s="25">
        <v>1</v>
      </c>
      <c r="P80" s="25">
        <v>1</v>
      </c>
      <c r="Q80" s="25">
        <v>1</v>
      </c>
      <c r="R80" s="25">
        <v>1</v>
      </c>
      <c r="S80" s="25">
        <v>1</v>
      </c>
      <c r="T80" s="25">
        <v>1</v>
      </c>
      <c r="U80" s="27" t="str">
        <f>_xlfn.LET(_xlpm.maxVal,_xlfn.MAXIFS($K:$K,$A:$A,A80),IF(AND(_xlpm.maxVal=K80,L80&lt;&gt;0),_xlpm.maxVal,""))</f>
        <v/>
      </c>
      <c r="V80" s="27" t="str">
        <f>_xlfn.LET(_xlpm.maxVal,_xlfn.MAXIFS($K:$K,$A:$A,A80),IF(AND(_xlpm.maxVal=K80,M80&lt;&gt;0),_xlpm.maxVal,""))</f>
        <v/>
      </c>
      <c r="W80" s="27" t="str">
        <f>_xlfn.LET(_xlpm.maxVal,_xlfn.MAXIFS($K:$K,$A:$A,A80),IF(AND(_xlpm.maxVal=K80,N80&lt;&gt;0),_xlpm.maxVal,""))</f>
        <v/>
      </c>
      <c r="X80" s="27" t="str">
        <f>_xlfn.LET(_xlpm.maxVal,_xlfn.MAXIFS($K:$K,$A:$A,A80),IF(AND(_xlpm.maxVal=K80,O80&lt;&gt;0),_xlpm.maxVal,""))</f>
        <v/>
      </c>
      <c r="Y80" s="27" t="str">
        <f>_xlfn.LET(_xlpm.maxVal,_xlfn.MAXIFS($K:$K,$A:$A,A80),IF(AND(_xlpm.maxVal=K80,P80&lt;&gt;0),_xlpm.maxVal,""))</f>
        <v/>
      </c>
      <c r="Z80" s="27" t="str">
        <f>_xlfn.LET(_xlpm.maxVal,_xlfn.MAXIFS($K:$K,$A:$A,A80),IF(AND(_xlpm.maxVal=K80,Q80&lt;&gt;0),_xlpm.maxVal,""))</f>
        <v/>
      </c>
      <c r="AA80" s="27" t="str">
        <f>_xlfn.LET(_xlpm.maxVal,_xlfn.MAXIFS($K:$K,$A:$A,A80),IF(AND(_xlpm.maxVal=K80,R80&lt;&gt;0),_xlpm.maxVal,""))</f>
        <v/>
      </c>
      <c r="AB80" s="27" t="str">
        <f>_xlfn.LET(_xlpm.maxVal,_xlfn.MAXIFS($K:$K,$A:$A,A80),IF(AND(_xlpm.maxVal=K80,S80&lt;&gt;0),_xlpm.maxVal,""))</f>
        <v/>
      </c>
      <c r="AC80" s="27" t="str">
        <f>_xlfn.LET(_xlpm.maxVal,_xlfn.MAXIFS($K:$K,$A:$A,A80),IF(AND(_xlpm.maxVal=K80,T80&lt;&gt;0),_xlpm.maxVal,""))</f>
        <v/>
      </c>
      <c r="AD80" s="27">
        <f>$K80*L80*负载统计!$K$3/60</f>
        <v>0</v>
      </c>
      <c r="AE80" s="27">
        <f>$K80*L80*负载统计!$K$4/60</f>
        <v>0</v>
      </c>
      <c r="AF80" s="27">
        <f>$K80*N80*负载统计!$K$5/60</f>
        <v>0</v>
      </c>
      <c r="AG80" s="27">
        <f>$K80*O80*负载统计!$K$6/60</f>
        <v>0</v>
      </c>
      <c r="AH80" s="27">
        <f>$K80*P80*负载统计!$K$7/60</f>
        <v>0</v>
      </c>
      <c r="AI80" s="27">
        <f>$K80*Q80*负载统计!$K$8/60</f>
        <v>0</v>
      </c>
      <c r="AJ80" s="27">
        <f>$K80*R80*负载统计!$K$9/60</f>
        <v>0</v>
      </c>
      <c r="AK80" s="27">
        <f>$K80*S80*负载统计!$K$10/60</f>
        <v>0</v>
      </c>
      <c r="AL80" s="27">
        <f>$K80*T80*负载统计!$K$11/60</f>
        <v>0</v>
      </c>
    </row>
    <row r="81" spans="1:38">
      <c r="A81" s="1">
        <v>37</v>
      </c>
      <c r="B81" s="24" t="s">
        <v>1360</v>
      </c>
      <c r="C81" s="24" t="s">
        <v>1329</v>
      </c>
      <c r="D81" s="24" t="s">
        <v>1359</v>
      </c>
      <c r="E81" s="24" t="s">
        <v>338</v>
      </c>
      <c r="F81" s="24" t="s">
        <v>341</v>
      </c>
      <c r="G81" s="25">
        <f>VLOOKUP(A81,负载电气特性!A:G,7,FALSE)</f>
        <v>28</v>
      </c>
      <c r="H81" s="26" t="s">
        <v>66</v>
      </c>
      <c r="I81" s="25" t="s">
        <v>1706</v>
      </c>
      <c r="J81" s="24" t="s">
        <v>1707</v>
      </c>
      <c r="K81" s="25">
        <v>0.03</v>
      </c>
      <c r="L81" s="25">
        <v>1</v>
      </c>
      <c r="M81" s="25">
        <v>1</v>
      </c>
      <c r="N81" s="25">
        <v>1</v>
      </c>
      <c r="O81" s="25">
        <v>1</v>
      </c>
      <c r="P81" s="25">
        <v>1</v>
      </c>
      <c r="Q81" s="25">
        <v>1</v>
      </c>
      <c r="R81" s="25">
        <v>1</v>
      </c>
      <c r="S81" s="25">
        <v>1</v>
      </c>
      <c r="T81" s="25">
        <v>1</v>
      </c>
      <c r="U81" s="27">
        <f>_xlfn.LET(_xlpm.maxVal,_xlfn.MAXIFS($K:$K,$A:$A,A81),IF(AND(_xlpm.maxVal=K81,L81&lt;&gt;0),_xlpm.maxVal,""))</f>
        <v>0.03</v>
      </c>
      <c r="V81" s="27">
        <f>_xlfn.LET(_xlpm.maxVal,_xlfn.MAXIFS($K:$K,$A:$A,A81),IF(AND(_xlpm.maxVal=K81,M81&lt;&gt;0),_xlpm.maxVal,""))</f>
        <v>0.03</v>
      </c>
      <c r="W81" s="27">
        <f>_xlfn.LET(_xlpm.maxVal,_xlfn.MAXIFS($K:$K,$A:$A,A81),IF(AND(_xlpm.maxVal=K81,N81&lt;&gt;0),_xlpm.maxVal,""))</f>
        <v>0.03</v>
      </c>
      <c r="X81" s="27">
        <f>_xlfn.LET(_xlpm.maxVal,_xlfn.MAXIFS($K:$K,$A:$A,A81),IF(AND(_xlpm.maxVal=K81,O81&lt;&gt;0),_xlpm.maxVal,""))</f>
        <v>0.03</v>
      </c>
      <c r="Y81" s="27">
        <f>_xlfn.LET(_xlpm.maxVal,_xlfn.MAXIFS($K:$K,$A:$A,A81),IF(AND(_xlpm.maxVal=K81,P81&lt;&gt;0),_xlpm.maxVal,""))</f>
        <v>0.03</v>
      </c>
      <c r="Z81" s="27">
        <f>_xlfn.LET(_xlpm.maxVal,_xlfn.MAXIFS($K:$K,$A:$A,A81),IF(AND(_xlpm.maxVal=K81,Q81&lt;&gt;0),_xlpm.maxVal,""))</f>
        <v>0.03</v>
      </c>
      <c r="AA81" s="27">
        <f>_xlfn.LET(_xlpm.maxVal,_xlfn.MAXIFS($K:$K,$A:$A,A81),IF(AND(_xlpm.maxVal=K81,R81&lt;&gt;0),_xlpm.maxVal,""))</f>
        <v>0.03</v>
      </c>
      <c r="AB81" s="27">
        <f>_xlfn.LET(_xlpm.maxVal,_xlfn.MAXIFS($K:$K,$A:$A,A81),IF(AND(_xlpm.maxVal=K81,S81&lt;&gt;0),_xlpm.maxVal,""))</f>
        <v>0.03</v>
      </c>
      <c r="AC81" s="27">
        <f>_xlfn.LET(_xlpm.maxVal,_xlfn.MAXIFS($K:$K,$A:$A,A81),IF(AND(_xlpm.maxVal=K81,T81&lt;&gt;0),_xlpm.maxVal,""))</f>
        <v>0.03</v>
      </c>
      <c r="AD81" s="27">
        <f>$K81*L81*负载统计!$K$3/60</f>
        <v>0</v>
      </c>
      <c r="AE81" s="27">
        <f>$K81*L81*负载统计!$K$4/60</f>
        <v>0</v>
      </c>
      <c r="AF81" s="27">
        <f>$K81*N81*负载统计!$K$5/60</f>
        <v>0.0005</v>
      </c>
      <c r="AG81" s="27">
        <f>$K81*O81*负载统计!$K$6/60</f>
        <v>0.0015</v>
      </c>
      <c r="AH81" s="27">
        <f>$K81*P81*负载统计!$K$7/60</f>
        <v>0.003385</v>
      </c>
      <c r="AI81" s="27">
        <f>$K81*Q81*负载统计!$K$8/60</f>
        <v>0.0218</v>
      </c>
      <c r="AJ81" s="27">
        <f>$K81*R81*负载统计!$K$9/60</f>
        <v>0.006925</v>
      </c>
      <c r="AK81" s="27">
        <f>$K81*S81*负载统计!$K$10/60</f>
        <v>0.00025</v>
      </c>
      <c r="AL81" s="27">
        <f>$K81*T81*负载统计!$K$11/60</f>
        <v>0.002</v>
      </c>
    </row>
    <row r="82" spans="1:38">
      <c r="A82" s="1">
        <v>37</v>
      </c>
      <c r="B82" s="24" t="s">
        <v>1360</v>
      </c>
      <c r="C82" s="24" t="s">
        <v>1329</v>
      </c>
      <c r="D82" s="24" t="s">
        <v>1359</v>
      </c>
      <c r="E82" s="24" t="s">
        <v>338</v>
      </c>
      <c r="F82" s="24" t="s">
        <v>341</v>
      </c>
      <c r="G82" s="25">
        <f>VLOOKUP(A82,负载电气特性!A:G,7,FALSE)</f>
        <v>28</v>
      </c>
      <c r="H82" s="26" t="s">
        <v>66</v>
      </c>
      <c r="I82" s="25" t="s">
        <v>1706</v>
      </c>
      <c r="J82" s="24" t="s">
        <v>1708</v>
      </c>
      <c r="K82" s="25">
        <v>0</v>
      </c>
      <c r="L82" s="25">
        <v>0</v>
      </c>
      <c r="M82" s="25">
        <v>0</v>
      </c>
      <c r="N82" s="25">
        <v>0</v>
      </c>
      <c r="O82" s="25">
        <v>0</v>
      </c>
      <c r="P82" s="25">
        <v>0</v>
      </c>
      <c r="Q82" s="25">
        <v>0</v>
      </c>
      <c r="R82" s="25">
        <v>0</v>
      </c>
      <c r="S82" s="25">
        <v>0</v>
      </c>
      <c r="T82" s="25">
        <v>0</v>
      </c>
      <c r="U82" s="27" t="str">
        <f>_xlfn.LET(_xlpm.maxVal,_xlfn.MAXIFS($K:$K,$A:$A,A82),IF(AND(_xlpm.maxVal=K82,L82&lt;&gt;0),_xlpm.maxVal,""))</f>
        <v/>
      </c>
      <c r="V82" s="27" t="str">
        <f>_xlfn.LET(_xlpm.maxVal,_xlfn.MAXIFS($K:$K,$A:$A,A82),IF(AND(_xlpm.maxVal=K82,M82&lt;&gt;0),_xlpm.maxVal,""))</f>
        <v/>
      </c>
      <c r="W82" s="27" t="str">
        <f>_xlfn.LET(_xlpm.maxVal,_xlfn.MAXIFS($K:$K,$A:$A,A82),IF(AND(_xlpm.maxVal=K82,N82&lt;&gt;0),_xlpm.maxVal,""))</f>
        <v/>
      </c>
      <c r="X82" s="27" t="str">
        <f>_xlfn.LET(_xlpm.maxVal,_xlfn.MAXIFS($K:$K,$A:$A,A82),IF(AND(_xlpm.maxVal=K82,O82&lt;&gt;0),_xlpm.maxVal,""))</f>
        <v/>
      </c>
      <c r="Y82" s="27" t="str">
        <f>_xlfn.LET(_xlpm.maxVal,_xlfn.MAXIFS($K:$K,$A:$A,A82),IF(AND(_xlpm.maxVal=K82,P82&lt;&gt;0),_xlpm.maxVal,""))</f>
        <v/>
      </c>
      <c r="Z82" s="27" t="str">
        <f>_xlfn.LET(_xlpm.maxVal,_xlfn.MAXIFS($K:$K,$A:$A,A82),IF(AND(_xlpm.maxVal=K82,Q82&lt;&gt;0),_xlpm.maxVal,""))</f>
        <v/>
      </c>
      <c r="AA82" s="27" t="str">
        <f>_xlfn.LET(_xlpm.maxVal,_xlfn.MAXIFS($K:$K,$A:$A,A82),IF(AND(_xlpm.maxVal=K82,R82&lt;&gt;0),_xlpm.maxVal,""))</f>
        <v/>
      </c>
      <c r="AB82" s="27" t="str">
        <f>_xlfn.LET(_xlpm.maxVal,_xlfn.MAXIFS($K:$K,$A:$A,A82),IF(AND(_xlpm.maxVal=K82,S82&lt;&gt;0),_xlpm.maxVal,""))</f>
        <v/>
      </c>
      <c r="AC82" s="27" t="str">
        <f>_xlfn.LET(_xlpm.maxVal,_xlfn.MAXIFS($K:$K,$A:$A,A82),IF(AND(_xlpm.maxVal=K82,T82&lt;&gt;0),_xlpm.maxVal,""))</f>
        <v/>
      </c>
      <c r="AD82" s="27">
        <f>$K82*L82*负载统计!$K$3/60</f>
        <v>0</v>
      </c>
      <c r="AE82" s="27">
        <f>$K82*L82*负载统计!$K$4/60</f>
        <v>0</v>
      </c>
      <c r="AF82" s="27">
        <f>$K82*N82*负载统计!$K$5/60</f>
        <v>0</v>
      </c>
      <c r="AG82" s="27">
        <f>$K82*O82*负载统计!$K$6/60</f>
        <v>0</v>
      </c>
      <c r="AH82" s="27">
        <f>$K82*P82*负载统计!$K$7/60</f>
        <v>0</v>
      </c>
      <c r="AI82" s="27">
        <f>$K82*Q82*负载统计!$K$8/60</f>
        <v>0</v>
      </c>
      <c r="AJ82" s="27">
        <f>$K82*R82*负载统计!$K$9/60</f>
        <v>0</v>
      </c>
      <c r="AK82" s="27">
        <f>$K82*S82*负载统计!$K$10/60</f>
        <v>0</v>
      </c>
      <c r="AL82" s="27">
        <f>$K82*T82*负载统计!$K$11/60</f>
        <v>0</v>
      </c>
    </row>
    <row r="83" spans="1:38">
      <c r="A83" s="1">
        <v>38</v>
      </c>
      <c r="B83" s="24" t="s">
        <v>1361</v>
      </c>
      <c r="C83" s="24" t="s">
        <v>1329</v>
      </c>
      <c r="D83" s="24" t="s">
        <v>1362</v>
      </c>
      <c r="E83" s="24" t="s">
        <v>343</v>
      </c>
      <c r="F83" s="24" t="s">
        <v>344</v>
      </c>
      <c r="G83" s="25">
        <f>VLOOKUP(A83,负载电气特性!A:G,7,FALSE)</f>
        <v>28</v>
      </c>
      <c r="H83" s="26" t="s">
        <v>66</v>
      </c>
      <c r="I83" s="24" t="s">
        <v>1709</v>
      </c>
      <c r="J83" s="24" t="s">
        <v>1707</v>
      </c>
      <c r="K83" s="25">
        <v>0.5</v>
      </c>
      <c r="L83" s="25">
        <v>0</v>
      </c>
      <c r="M83" s="25">
        <v>0</v>
      </c>
      <c r="N83" s="25">
        <v>0</v>
      </c>
      <c r="O83" s="25">
        <v>0</v>
      </c>
      <c r="P83" s="25">
        <v>0.07</v>
      </c>
      <c r="Q83" s="25">
        <v>0</v>
      </c>
      <c r="R83" s="25">
        <v>0</v>
      </c>
      <c r="S83" s="25">
        <v>0.07</v>
      </c>
      <c r="T83" s="25">
        <v>0</v>
      </c>
      <c r="U83" s="27" t="str">
        <f>_xlfn.LET(_xlpm.maxVal,_xlfn.MAXIFS($K:$K,$A:$A,A83),IF(AND(_xlpm.maxVal=K83,L83&lt;&gt;0),_xlpm.maxVal,""))</f>
        <v/>
      </c>
      <c r="V83" s="27" t="str">
        <f>_xlfn.LET(_xlpm.maxVal,_xlfn.MAXIFS($K:$K,$A:$A,A83),IF(AND(_xlpm.maxVal=K83,M83&lt;&gt;0),_xlpm.maxVal,""))</f>
        <v/>
      </c>
      <c r="W83" s="27" t="str">
        <f>_xlfn.LET(_xlpm.maxVal,_xlfn.MAXIFS($K:$K,$A:$A,A83),IF(AND(_xlpm.maxVal=K83,N83&lt;&gt;0),_xlpm.maxVal,""))</f>
        <v/>
      </c>
      <c r="X83" s="27" t="str">
        <f>_xlfn.LET(_xlpm.maxVal,_xlfn.MAXIFS($K:$K,$A:$A,A83),IF(AND(_xlpm.maxVal=K83,O83&lt;&gt;0),_xlpm.maxVal,""))</f>
        <v/>
      </c>
      <c r="Y83" s="27">
        <f>_xlfn.LET(_xlpm.maxVal,_xlfn.MAXIFS($K:$K,$A:$A,A83),IF(AND(_xlpm.maxVal=K83,P83&lt;&gt;0),_xlpm.maxVal,""))</f>
        <v>0.5</v>
      </c>
      <c r="Z83" s="27" t="str">
        <f>_xlfn.LET(_xlpm.maxVal,_xlfn.MAXIFS($K:$K,$A:$A,A83),IF(AND(_xlpm.maxVal=K83,Q83&lt;&gt;0),_xlpm.maxVal,""))</f>
        <v/>
      </c>
      <c r="AA83" s="27" t="str">
        <f>_xlfn.LET(_xlpm.maxVal,_xlfn.MAXIFS($K:$K,$A:$A,A83),IF(AND(_xlpm.maxVal=K83,R83&lt;&gt;0),_xlpm.maxVal,""))</f>
        <v/>
      </c>
      <c r="AB83" s="27">
        <f>_xlfn.LET(_xlpm.maxVal,_xlfn.MAXIFS($K:$K,$A:$A,A83),IF(AND(_xlpm.maxVal=K83,S83&lt;&gt;0),_xlpm.maxVal,""))</f>
        <v>0.5</v>
      </c>
      <c r="AC83" s="27" t="str">
        <f>_xlfn.LET(_xlpm.maxVal,_xlfn.MAXIFS($K:$K,$A:$A,A83),IF(AND(_xlpm.maxVal=K83,T83&lt;&gt;0),_xlpm.maxVal,""))</f>
        <v/>
      </c>
      <c r="AD83" s="27">
        <f>$K83*L83*负载统计!$K$3/60</f>
        <v>0</v>
      </c>
      <c r="AE83" s="27">
        <f>$K83*L83*负载统计!$K$4/60</f>
        <v>0</v>
      </c>
      <c r="AF83" s="27">
        <f>$K83*N83*负载统计!$K$5/60</f>
        <v>0</v>
      </c>
      <c r="AG83" s="27">
        <f>$K83*O83*负载统计!$K$6/60</f>
        <v>0</v>
      </c>
      <c r="AH83" s="27">
        <f>$K83*P83*负载统计!$K$7/60</f>
        <v>0.00394916666666667</v>
      </c>
      <c r="AI83" s="27">
        <f>$K83*Q83*负载统计!$K$8/60</f>
        <v>0</v>
      </c>
      <c r="AJ83" s="27">
        <f>$K83*R83*负载统计!$K$9/60</f>
        <v>0</v>
      </c>
      <c r="AK83" s="27">
        <f>$K83*S83*负载统计!$K$10/60</f>
        <v>0.000291666666666667</v>
      </c>
      <c r="AL83" s="27">
        <f>$K83*T83*负载统计!$K$11/60</f>
        <v>0</v>
      </c>
    </row>
    <row r="84" spans="1:38">
      <c r="A84" s="1">
        <v>38</v>
      </c>
      <c r="B84" s="24" t="s">
        <v>1361</v>
      </c>
      <c r="C84" s="24" t="s">
        <v>1329</v>
      </c>
      <c r="D84" s="24" t="s">
        <v>1362</v>
      </c>
      <c r="E84" s="24" t="s">
        <v>343</v>
      </c>
      <c r="F84" s="24" t="s">
        <v>344</v>
      </c>
      <c r="G84" s="25">
        <f>VLOOKUP(A84,负载电气特性!A:G,7,FALSE)</f>
        <v>28</v>
      </c>
      <c r="H84" s="26" t="s">
        <v>66</v>
      </c>
      <c r="I84" s="24" t="s">
        <v>1709</v>
      </c>
      <c r="J84" s="24" t="s">
        <v>1708</v>
      </c>
      <c r="K84" s="25">
        <v>0</v>
      </c>
      <c r="L84" s="25">
        <v>1</v>
      </c>
      <c r="M84" s="25">
        <v>1</v>
      </c>
      <c r="N84" s="25">
        <v>1</v>
      </c>
      <c r="O84" s="25">
        <v>1</v>
      </c>
      <c r="P84" s="25">
        <v>0.93</v>
      </c>
      <c r="Q84" s="25">
        <v>1</v>
      </c>
      <c r="R84" s="25">
        <v>1</v>
      </c>
      <c r="S84" s="25">
        <v>0.93</v>
      </c>
      <c r="T84" s="25">
        <v>1</v>
      </c>
      <c r="U84" s="27" t="str">
        <f>_xlfn.LET(_xlpm.maxVal,_xlfn.MAXIFS($K:$K,$A:$A,A84),IF(AND(_xlpm.maxVal=K84,L84&lt;&gt;0),_xlpm.maxVal,""))</f>
        <v/>
      </c>
      <c r="V84" s="27" t="str">
        <f>_xlfn.LET(_xlpm.maxVal,_xlfn.MAXIFS($K:$K,$A:$A,A84),IF(AND(_xlpm.maxVal=K84,M84&lt;&gt;0),_xlpm.maxVal,""))</f>
        <v/>
      </c>
      <c r="W84" s="27" t="str">
        <f>_xlfn.LET(_xlpm.maxVal,_xlfn.MAXIFS($K:$K,$A:$A,A84),IF(AND(_xlpm.maxVal=K84,N84&lt;&gt;0),_xlpm.maxVal,""))</f>
        <v/>
      </c>
      <c r="X84" s="27" t="str">
        <f>_xlfn.LET(_xlpm.maxVal,_xlfn.MAXIFS($K:$K,$A:$A,A84),IF(AND(_xlpm.maxVal=K84,O84&lt;&gt;0),_xlpm.maxVal,""))</f>
        <v/>
      </c>
      <c r="Y84" s="27" t="str">
        <f>_xlfn.LET(_xlpm.maxVal,_xlfn.MAXIFS($K:$K,$A:$A,A84),IF(AND(_xlpm.maxVal=K84,P84&lt;&gt;0),_xlpm.maxVal,""))</f>
        <v/>
      </c>
      <c r="Z84" s="27" t="str">
        <f>_xlfn.LET(_xlpm.maxVal,_xlfn.MAXIFS($K:$K,$A:$A,A84),IF(AND(_xlpm.maxVal=K84,Q84&lt;&gt;0),_xlpm.maxVal,""))</f>
        <v/>
      </c>
      <c r="AA84" s="27" t="str">
        <f>_xlfn.LET(_xlpm.maxVal,_xlfn.MAXIFS($K:$K,$A:$A,A84),IF(AND(_xlpm.maxVal=K84,R84&lt;&gt;0),_xlpm.maxVal,""))</f>
        <v/>
      </c>
      <c r="AB84" s="27" t="str">
        <f>_xlfn.LET(_xlpm.maxVal,_xlfn.MAXIFS($K:$K,$A:$A,A84),IF(AND(_xlpm.maxVal=K84,S84&lt;&gt;0),_xlpm.maxVal,""))</f>
        <v/>
      </c>
      <c r="AC84" s="27" t="str">
        <f>_xlfn.LET(_xlpm.maxVal,_xlfn.MAXIFS($K:$K,$A:$A,A84),IF(AND(_xlpm.maxVal=K84,T84&lt;&gt;0),_xlpm.maxVal,""))</f>
        <v/>
      </c>
      <c r="AD84" s="27">
        <f>$K84*L84*负载统计!$K$3/60</f>
        <v>0</v>
      </c>
      <c r="AE84" s="27">
        <f>$K84*L84*负载统计!$K$4/60</f>
        <v>0</v>
      </c>
      <c r="AF84" s="27">
        <f>$K84*N84*负载统计!$K$5/60</f>
        <v>0</v>
      </c>
      <c r="AG84" s="27">
        <f>$K84*O84*负载统计!$K$6/60</f>
        <v>0</v>
      </c>
      <c r="AH84" s="27">
        <f>$K84*P84*负载统计!$K$7/60</f>
        <v>0</v>
      </c>
      <c r="AI84" s="27">
        <f>$K84*Q84*负载统计!$K$8/60</f>
        <v>0</v>
      </c>
      <c r="AJ84" s="27">
        <f>$K84*R84*负载统计!$K$9/60</f>
        <v>0</v>
      </c>
      <c r="AK84" s="27">
        <f>$K84*S84*负载统计!$K$10/60</f>
        <v>0</v>
      </c>
      <c r="AL84" s="27">
        <f>$K84*T84*负载统计!$K$11/60</f>
        <v>0</v>
      </c>
    </row>
    <row r="85" spans="1:38">
      <c r="A85" s="1">
        <v>39</v>
      </c>
      <c r="B85" s="24" t="s">
        <v>1363</v>
      </c>
      <c r="C85" s="24" t="s">
        <v>1329</v>
      </c>
      <c r="D85" s="24" t="s">
        <v>1362</v>
      </c>
      <c r="E85" s="24" t="s">
        <v>343</v>
      </c>
      <c r="F85" s="24" t="s">
        <v>344</v>
      </c>
      <c r="G85" s="25">
        <f>VLOOKUP(A85,负载电气特性!A:G,7,FALSE)</f>
        <v>28</v>
      </c>
      <c r="H85" s="26" t="s">
        <v>66</v>
      </c>
      <c r="I85" s="25" t="s">
        <v>1706</v>
      </c>
      <c r="J85" s="24" t="s">
        <v>1707</v>
      </c>
      <c r="K85" s="25">
        <v>0.112</v>
      </c>
      <c r="L85" s="25">
        <v>1</v>
      </c>
      <c r="M85" s="25">
        <v>1</v>
      </c>
      <c r="N85" s="25">
        <v>1</v>
      </c>
      <c r="O85" s="25">
        <v>1</v>
      </c>
      <c r="P85" s="25">
        <v>1</v>
      </c>
      <c r="Q85" s="25">
        <v>1</v>
      </c>
      <c r="R85" s="25">
        <v>1</v>
      </c>
      <c r="S85" s="25">
        <v>1</v>
      </c>
      <c r="T85" s="25">
        <v>1</v>
      </c>
      <c r="U85" s="27">
        <f>_xlfn.LET(_xlpm.maxVal,_xlfn.MAXIFS($K:$K,$A:$A,A85),IF(AND(_xlpm.maxVal=K85,L85&lt;&gt;0),_xlpm.maxVal,""))</f>
        <v>0.112</v>
      </c>
      <c r="V85" s="27">
        <f>_xlfn.LET(_xlpm.maxVal,_xlfn.MAXIFS($K:$K,$A:$A,A85),IF(AND(_xlpm.maxVal=K85,M85&lt;&gt;0),_xlpm.maxVal,""))</f>
        <v>0.112</v>
      </c>
      <c r="W85" s="27">
        <f>_xlfn.LET(_xlpm.maxVal,_xlfn.MAXIFS($K:$K,$A:$A,A85),IF(AND(_xlpm.maxVal=K85,N85&lt;&gt;0),_xlpm.maxVal,""))</f>
        <v>0.112</v>
      </c>
      <c r="X85" s="27">
        <f>_xlfn.LET(_xlpm.maxVal,_xlfn.MAXIFS($K:$K,$A:$A,A85),IF(AND(_xlpm.maxVal=K85,O85&lt;&gt;0),_xlpm.maxVal,""))</f>
        <v>0.112</v>
      </c>
      <c r="Y85" s="27">
        <f>_xlfn.LET(_xlpm.maxVal,_xlfn.MAXIFS($K:$K,$A:$A,A85),IF(AND(_xlpm.maxVal=K85,P85&lt;&gt;0),_xlpm.maxVal,""))</f>
        <v>0.112</v>
      </c>
      <c r="Z85" s="27">
        <f>_xlfn.LET(_xlpm.maxVal,_xlfn.MAXIFS($K:$K,$A:$A,A85),IF(AND(_xlpm.maxVal=K85,Q85&lt;&gt;0),_xlpm.maxVal,""))</f>
        <v>0.112</v>
      </c>
      <c r="AA85" s="27">
        <f>_xlfn.LET(_xlpm.maxVal,_xlfn.MAXIFS($K:$K,$A:$A,A85),IF(AND(_xlpm.maxVal=K85,R85&lt;&gt;0),_xlpm.maxVal,""))</f>
        <v>0.112</v>
      </c>
      <c r="AB85" s="27">
        <f>_xlfn.LET(_xlpm.maxVal,_xlfn.MAXIFS($K:$K,$A:$A,A85),IF(AND(_xlpm.maxVal=K85,S85&lt;&gt;0),_xlpm.maxVal,""))</f>
        <v>0.112</v>
      </c>
      <c r="AC85" s="27">
        <f>_xlfn.LET(_xlpm.maxVal,_xlfn.MAXIFS($K:$K,$A:$A,A85),IF(AND(_xlpm.maxVal=K85,T85&lt;&gt;0),_xlpm.maxVal,""))</f>
        <v>0.112</v>
      </c>
      <c r="AD85" s="27">
        <f>$K85*L85*负载统计!$K$3/60</f>
        <v>0</v>
      </c>
      <c r="AE85" s="27">
        <f>$K85*L85*负载统计!$K$4/60</f>
        <v>0</v>
      </c>
      <c r="AF85" s="27">
        <f>$K85*N85*负载统计!$K$5/60</f>
        <v>0.00186666666666667</v>
      </c>
      <c r="AG85" s="27">
        <f>$K85*O85*负载统计!$K$6/60</f>
        <v>0.0056</v>
      </c>
      <c r="AH85" s="27">
        <f>$K85*P85*负载统计!$K$7/60</f>
        <v>0.0126373333333333</v>
      </c>
      <c r="AI85" s="27">
        <f>$K85*Q85*负载统计!$K$8/60</f>
        <v>0.0813866666666667</v>
      </c>
      <c r="AJ85" s="27">
        <f>$K85*R85*负载统计!$K$9/60</f>
        <v>0.0258533333333333</v>
      </c>
      <c r="AK85" s="27">
        <f>$K85*S85*负载统计!$K$10/60</f>
        <v>0.000933333333333333</v>
      </c>
      <c r="AL85" s="27">
        <f>$K85*T85*负载统计!$K$11/60</f>
        <v>0.00746666666666667</v>
      </c>
    </row>
    <row r="86" spans="1:38">
      <c r="A86" s="1">
        <v>39</v>
      </c>
      <c r="B86" s="24" t="s">
        <v>1363</v>
      </c>
      <c r="C86" s="24" t="s">
        <v>1329</v>
      </c>
      <c r="D86" s="24" t="s">
        <v>1362</v>
      </c>
      <c r="E86" s="24" t="s">
        <v>343</v>
      </c>
      <c r="F86" s="24" t="s">
        <v>344</v>
      </c>
      <c r="G86" s="25">
        <f>VLOOKUP(A86,负载电气特性!A:G,7,FALSE)</f>
        <v>28</v>
      </c>
      <c r="H86" s="26" t="s">
        <v>66</v>
      </c>
      <c r="I86" s="25" t="s">
        <v>1706</v>
      </c>
      <c r="J86" s="24" t="s">
        <v>1708</v>
      </c>
      <c r="K86" s="25">
        <v>0</v>
      </c>
      <c r="L86" s="25">
        <v>0</v>
      </c>
      <c r="M86" s="25">
        <v>0</v>
      </c>
      <c r="N86" s="25">
        <v>0</v>
      </c>
      <c r="O86" s="25">
        <v>0</v>
      </c>
      <c r="P86" s="25">
        <v>0</v>
      </c>
      <c r="Q86" s="25">
        <v>0</v>
      </c>
      <c r="R86" s="25">
        <v>0</v>
      </c>
      <c r="S86" s="25">
        <v>0</v>
      </c>
      <c r="T86" s="25">
        <v>0</v>
      </c>
      <c r="U86" s="27" t="str">
        <f>_xlfn.LET(_xlpm.maxVal,_xlfn.MAXIFS($K:$K,$A:$A,A86),IF(AND(_xlpm.maxVal=K86,L86&lt;&gt;0),_xlpm.maxVal,""))</f>
        <v/>
      </c>
      <c r="V86" s="27" t="str">
        <f>_xlfn.LET(_xlpm.maxVal,_xlfn.MAXIFS($K:$K,$A:$A,A86),IF(AND(_xlpm.maxVal=K86,M86&lt;&gt;0),_xlpm.maxVal,""))</f>
        <v/>
      </c>
      <c r="W86" s="27" t="str">
        <f>_xlfn.LET(_xlpm.maxVal,_xlfn.MAXIFS($K:$K,$A:$A,A86),IF(AND(_xlpm.maxVal=K86,N86&lt;&gt;0),_xlpm.maxVal,""))</f>
        <v/>
      </c>
      <c r="X86" s="27" t="str">
        <f>_xlfn.LET(_xlpm.maxVal,_xlfn.MAXIFS($K:$K,$A:$A,A86),IF(AND(_xlpm.maxVal=K86,O86&lt;&gt;0),_xlpm.maxVal,""))</f>
        <v/>
      </c>
      <c r="Y86" s="27" t="str">
        <f>_xlfn.LET(_xlpm.maxVal,_xlfn.MAXIFS($K:$K,$A:$A,A86),IF(AND(_xlpm.maxVal=K86,P86&lt;&gt;0),_xlpm.maxVal,""))</f>
        <v/>
      </c>
      <c r="Z86" s="27" t="str">
        <f>_xlfn.LET(_xlpm.maxVal,_xlfn.MAXIFS($K:$K,$A:$A,A86),IF(AND(_xlpm.maxVal=K86,Q86&lt;&gt;0),_xlpm.maxVal,""))</f>
        <v/>
      </c>
      <c r="AA86" s="27" t="str">
        <f>_xlfn.LET(_xlpm.maxVal,_xlfn.MAXIFS($K:$K,$A:$A,A86),IF(AND(_xlpm.maxVal=K86,R86&lt;&gt;0),_xlpm.maxVal,""))</f>
        <v/>
      </c>
      <c r="AB86" s="27" t="str">
        <f>_xlfn.LET(_xlpm.maxVal,_xlfn.MAXIFS($K:$K,$A:$A,A86),IF(AND(_xlpm.maxVal=K86,S86&lt;&gt;0),_xlpm.maxVal,""))</f>
        <v/>
      </c>
      <c r="AC86" s="27" t="str">
        <f>_xlfn.LET(_xlpm.maxVal,_xlfn.MAXIFS($K:$K,$A:$A,A86),IF(AND(_xlpm.maxVal=K86,T86&lt;&gt;0),_xlpm.maxVal,""))</f>
        <v/>
      </c>
      <c r="AD86" s="27">
        <f>$K86*L86*负载统计!$K$3/60</f>
        <v>0</v>
      </c>
      <c r="AE86" s="27">
        <f>$K86*L86*负载统计!$K$4/60</f>
        <v>0</v>
      </c>
      <c r="AF86" s="27">
        <f>$K86*N86*负载统计!$K$5/60</f>
        <v>0</v>
      </c>
      <c r="AG86" s="27">
        <f>$K86*O86*负载统计!$K$6/60</f>
        <v>0</v>
      </c>
      <c r="AH86" s="27">
        <f>$K86*P86*负载统计!$K$7/60</f>
        <v>0</v>
      </c>
      <c r="AI86" s="27">
        <f>$K86*Q86*负载统计!$K$8/60</f>
        <v>0</v>
      </c>
      <c r="AJ86" s="27">
        <f>$K86*R86*负载统计!$K$9/60</f>
        <v>0</v>
      </c>
      <c r="AK86" s="27">
        <f>$K86*S86*负载统计!$K$10/60</f>
        <v>0</v>
      </c>
      <c r="AL86" s="27">
        <f>$K86*T86*负载统计!$K$11/60</f>
        <v>0</v>
      </c>
    </row>
    <row r="87" spans="1:38">
      <c r="A87" s="1">
        <v>40</v>
      </c>
      <c r="B87" s="24" t="s">
        <v>1364</v>
      </c>
      <c r="C87" s="24" t="s">
        <v>1329</v>
      </c>
      <c r="D87" s="24" t="s">
        <v>1365</v>
      </c>
      <c r="E87" s="24" t="s">
        <v>343</v>
      </c>
      <c r="F87" s="24" t="s">
        <v>347</v>
      </c>
      <c r="G87" s="25">
        <f>VLOOKUP(A87,负载电气特性!A:G,7,FALSE)</f>
        <v>28</v>
      </c>
      <c r="H87" s="26" t="s">
        <v>66</v>
      </c>
      <c r="I87" s="24" t="s">
        <v>1709</v>
      </c>
      <c r="J87" s="24" t="s">
        <v>1707</v>
      </c>
      <c r="K87" s="25">
        <v>0.5</v>
      </c>
      <c r="L87" s="25">
        <v>0</v>
      </c>
      <c r="M87" s="25">
        <v>0</v>
      </c>
      <c r="N87" s="25">
        <v>0</v>
      </c>
      <c r="O87" s="25">
        <v>0</v>
      </c>
      <c r="P87" s="25">
        <v>0.07</v>
      </c>
      <c r="Q87" s="25">
        <v>0</v>
      </c>
      <c r="R87" s="25">
        <v>0</v>
      </c>
      <c r="S87" s="25">
        <v>0.07</v>
      </c>
      <c r="T87" s="25">
        <v>0</v>
      </c>
      <c r="U87" s="27" t="str">
        <f>_xlfn.LET(_xlpm.maxVal,_xlfn.MAXIFS($K:$K,$A:$A,A87),IF(AND(_xlpm.maxVal=K87,L87&lt;&gt;0),_xlpm.maxVal,""))</f>
        <v/>
      </c>
      <c r="V87" s="27" t="str">
        <f>_xlfn.LET(_xlpm.maxVal,_xlfn.MAXIFS($K:$K,$A:$A,A87),IF(AND(_xlpm.maxVal=K87,M87&lt;&gt;0),_xlpm.maxVal,""))</f>
        <v/>
      </c>
      <c r="W87" s="27" t="str">
        <f>_xlfn.LET(_xlpm.maxVal,_xlfn.MAXIFS($K:$K,$A:$A,A87),IF(AND(_xlpm.maxVal=K87,N87&lt;&gt;0),_xlpm.maxVal,""))</f>
        <v/>
      </c>
      <c r="X87" s="27" t="str">
        <f>_xlfn.LET(_xlpm.maxVal,_xlfn.MAXIFS($K:$K,$A:$A,A87),IF(AND(_xlpm.maxVal=K87,O87&lt;&gt;0),_xlpm.maxVal,""))</f>
        <v/>
      </c>
      <c r="Y87" s="27">
        <f>_xlfn.LET(_xlpm.maxVal,_xlfn.MAXIFS($K:$K,$A:$A,A87),IF(AND(_xlpm.maxVal=K87,P87&lt;&gt;0),_xlpm.maxVal,""))</f>
        <v>0.5</v>
      </c>
      <c r="Z87" s="27" t="str">
        <f>_xlfn.LET(_xlpm.maxVal,_xlfn.MAXIFS($K:$K,$A:$A,A87),IF(AND(_xlpm.maxVal=K87,Q87&lt;&gt;0),_xlpm.maxVal,""))</f>
        <v/>
      </c>
      <c r="AA87" s="27" t="str">
        <f>_xlfn.LET(_xlpm.maxVal,_xlfn.MAXIFS($K:$K,$A:$A,A87),IF(AND(_xlpm.maxVal=K87,R87&lt;&gt;0),_xlpm.maxVal,""))</f>
        <v/>
      </c>
      <c r="AB87" s="27">
        <f>_xlfn.LET(_xlpm.maxVal,_xlfn.MAXIFS($K:$K,$A:$A,A87),IF(AND(_xlpm.maxVal=K87,S87&lt;&gt;0),_xlpm.maxVal,""))</f>
        <v>0.5</v>
      </c>
      <c r="AC87" s="27" t="str">
        <f>_xlfn.LET(_xlpm.maxVal,_xlfn.MAXIFS($K:$K,$A:$A,A87),IF(AND(_xlpm.maxVal=K87,T87&lt;&gt;0),_xlpm.maxVal,""))</f>
        <v/>
      </c>
      <c r="AD87" s="27">
        <f>$K87*L87*负载统计!$K$3/60</f>
        <v>0</v>
      </c>
      <c r="AE87" s="27">
        <f>$K87*L87*负载统计!$K$4/60</f>
        <v>0</v>
      </c>
      <c r="AF87" s="27">
        <f>$K87*N87*负载统计!$K$5/60</f>
        <v>0</v>
      </c>
      <c r="AG87" s="27">
        <f>$K87*O87*负载统计!$K$6/60</f>
        <v>0</v>
      </c>
      <c r="AH87" s="27">
        <f>$K87*P87*负载统计!$K$7/60</f>
        <v>0.00394916666666667</v>
      </c>
      <c r="AI87" s="27">
        <f>$K87*Q87*负载统计!$K$8/60</f>
        <v>0</v>
      </c>
      <c r="AJ87" s="27">
        <f>$K87*R87*负载统计!$K$9/60</f>
        <v>0</v>
      </c>
      <c r="AK87" s="27">
        <f>$K87*S87*负载统计!$K$10/60</f>
        <v>0.000291666666666667</v>
      </c>
      <c r="AL87" s="27">
        <f>$K87*T87*负载统计!$K$11/60</f>
        <v>0</v>
      </c>
    </row>
    <row r="88" spans="1:38">
      <c r="A88" s="1">
        <v>40</v>
      </c>
      <c r="B88" s="24" t="s">
        <v>1364</v>
      </c>
      <c r="C88" s="24" t="s">
        <v>1329</v>
      </c>
      <c r="D88" s="24" t="s">
        <v>1365</v>
      </c>
      <c r="E88" s="24" t="s">
        <v>343</v>
      </c>
      <c r="F88" s="24" t="s">
        <v>347</v>
      </c>
      <c r="G88" s="25">
        <f>VLOOKUP(A88,负载电气特性!A:G,7,FALSE)</f>
        <v>28</v>
      </c>
      <c r="H88" s="26" t="s">
        <v>66</v>
      </c>
      <c r="I88" s="24" t="s">
        <v>1709</v>
      </c>
      <c r="J88" s="24" t="s">
        <v>1708</v>
      </c>
      <c r="K88" s="25">
        <v>0</v>
      </c>
      <c r="L88" s="25">
        <v>1</v>
      </c>
      <c r="M88" s="25">
        <v>1</v>
      </c>
      <c r="N88" s="25">
        <v>1</v>
      </c>
      <c r="O88" s="25">
        <v>1</v>
      </c>
      <c r="P88" s="25">
        <v>0.93</v>
      </c>
      <c r="Q88" s="25">
        <v>1</v>
      </c>
      <c r="R88" s="25">
        <v>1</v>
      </c>
      <c r="S88" s="25">
        <v>0.93</v>
      </c>
      <c r="T88" s="25">
        <v>1</v>
      </c>
      <c r="U88" s="27" t="str">
        <f>_xlfn.LET(_xlpm.maxVal,_xlfn.MAXIFS($K:$K,$A:$A,A88),IF(AND(_xlpm.maxVal=K88,L88&lt;&gt;0),_xlpm.maxVal,""))</f>
        <v/>
      </c>
      <c r="V88" s="27" t="str">
        <f>_xlfn.LET(_xlpm.maxVal,_xlfn.MAXIFS($K:$K,$A:$A,A88),IF(AND(_xlpm.maxVal=K88,M88&lt;&gt;0),_xlpm.maxVal,""))</f>
        <v/>
      </c>
      <c r="W88" s="27" t="str">
        <f>_xlfn.LET(_xlpm.maxVal,_xlfn.MAXIFS($K:$K,$A:$A,A88),IF(AND(_xlpm.maxVal=K88,N88&lt;&gt;0),_xlpm.maxVal,""))</f>
        <v/>
      </c>
      <c r="X88" s="27" t="str">
        <f>_xlfn.LET(_xlpm.maxVal,_xlfn.MAXIFS($K:$K,$A:$A,A88),IF(AND(_xlpm.maxVal=K88,O88&lt;&gt;0),_xlpm.maxVal,""))</f>
        <v/>
      </c>
      <c r="Y88" s="27" t="str">
        <f>_xlfn.LET(_xlpm.maxVal,_xlfn.MAXIFS($K:$K,$A:$A,A88),IF(AND(_xlpm.maxVal=K88,P88&lt;&gt;0),_xlpm.maxVal,""))</f>
        <v/>
      </c>
      <c r="Z88" s="27" t="str">
        <f>_xlfn.LET(_xlpm.maxVal,_xlfn.MAXIFS($K:$K,$A:$A,A88),IF(AND(_xlpm.maxVal=K88,Q88&lt;&gt;0),_xlpm.maxVal,""))</f>
        <v/>
      </c>
      <c r="AA88" s="27" t="str">
        <f>_xlfn.LET(_xlpm.maxVal,_xlfn.MAXIFS($K:$K,$A:$A,A88),IF(AND(_xlpm.maxVal=K88,R88&lt;&gt;0),_xlpm.maxVal,""))</f>
        <v/>
      </c>
      <c r="AB88" s="27" t="str">
        <f>_xlfn.LET(_xlpm.maxVal,_xlfn.MAXIFS($K:$K,$A:$A,A88),IF(AND(_xlpm.maxVal=K88,S88&lt;&gt;0),_xlpm.maxVal,""))</f>
        <v/>
      </c>
      <c r="AC88" s="27" t="str">
        <f>_xlfn.LET(_xlpm.maxVal,_xlfn.MAXIFS($K:$K,$A:$A,A88),IF(AND(_xlpm.maxVal=K88,T88&lt;&gt;0),_xlpm.maxVal,""))</f>
        <v/>
      </c>
      <c r="AD88" s="27">
        <f>$K88*L88*负载统计!$K$3/60</f>
        <v>0</v>
      </c>
      <c r="AE88" s="27">
        <f>$K88*L88*负载统计!$K$4/60</f>
        <v>0</v>
      </c>
      <c r="AF88" s="27">
        <f>$K88*N88*负载统计!$K$5/60</f>
        <v>0</v>
      </c>
      <c r="AG88" s="27">
        <f>$K88*O88*负载统计!$K$6/60</f>
        <v>0</v>
      </c>
      <c r="AH88" s="27">
        <f>$K88*P88*负载统计!$K$7/60</f>
        <v>0</v>
      </c>
      <c r="AI88" s="27">
        <f>$K88*Q88*负载统计!$K$8/60</f>
        <v>0</v>
      </c>
      <c r="AJ88" s="27">
        <f>$K88*R88*负载统计!$K$9/60</f>
        <v>0</v>
      </c>
      <c r="AK88" s="27">
        <f>$K88*S88*负载统计!$K$10/60</f>
        <v>0</v>
      </c>
      <c r="AL88" s="27">
        <f>$K88*T88*负载统计!$K$11/60</f>
        <v>0</v>
      </c>
    </row>
    <row r="89" spans="1:38">
      <c r="A89" s="1">
        <v>41</v>
      </c>
      <c r="B89" s="24" t="s">
        <v>1366</v>
      </c>
      <c r="C89" s="24" t="s">
        <v>1329</v>
      </c>
      <c r="D89" s="24" t="s">
        <v>1365</v>
      </c>
      <c r="E89" s="24" t="s">
        <v>343</v>
      </c>
      <c r="F89" s="24" t="s">
        <v>347</v>
      </c>
      <c r="G89" s="25">
        <f>VLOOKUP(A89,负载电气特性!A:G,7,FALSE)</f>
        <v>28</v>
      </c>
      <c r="H89" s="26" t="s">
        <v>66</v>
      </c>
      <c r="I89" s="25" t="s">
        <v>1706</v>
      </c>
      <c r="J89" s="24" t="s">
        <v>1707</v>
      </c>
      <c r="K89" s="25">
        <v>0.112</v>
      </c>
      <c r="L89" s="25">
        <v>1</v>
      </c>
      <c r="M89" s="25">
        <v>1</v>
      </c>
      <c r="N89" s="25">
        <v>1</v>
      </c>
      <c r="O89" s="25">
        <v>1</v>
      </c>
      <c r="P89" s="25">
        <v>1</v>
      </c>
      <c r="Q89" s="25">
        <v>1</v>
      </c>
      <c r="R89" s="25">
        <v>1</v>
      </c>
      <c r="S89" s="25">
        <v>1</v>
      </c>
      <c r="T89" s="25">
        <v>1</v>
      </c>
      <c r="U89" s="27">
        <f>_xlfn.LET(_xlpm.maxVal,_xlfn.MAXIFS($K:$K,$A:$A,A89),IF(AND(_xlpm.maxVal=K89,L89&lt;&gt;0),_xlpm.maxVal,""))</f>
        <v>0.112</v>
      </c>
      <c r="V89" s="27">
        <f>_xlfn.LET(_xlpm.maxVal,_xlfn.MAXIFS($K:$K,$A:$A,A89),IF(AND(_xlpm.maxVal=K89,M89&lt;&gt;0),_xlpm.maxVal,""))</f>
        <v>0.112</v>
      </c>
      <c r="W89" s="27">
        <f>_xlfn.LET(_xlpm.maxVal,_xlfn.MAXIFS($K:$K,$A:$A,A89),IF(AND(_xlpm.maxVal=K89,N89&lt;&gt;0),_xlpm.maxVal,""))</f>
        <v>0.112</v>
      </c>
      <c r="X89" s="27">
        <f>_xlfn.LET(_xlpm.maxVal,_xlfn.MAXIFS($K:$K,$A:$A,A89),IF(AND(_xlpm.maxVal=K89,O89&lt;&gt;0),_xlpm.maxVal,""))</f>
        <v>0.112</v>
      </c>
      <c r="Y89" s="27">
        <f>_xlfn.LET(_xlpm.maxVal,_xlfn.MAXIFS($K:$K,$A:$A,A89),IF(AND(_xlpm.maxVal=K89,P89&lt;&gt;0),_xlpm.maxVal,""))</f>
        <v>0.112</v>
      </c>
      <c r="Z89" s="27">
        <f>_xlfn.LET(_xlpm.maxVal,_xlfn.MAXIFS($K:$K,$A:$A,A89),IF(AND(_xlpm.maxVal=K89,Q89&lt;&gt;0),_xlpm.maxVal,""))</f>
        <v>0.112</v>
      </c>
      <c r="AA89" s="27">
        <f>_xlfn.LET(_xlpm.maxVal,_xlfn.MAXIFS($K:$K,$A:$A,A89),IF(AND(_xlpm.maxVal=K89,R89&lt;&gt;0),_xlpm.maxVal,""))</f>
        <v>0.112</v>
      </c>
      <c r="AB89" s="27">
        <f>_xlfn.LET(_xlpm.maxVal,_xlfn.MAXIFS($K:$K,$A:$A,A89),IF(AND(_xlpm.maxVal=K89,S89&lt;&gt;0),_xlpm.maxVal,""))</f>
        <v>0.112</v>
      </c>
      <c r="AC89" s="27">
        <f>_xlfn.LET(_xlpm.maxVal,_xlfn.MAXIFS($K:$K,$A:$A,A89),IF(AND(_xlpm.maxVal=K89,T89&lt;&gt;0),_xlpm.maxVal,""))</f>
        <v>0.112</v>
      </c>
      <c r="AD89" s="27">
        <f>$K89*L89*负载统计!$K$3/60</f>
        <v>0</v>
      </c>
      <c r="AE89" s="27">
        <f>$K89*L89*负载统计!$K$4/60</f>
        <v>0</v>
      </c>
      <c r="AF89" s="27">
        <f>$K89*N89*负载统计!$K$5/60</f>
        <v>0.00186666666666667</v>
      </c>
      <c r="AG89" s="27">
        <f>$K89*O89*负载统计!$K$6/60</f>
        <v>0.0056</v>
      </c>
      <c r="AH89" s="27">
        <f>$K89*P89*负载统计!$K$7/60</f>
        <v>0.0126373333333333</v>
      </c>
      <c r="AI89" s="27">
        <f>$K89*Q89*负载统计!$K$8/60</f>
        <v>0.0813866666666667</v>
      </c>
      <c r="AJ89" s="27">
        <f>$K89*R89*负载统计!$K$9/60</f>
        <v>0.0258533333333333</v>
      </c>
      <c r="AK89" s="27">
        <f>$K89*S89*负载统计!$K$10/60</f>
        <v>0.000933333333333333</v>
      </c>
      <c r="AL89" s="27">
        <f>$K89*T89*负载统计!$K$11/60</f>
        <v>0.00746666666666667</v>
      </c>
    </row>
    <row r="90" spans="1:38">
      <c r="A90" s="1">
        <v>41</v>
      </c>
      <c r="B90" s="24" t="s">
        <v>1366</v>
      </c>
      <c r="C90" s="24" t="s">
        <v>1329</v>
      </c>
      <c r="D90" s="24" t="s">
        <v>1365</v>
      </c>
      <c r="E90" s="24" t="s">
        <v>343</v>
      </c>
      <c r="F90" s="24" t="s">
        <v>347</v>
      </c>
      <c r="G90" s="25">
        <f>VLOOKUP(A90,负载电气特性!A:G,7,FALSE)</f>
        <v>28</v>
      </c>
      <c r="H90" s="26" t="s">
        <v>66</v>
      </c>
      <c r="I90" s="25" t="s">
        <v>1706</v>
      </c>
      <c r="J90" s="24" t="s">
        <v>1708</v>
      </c>
      <c r="K90" s="25">
        <v>0</v>
      </c>
      <c r="L90" s="25">
        <v>0</v>
      </c>
      <c r="M90" s="25">
        <v>0</v>
      </c>
      <c r="N90" s="25">
        <v>0</v>
      </c>
      <c r="O90" s="25">
        <v>0</v>
      </c>
      <c r="P90" s="25">
        <v>0</v>
      </c>
      <c r="Q90" s="25">
        <v>0</v>
      </c>
      <c r="R90" s="25">
        <v>0</v>
      </c>
      <c r="S90" s="25">
        <v>0</v>
      </c>
      <c r="T90" s="25">
        <v>0</v>
      </c>
      <c r="U90" s="27" t="str">
        <f>_xlfn.LET(_xlpm.maxVal,_xlfn.MAXIFS($K:$K,$A:$A,A90),IF(AND(_xlpm.maxVal=K90,L90&lt;&gt;0),_xlpm.maxVal,""))</f>
        <v/>
      </c>
      <c r="V90" s="27" t="str">
        <f>_xlfn.LET(_xlpm.maxVal,_xlfn.MAXIFS($K:$K,$A:$A,A90),IF(AND(_xlpm.maxVal=K90,M90&lt;&gt;0),_xlpm.maxVal,""))</f>
        <v/>
      </c>
      <c r="W90" s="27" t="str">
        <f>_xlfn.LET(_xlpm.maxVal,_xlfn.MAXIFS($K:$K,$A:$A,A90),IF(AND(_xlpm.maxVal=K90,N90&lt;&gt;0),_xlpm.maxVal,""))</f>
        <v/>
      </c>
      <c r="X90" s="27" t="str">
        <f>_xlfn.LET(_xlpm.maxVal,_xlfn.MAXIFS($K:$K,$A:$A,A90),IF(AND(_xlpm.maxVal=K90,O90&lt;&gt;0),_xlpm.maxVal,""))</f>
        <v/>
      </c>
      <c r="Y90" s="27" t="str">
        <f>_xlfn.LET(_xlpm.maxVal,_xlfn.MAXIFS($K:$K,$A:$A,A90),IF(AND(_xlpm.maxVal=K90,P90&lt;&gt;0),_xlpm.maxVal,""))</f>
        <v/>
      </c>
      <c r="Z90" s="27" t="str">
        <f>_xlfn.LET(_xlpm.maxVal,_xlfn.MAXIFS($K:$K,$A:$A,A90),IF(AND(_xlpm.maxVal=K90,Q90&lt;&gt;0),_xlpm.maxVal,""))</f>
        <v/>
      </c>
      <c r="AA90" s="27" t="str">
        <f>_xlfn.LET(_xlpm.maxVal,_xlfn.MAXIFS($K:$K,$A:$A,A90),IF(AND(_xlpm.maxVal=K90,R90&lt;&gt;0),_xlpm.maxVal,""))</f>
        <v/>
      </c>
      <c r="AB90" s="27" t="str">
        <f>_xlfn.LET(_xlpm.maxVal,_xlfn.MAXIFS($K:$K,$A:$A,A90),IF(AND(_xlpm.maxVal=K90,S90&lt;&gt;0),_xlpm.maxVal,""))</f>
        <v/>
      </c>
      <c r="AC90" s="27" t="str">
        <f>_xlfn.LET(_xlpm.maxVal,_xlfn.MAXIFS($K:$K,$A:$A,A90),IF(AND(_xlpm.maxVal=K90,T90&lt;&gt;0),_xlpm.maxVal,""))</f>
        <v/>
      </c>
      <c r="AD90" s="27">
        <f>$K90*L90*负载统计!$K$3/60</f>
        <v>0</v>
      </c>
      <c r="AE90" s="27">
        <f>$K90*L90*负载统计!$K$4/60</f>
        <v>0</v>
      </c>
      <c r="AF90" s="27">
        <f>$K90*N90*负载统计!$K$5/60</f>
        <v>0</v>
      </c>
      <c r="AG90" s="27">
        <f>$K90*O90*负载统计!$K$6/60</f>
        <v>0</v>
      </c>
      <c r="AH90" s="27">
        <f>$K90*P90*负载统计!$K$7/60</f>
        <v>0</v>
      </c>
      <c r="AI90" s="27">
        <f>$K90*Q90*负载统计!$K$8/60</f>
        <v>0</v>
      </c>
      <c r="AJ90" s="27">
        <f>$K90*R90*负载统计!$K$9/60</f>
        <v>0</v>
      </c>
      <c r="AK90" s="27">
        <f>$K90*S90*负载统计!$K$10/60</f>
        <v>0</v>
      </c>
      <c r="AL90" s="27">
        <f>$K90*T90*负载统计!$K$11/60</f>
        <v>0</v>
      </c>
    </row>
    <row r="91" spans="1:38">
      <c r="A91" s="1">
        <v>42</v>
      </c>
      <c r="B91" s="24" t="s">
        <v>1367</v>
      </c>
      <c r="C91" s="24" t="s">
        <v>1329</v>
      </c>
      <c r="D91" s="24" t="s">
        <v>1368</v>
      </c>
      <c r="E91" s="24" t="s">
        <v>369</v>
      </c>
      <c r="F91" s="24" t="s">
        <v>370</v>
      </c>
      <c r="G91" s="25">
        <f>VLOOKUP(A91,负载电气特性!A:G,7,FALSE)</f>
        <v>28</v>
      </c>
      <c r="H91" s="26" t="s">
        <v>66</v>
      </c>
      <c r="I91" s="25" t="s">
        <v>1706</v>
      </c>
      <c r="J91" s="24" t="s">
        <v>1707</v>
      </c>
      <c r="K91" s="25">
        <v>0.005</v>
      </c>
      <c r="L91" s="25">
        <v>1</v>
      </c>
      <c r="M91" s="25">
        <v>1</v>
      </c>
      <c r="N91" s="25">
        <v>1</v>
      </c>
      <c r="O91" s="25">
        <v>1</v>
      </c>
      <c r="P91" s="25">
        <v>1</v>
      </c>
      <c r="Q91" s="25">
        <v>1</v>
      </c>
      <c r="R91" s="25">
        <v>1</v>
      </c>
      <c r="S91" s="25">
        <v>1</v>
      </c>
      <c r="T91" s="25">
        <v>1</v>
      </c>
      <c r="U91" s="27">
        <f>_xlfn.LET(_xlpm.maxVal,_xlfn.MAXIFS($K:$K,$A:$A,A91),IF(AND(_xlpm.maxVal=K91,L91&lt;&gt;0),_xlpm.maxVal,""))</f>
        <v>0.005</v>
      </c>
      <c r="V91" s="27">
        <f>_xlfn.LET(_xlpm.maxVal,_xlfn.MAXIFS($K:$K,$A:$A,A91),IF(AND(_xlpm.maxVal=K91,M91&lt;&gt;0),_xlpm.maxVal,""))</f>
        <v>0.005</v>
      </c>
      <c r="W91" s="27">
        <f>_xlfn.LET(_xlpm.maxVal,_xlfn.MAXIFS($K:$K,$A:$A,A91),IF(AND(_xlpm.maxVal=K91,N91&lt;&gt;0),_xlpm.maxVal,""))</f>
        <v>0.005</v>
      </c>
      <c r="X91" s="27">
        <f>_xlfn.LET(_xlpm.maxVal,_xlfn.MAXIFS($K:$K,$A:$A,A91),IF(AND(_xlpm.maxVal=K91,O91&lt;&gt;0),_xlpm.maxVal,""))</f>
        <v>0.005</v>
      </c>
      <c r="Y91" s="27">
        <f>_xlfn.LET(_xlpm.maxVal,_xlfn.MAXIFS($K:$K,$A:$A,A91),IF(AND(_xlpm.maxVal=K91,P91&lt;&gt;0),_xlpm.maxVal,""))</f>
        <v>0.005</v>
      </c>
      <c r="Z91" s="27">
        <f>_xlfn.LET(_xlpm.maxVal,_xlfn.MAXIFS($K:$K,$A:$A,A91),IF(AND(_xlpm.maxVal=K91,Q91&lt;&gt;0),_xlpm.maxVal,""))</f>
        <v>0.005</v>
      </c>
      <c r="AA91" s="27">
        <f>_xlfn.LET(_xlpm.maxVal,_xlfn.MAXIFS($K:$K,$A:$A,A91),IF(AND(_xlpm.maxVal=K91,R91&lt;&gt;0),_xlpm.maxVal,""))</f>
        <v>0.005</v>
      </c>
      <c r="AB91" s="27">
        <f>_xlfn.LET(_xlpm.maxVal,_xlfn.MAXIFS($K:$K,$A:$A,A91),IF(AND(_xlpm.maxVal=K91,S91&lt;&gt;0),_xlpm.maxVal,""))</f>
        <v>0.005</v>
      </c>
      <c r="AC91" s="27">
        <f>_xlfn.LET(_xlpm.maxVal,_xlfn.MAXIFS($K:$K,$A:$A,A91),IF(AND(_xlpm.maxVal=K91,T91&lt;&gt;0),_xlpm.maxVal,""))</f>
        <v>0.005</v>
      </c>
      <c r="AD91" s="27">
        <f>$K91*L91*负载统计!$K$3/60</f>
        <v>0</v>
      </c>
      <c r="AE91" s="27">
        <f>$K91*L91*负载统计!$K$4/60</f>
        <v>0</v>
      </c>
      <c r="AF91" s="27">
        <f>$K91*N91*负载统计!$K$5/60</f>
        <v>8.33333333333333e-5</v>
      </c>
      <c r="AG91" s="27">
        <f>$K91*O91*负载统计!$K$6/60</f>
        <v>0.00025</v>
      </c>
      <c r="AH91" s="27">
        <f>$K91*P91*负载统计!$K$7/60</f>
        <v>0.000564166666666667</v>
      </c>
      <c r="AI91" s="27">
        <f>$K91*Q91*负载统计!$K$8/60</f>
        <v>0.00363333333333333</v>
      </c>
      <c r="AJ91" s="27">
        <f>$K91*R91*负载统计!$K$9/60</f>
        <v>0.00115416666666667</v>
      </c>
      <c r="AK91" s="27">
        <f>$K91*S91*负载统计!$K$10/60</f>
        <v>4.16666666666667e-5</v>
      </c>
      <c r="AL91" s="27">
        <f>$K91*T91*负载统计!$K$11/60</f>
        <v>0.000333333333333333</v>
      </c>
    </row>
    <row r="92" spans="1:38">
      <c r="A92" s="1">
        <v>42</v>
      </c>
      <c r="B92" s="24" t="s">
        <v>1367</v>
      </c>
      <c r="C92" s="24" t="s">
        <v>1329</v>
      </c>
      <c r="D92" s="24" t="s">
        <v>1368</v>
      </c>
      <c r="E92" s="24" t="s">
        <v>369</v>
      </c>
      <c r="F92" s="24" t="s">
        <v>370</v>
      </c>
      <c r="G92" s="25">
        <f>VLOOKUP(A92,负载电气特性!A:G,7,FALSE)</f>
        <v>28</v>
      </c>
      <c r="H92" s="26" t="s">
        <v>66</v>
      </c>
      <c r="I92" s="25" t="s">
        <v>1706</v>
      </c>
      <c r="J92" s="24" t="s">
        <v>1708</v>
      </c>
      <c r="K92" s="25">
        <v>0</v>
      </c>
      <c r="L92" s="25">
        <v>0</v>
      </c>
      <c r="M92" s="25">
        <v>0</v>
      </c>
      <c r="N92" s="25">
        <v>0</v>
      </c>
      <c r="O92" s="25">
        <v>0</v>
      </c>
      <c r="P92" s="25">
        <v>0</v>
      </c>
      <c r="Q92" s="25">
        <v>0</v>
      </c>
      <c r="R92" s="25">
        <v>0</v>
      </c>
      <c r="S92" s="25">
        <v>0</v>
      </c>
      <c r="T92" s="25">
        <v>0</v>
      </c>
      <c r="U92" s="27" t="str">
        <f>_xlfn.LET(_xlpm.maxVal,_xlfn.MAXIFS($K:$K,$A:$A,A92),IF(AND(_xlpm.maxVal=K92,L92&lt;&gt;0),_xlpm.maxVal,""))</f>
        <v/>
      </c>
      <c r="V92" s="27" t="str">
        <f>_xlfn.LET(_xlpm.maxVal,_xlfn.MAXIFS($K:$K,$A:$A,A92),IF(AND(_xlpm.maxVal=K92,M92&lt;&gt;0),_xlpm.maxVal,""))</f>
        <v/>
      </c>
      <c r="W92" s="27" t="str">
        <f>_xlfn.LET(_xlpm.maxVal,_xlfn.MAXIFS($K:$K,$A:$A,A92),IF(AND(_xlpm.maxVal=K92,N92&lt;&gt;0),_xlpm.maxVal,""))</f>
        <v/>
      </c>
      <c r="X92" s="27" t="str">
        <f>_xlfn.LET(_xlpm.maxVal,_xlfn.MAXIFS($K:$K,$A:$A,A92),IF(AND(_xlpm.maxVal=K92,O92&lt;&gt;0),_xlpm.maxVal,""))</f>
        <v/>
      </c>
      <c r="Y92" s="27" t="str">
        <f>_xlfn.LET(_xlpm.maxVal,_xlfn.MAXIFS($K:$K,$A:$A,A92),IF(AND(_xlpm.maxVal=K92,P92&lt;&gt;0),_xlpm.maxVal,""))</f>
        <v/>
      </c>
      <c r="Z92" s="27" t="str">
        <f>_xlfn.LET(_xlpm.maxVal,_xlfn.MAXIFS($K:$K,$A:$A,A92),IF(AND(_xlpm.maxVal=K92,Q92&lt;&gt;0),_xlpm.maxVal,""))</f>
        <v/>
      </c>
      <c r="AA92" s="27" t="str">
        <f>_xlfn.LET(_xlpm.maxVal,_xlfn.MAXIFS($K:$K,$A:$A,A92),IF(AND(_xlpm.maxVal=K92,R92&lt;&gt;0),_xlpm.maxVal,""))</f>
        <v/>
      </c>
      <c r="AB92" s="27" t="str">
        <f>_xlfn.LET(_xlpm.maxVal,_xlfn.MAXIFS($K:$K,$A:$A,A92),IF(AND(_xlpm.maxVal=K92,S92&lt;&gt;0),_xlpm.maxVal,""))</f>
        <v/>
      </c>
      <c r="AC92" s="27" t="str">
        <f>_xlfn.LET(_xlpm.maxVal,_xlfn.MAXIFS($K:$K,$A:$A,A92),IF(AND(_xlpm.maxVal=K92,T92&lt;&gt;0),_xlpm.maxVal,""))</f>
        <v/>
      </c>
      <c r="AD92" s="27">
        <f>$K92*L92*负载统计!$K$3/60</f>
        <v>0</v>
      </c>
      <c r="AE92" s="27">
        <f>$K92*L92*负载统计!$K$4/60</f>
        <v>0</v>
      </c>
      <c r="AF92" s="27">
        <f>$K92*N92*负载统计!$K$5/60</f>
        <v>0</v>
      </c>
      <c r="AG92" s="27">
        <f>$K92*O92*负载统计!$K$6/60</f>
        <v>0</v>
      </c>
      <c r="AH92" s="27">
        <f>$K92*P92*负载统计!$K$7/60</f>
        <v>0</v>
      </c>
      <c r="AI92" s="27">
        <f>$K92*Q92*负载统计!$K$8/60</f>
        <v>0</v>
      </c>
      <c r="AJ92" s="27">
        <f>$K92*R92*负载统计!$K$9/60</f>
        <v>0</v>
      </c>
      <c r="AK92" s="27">
        <f>$K92*S92*负载统计!$K$10/60</f>
        <v>0</v>
      </c>
      <c r="AL92" s="27">
        <f>$K92*T92*负载统计!$K$11/60</f>
        <v>0</v>
      </c>
    </row>
    <row r="93" spans="1:38">
      <c r="A93" s="1">
        <v>43</v>
      </c>
      <c r="B93" s="24" t="s">
        <v>1369</v>
      </c>
      <c r="C93" s="24" t="s">
        <v>1370</v>
      </c>
      <c r="D93" s="24" t="s">
        <v>1371</v>
      </c>
      <c r="E93" s="24" t="s">
        <v>374</v>
      </c>
      <c r="F93" s="24" t="s">
        <v>375</v>
      </c>
      <c r="G93" s="25">
        <f>VLOOKUP(A93,负载电气特性!A:G,7,FALSE)</f>
        <v>270</v>
      </c>
      <c r="H93" s="26" t="s">
        <v>61</v>
      </c>
      <c r="I93" s="25" t="s">
        <v>1706</v>
      </c>
      <c r="J93" s="24" t="s">
        <v>1707</v>
      </c>
      <c r="K93" s="25">
        <v>2</v>
      </c>
      <c r="L93" s="25">
        <v>0</v>
      </c>
      <c r="M93" s="25">
        <v>0</v>
      </c>
      <c r="N93" s="25">
        <v>0</v>
      </c>
      <c r="O93" s="25">
        <v>0.5</v>
      </c>
      <c r="P93" s="25">
        <v>0.86</v>
      </c>
      <c r="Q93" s="25">
        <v>0.86</v>
      </c>
      <c r="R93" s="25">
        <v>0.86</v>
      </c>
      <c r="S93" s="25">
        <v>0.86</v>
      </c>
      <c r="T93" s="25">
        <v>0</v>
      </c>
      <c r="U93" s="27" t="str">
        <f>_xlfn.LET(_xlpm.maxVal,_xlfn.MAXIFS($K:$K,$A:$A,A93),IF(AND(_xlpm.maxVal=K93,L93&lt;&gt;0),_xlpm.maxVal,""))</f>
        <v/>
      </c>
      <c r="V93" s="27" t="str">
        <f>_xlfn.LET(_xlpm.maxVal,_xlfn.MAXIFS($K:$K,$A:$A,A93),IF(AND(_xlpm.maxVal=K93,M93&lt;&gt;0),_xlpm.maxVal,""))</f>
        <v/>
      </c>
      <c r="W93" s="27" t="str">
        <f>_xlfn.LET(_xlpm.maxVal,_xlfn.MAXIFS($K:$K,$A:$A,A93),IF(AND(_xlpm.maxVal=K93,N93&lt;&gt;0),_xlpm.maxVal,""))</f>
        <v/>
      </c>
      <c r="X93" s="27">
        <f>_xlfn.LET(_xlpm.maxVal,_xlfn.MAXIFS($K:$K,$A:$A,A93),IF(AND(_xlpm.maxVal=K93,O93&lt;&gt;0),_xlpm.maxVal,""))</f>
        <v>2</v>
      </c>
      <c r="Y93" s="27">
        <f>_xlfn.LET(_xlpm.maxVal,_xlfn.MAXIFS($K:$K,$A:$A,A93),IF(AND(_xlpm.maxVal=K93,P93&lt;&gt;0),_xlpm.maxVal,""))</f>
        <v>2</v>
      </c>
      <c r="Z93" s="27">
        <f>_xlfn.LET(_xlpm.maxVal,_xlfn.MAXIFS($K:$K,$A:$A,A93),IF(AND(_xlpm.maxVal=K93,Q93&lt;&gt;0),_xlpm.maxVal,""))</f>
        <v>2</v>
      </c>
      <c r="AA93" s="27">
        <f>_xlfn.LET(_xlpm.maxVal,_xlfn.MAXIFS($K:$K,$A:$A,A93),IF(AND(_xlpm.maxVal=K93,R93&lt;&gt;0),_xlpm.maxVal,""))</f>
        <v>2</v>
      </c>
      <c r="AB93" s="27">
        <f>_xlfn.LET(_xlpm.maxVal,_xlfn.MAXIFS($K:$K,$A:$A,A93),IF(AND(_xlpm.maxVal=K93,S93&lt;&gt;0),_xlpm.maxVal,""))</f>
        <v>2</v>
      </c>
      <c r="AC93" s="27" t="str">
        <f>_xlfn.LET(_xlpm.maxVal,_xlfn.MAXIFS($K:$K,$A:$A,A93),IF(AND(_xlpm.maxVal=K93,T93&lt;&gt;0),_xlpm.maxVal,""))</f>
        <v/>
      </c>
      <c r="AD93" s="27">
        <f>$K93*L93*负载统计!$K$3/60</f>
        <v>0</v>
      </c>
      <c r="AE93" s="27">
        <f>$K93*L93*负载统计!$K$4/60</f>
        <v>0</v>
      </c>
      <c r="AF93" s="27">
        <f>$K93*N93*负载统计!$K$5/60</f>
        <v>0</v>
      </c>
      <c r="AG93" s="27">
        <f>$K93*O93*负载统计!$K$6/60</f>
        <v>0.05</v>
      </c>
      <c r="AH93" s="27">
        <f>$K93*P93*负载统计!$K$7/60</f>
        <v>0.194073333333333</v>
      </c>
      <c r="AI93" s="27">
        <f>$K93*Q93*负载统计!$K$8/60</f>
        <v>1.24986666666667</v>
      </c>
      <c r="AJ93" s="27">
        <f>$K93*R93*负载统计!$K$9/60</f>
        <v>0.397033333333333</v>
      </c>
      <c r="AK93" s="27">
        <f>$K93*S93*负载统计!$K$10/60</f>
        <v>0.0143333333333333</v>
      </c>
      <c r="AL93" s="27">
        <f>$K93*T93*负载统计!$K$11/60</f>
        <v>0</v>
      </c>
    </row>
    <row r="94" spans="1:38">
      <c r="A94" s="1">
        <v>43</v>
      </c>
      <c r="B94" s="24" t="s">
        <v>1369</v>
      </c>
      <c r="C94" s="24" t="s">
        <v>1370</v>
      </c>
      <c r="D94" s="24" t="s">
        <v>1371</v>
      </c>
      <c r="E94" s="24" t="s">
        <v>374</v>
      </c>
      <c r="F94" s="24" t="s">
        <v>375</v>
      </c>
      <c r="G94" s="25">
        <f>VLOOKUP(A94,负载电气特性!A:G,7,FALSE)</f>
        <v>270</v>
      </c>
      <c r="H94" s="26" t="s">
        <v>61</v>
      </c>
      <c r="I94" s="25" t="s">
        <v>1706</v>
      </c>
      <c r="J94" s="25" t="s">
        <v>1712</v>
      </c>
      <c r="K94" s="25">
        <v>0.02</v>
      </c>
      <c r="L94" s="25">
        <v>1</v>
      </c>
      <c r="M94" s="25">
        <v>1</v>
      </c>
      <c r="N94" s="25">
        <v>0</v>
      </c>
      <c r="O94" s="25">
        <v>0.5</v>
      </c>
      <c r="P94" s="25">
        <v>0.14</v>
      </c>
      <c r="Q94" s="25">
        <v>0.14</v>
      </c>
      <c r="R94" s="25">
        <v>0.14</v>
      </c>
      <c r="S94" s="25">
        <v>0.14</v>
      </c>
      <c r="T94" s="25">
        <v>1</v>
      </c>
      <c r="U94" s="27" t="str">
        <f>_xlfn.LET(_xlpm.maxVal,_xlfn.MAXIFS($K:$K,$A:$A,A94),IF(AND(_xlpm.maxVal=K94,L94&lt;&gt;0),_xlpm.maxVal,""))</f>
        <v/>
      </c>
      <c r="V94" s="27" t="str">
        <f>_xlfn.LET(_xlpm.maxVal,_xlfn.MAXIFS($K:$K,$A:$A,A94),IF(AND(_xlpm.maxVal=K94,M94&lt;&gt;0),_xlpm.maxVal,""))</f>
        <v/>
      </c>
      <c r="W94" s="27" t="str">
        <f>_xlfn.LET(_xlpm.maxVal,_xlfn.MAXIFS($K:$K,$A:$A,A94),IF(AND(_xlpm.maxVal=K94,N94&lt;&gt;0),_xlpm.maxVal,""))</f>
        <v/>
      </c>
      <c r="X94" s="27" t="str">
        <f>_xlfn.LET(_xlpm.maxVal,_xlfn.MAXIFS($K:$K,$A:$A,A94),IF(AND(_xlpm.maxVal=K94,O94&lt;&gt;0),_xlpm.maxVal,""))</f>
        <v/>
      </c>
      <c r="Y94" s="27" t="str">
        <f>_xlfn.LET(_xlpm.maxVal,_xlfn.MAXIFS($K:$K,$A:$A,A94),IF(AND(_xlpm.maxVal=K94,P94&lt;&gt;0),_xlpm.maxVal,""))</f>
        <v/>
      </c>
      <c r="Z94" s="27" t="str">
        <f>_xlfn.LET(_xlpm.maxVal,_xlfn.MAXIFS($K:$K,$A:$A,A94),IF(AND(_xlpm.maxVal=K94,Q94&lt;&gt;0),_xlpm.maxVal,""))</f>
        <v/>
      </c>
      <c r="AA94" s="27" t="str">
        <f>_xlfn.LET(_xlpm.maxVal,_xlfn.MAXIFS($K:$K,$A:$A,A94),IF(AND(_xlpm.maxVal=K94,R94&lt;&gt;0),_xlpm.maxVal,""))</f>
        <v/>
      </c>
      <c r="AB94" s="27" t="str">
        <f>_xlfn.LET(_xlpm.maxVal,_xlfn.MAXIFS($K:$K,$A:$A,A94),IF(AND(_xlpm.maxVal=K94,S94&lt;&gt;0),_xlpm.maxVal,""))</f>
        <v/>
      </c>
      <c r="AC94" s="27" t="str">
        <f>_xlfn.LET(_xlpm.maxVal,_xlfn.MAXIFS($K:$K,$A:$A,A94),IF(AND(_xlpm.maxVal=K94,T94&lt;&gt;0),_xlpm.maxVal,""))</f>
        <v/>
      </c>
      <c r="AD94" s="27">
        <f>$K94*L94*负载统计!$K$3/60</f>
        <v>0</v>
      </c>
      <c r="AE94" s="27">
        <f>$K94*L94*负载统计!$K$4/60</f>
        <v>0</v>
      </c>
      <c r="AF94" s="27">
        <f>$K94*N94*负载统计!$K$5/60</f>
        <v>0</v>
      </c>
      <c r="AG94" s="27">
        <f>$K94*O94*负载统计!$K$6/60</f>
        <v>0.0005</v>
      </c>
      <c r="AH94" s="27">
        <f>$K94*P94*负载统计!$K$7/60</f>
        <v>0.000315933333333333</v>
      </c>
      <c r="AI94" s="27">
        <f>$K94*Q94*负载统计!$K$8/60</f>
        <v>0.00203466666666667</v>
      </c>
      <c r="AJ94" s="27">
        <f>$K94*R94*负载统计!$K$9/60</f>
        <v>0.000646333333333333</v>
      </c>
      <c r="AK94" s="27">
        <f>$K94*S94*负载统计!$K$10/60</f>
        <v>2.33333333333333e-5</v>
      </c>
      <c r="AL94" s="27">
        <f>$K94*T94*负载统计!$K$11/60</f>
        <v>0.00133333333333333</v>
      </c>
    </row>
    <row r="95" spans="1:38">
      <c r="A95" s="1">
        <v>43</v>
      </c>
      <c r="B95" s="24" t="s">
        <v>1369</v>
      </c>
      <c r="C95" s="24" t="s">
        <v>1370</v>
      </c>
      <c r="D95" s="24" t="s">
        <v>1371</v>
      </c>
      <c r="E95" s="24" t="s">
        <v>374</v>
      </c>
      <c r="F95" s="24" t="s">
        <v>375</v>
      </c>
      <c r="G95" s="25">
        <f>VLOOKUP(A95,负载电气特性!A:G,7,FALSE)</f>
        <v>270</v>
      </c>
      <c r="H95" s="26" t="s">
        <v>61</v>
      </c>
      <c r="I95" s="25" t="s">
        <v>1706</v>
      </c>
      <c r="J95" s="24" t="s">
        <v>1708</v>
      </c>
      <c r="K95" s="25">
        <v>0</v>
      </c>
      <c r="L95" s="25">
        <v>0</v>
      </c>
      <c r="M95" s="25">
        <v>0</v>
      </c>
      <c r="N95" s="25">
        <v>0</v>
      </c>
      <c r="O95" s="25">
        <v>0</v>
      </c>
      <c r="P95" s="25">
        <v>0</v>
      </c>
      <c r="Q95" s="25">
        <v>0</v>
      </c>
      <c r="R95" s="25">
        <v>0</v>
      </c>
      <c r="S95" s="25">
        <v>0</v>
      </c>
      <c r="T95" s="25">
        <v>0</v>
      </c>
      <c r="U95" s="27" t="str">
        <f>_xlfn.LET(_xlpm.maxVal,_xlfn.MAXIFS($K:$K,$A:$A,A95),IF(AND(_xlpm.maxVal=K95,L95&lt;&gt;0),_xlpm.maxVal,""))</f>
        <v/>
      </c>
      <c r="V95" s="27" t="str">
        <f>_xlfn.LET(_xlpm.maxVal,_xlfn.MAXIFS($K:$K,$A:$A,A95),IF(AND(_xlpm.maxVal=K95,M95&lt;&gt;0),_xlpm.maxVal,""))</f>
        <v/>
      </c>
      <c r="W95" s="27" t="str">
        <f>_xlfn.LET(_xlpm.maxVal,_xlfn.MAXIFS($K:$K,$A:$A,A95),IF(AND(_xlpm.maxVal=K95,N95&lt;&gt;0),_xlpm.maxVal,""))</f>
        <v/>
      </c>
      <c r="X95" s="27" t="str">
        <f>_xlfn.LET(_xlpm.maxVal,_xlfn.MAXIFS($K:$K,$A:$A,A95),IF(AND(_xlpm.maxVal=K95,O95&lt;&gt;0),_xlpm.maxVal,""))</f>
        <v/>
      </c>
      <c r="Y95" s="27" t="str">
        <f>_xlfn.LET(_xlpm.maxVal,_xlfn.MAXIFS($K:$K,$A:$A,A95),IF(AND(_xlpm.maxVal=K95,P95&lt;&gt;0),_xlpm.maxVal,""))</f>
        <v/>
      </c>
      <c r="Z95" s="27" t="str">
        <f>_xlfn.LET(_xlpm.maxVal,_xlfn.MAXIFS($K:$K,$A:$A,A95),IF(AND(_xlpm.maxVal=K95,Q95&lt;&gt;0),_xlpm.maxVal,""))</f>
        <v/>
      </c>
      <c r="AA95" s="27" t="str">
        <f>_xlfn.LET(_xlpm.maxVal,_xlfn.MAXIFS($K:$K,$A:$A,A95),IF(AND(_xlpm.maxVal=K95,R95&lt;&gt;0),_xlpm.maxVal,""))</f>
        <v/>
      </c>
      <c r="AB95" s="27" t="str">
        <f>_xlfn.LET(_xlpm.maxVal,_xlfn.MAXIFS($K:$K,$A:$A,A95),IF(AND(_xlpm.maxVal=K95,S95&lt;&gt;0),_xlpm.maxVal,""))</f>
        <v/>
      </c>
      <c r="AC95" s="27" t="str">
        <f>_xlfn.LET(_xlpm.maxVal,_xlfn.MAXIFS($K:$K,$A:$A,A95),IF(AND(_xlpm.maxVal=K95,T95&lt;&gt;0),_xlpm.maxVal,""))</f>
        <v/>
      </c>
      <c r="AD95" s="27">
        <f>$K95*L95*负载统计!$K$3/60</f>
        <v>0</v>
      </c>
      <c r="AE95" s="27">
        <f>$K95*L95*负载统计!$K$4/60</f>
        <v>0</v>
      </c>
      <c r="AF95" s="27">
        <f>$K95*N95*负载统计!$K$5/60</f>
        <v>0</v>
      </c>
      <c r="AG95" s="27">
        <f>$K95*O95*负载统计!$K$6/60</f>
        <v>0</v>
      </c>
      <c r="AH95" s="27">
        <f>$K95*P95*负载统计!$K$7/60</f>
        <v>0</v>
      </c>
      <c r="AI95" s="27">
        <f>$K95*Q95*负载统计!$K$8/60</f>
        <v>0</v>
      </c>
      <c r="AJ95" s="27">
        <f>$K95*R95*负载统计!$K$9/60</f>
        <v>0</v>
      </c>
      <c r="AK95" s="27">
        <f>$K95*S95*负载统计!$K$10/60</f>
        <v>0</v>
      </c>
      <c r="AL95" s="27">
        <f>$K95*T95*负载统计!$K$11/60</f>
        <v>0</v>
      </c>
    </row>
    <row r="96" spans="1:38">
      <c r="A96" s="1">
        <v>44</v>
      </c>
      <c r="B96" s="24" t="s">
        <v>1373</v>
      </c>
      <c r="C96" s="24" t="s">
        <v>1370</v>
      </c>
      <c r="D96" s="24" t="s">
        <v>1371</v>
      </c>
      <c r="E96" s="24" t="s">
        <v>374</v>
      </c>
      <c r="F96" s="24" t="s">
        <v>375</v>
      </c>
      <c r="G96" s="25">
        <f>VLOOKUP(A96,负载电气特性!A:G,7,FALSE)</f>
        <v>28</v>
      </c>
      <c r="H96" s="26" t="s">
        <v>61</v>
      </c>
      <c r="I96" s="25" t="s">
        <v>1706</v>
      </c>
      <c r="J96" s="24" t="s">
        <v>1707</v>
      </c>
      <c r="K96" s="25">
        <v>0.05</v>
      </c>
      <c r="L96" s="25">
        <v>1</v>
      </c>
      <c r="M96" s="25">
        <v>1</v>
      </c>
      <c r="N96" s="25">
        <v>1</v>
      </c>
      <c r="O96" s="25">
        <v>1</v>
      </c>
      <c r="P96" s="25">
        <v>1</v>
      </c>
      <c r="Q96" s="25">
        <v>1</v>
      </c>
      <c r="R96" s="25">
        <v>1</v>
      </c>
      <c r="S96" s="25">
        <v>1</v>
      </c>
      <c r="T96" s="25">
        <v>1</v>
      </c>
      <c r="U96" s="27">
        <f>_xlfn.LET(_xlpm.maxVal,_xlfn.MAXIFS($K:$K,$A:$A,A96),IF(AND(_xlpm.maxVal=K96,L96&lt;&gt;0),_xlpm.maxVal,""))</f>
        <v>0.05</v>
      </c>
      <c r="V96" s="27">
        <f>_xlfn.LET(_xlpm.maxVal,_xlfn.MAXIFS($K:$K,$A:$A,A96),IF(AND(_xlpm.maxVal=K96,M96&lt;&gt;0),_xlpm.maxVal,""))</f>
        <v>0.05</v>
      </c>
      <c r="W96" s="27">
        <f>_xlfn.LET(_xlpm.maxVal,_xlfn.MAXIFS($K:$K,$A:$A,A96),IF(AND(_xlpm.maxVal=K96,N96&lt;&gt;0),_xlpm.maxVal,""))</f>
        <v>0.05</v>
      </c>
      <c r="X96" s="27">
        <f>_xlfn.LET(_xlpm.maxVal,_xlfn.MAXIFS($K:$K,$A:$A,A96),IF(AND(_xlpm.maxVal=K96,O96&lt;&gt;0),_xlpm.maxVal,""))</f>
        <v>0.05</v>
      </c>
      <c r="Y96" s="27">
        <f>_xlfn.LET(_xlpm.maxVal,_xlfn.MAXIFS($K:$K,$A:$A,A96),IF(AND(_xlpm.maxVal=K96,P96&lt;&gt;0),_xlpm.maxVal,""))</f>
        <v>0.05</v>
      </c>
      <c r="Z96" s="27">
        <f>_xlfn.LET(_xlpm.maxVal,_xlfn.MAXIFS($K:$K,$A:$A,A96),IF(AND(_xlpm.maxVal=K96,Q96&lt;&gt;0),_xlpm.maxVal,""))</f>
        <v>0.05</v>
      </c>
      <c r="AA96" s="27">
        <f>_xlfn.LET(_xlpm.maxVal,_xlfn.MAXIFS($K:$K,$A:$A,A96),IF(AND(_xlpm.maxVal=K96,R96&lt;&gt;0),_xlpm.maxVal,""))</f>
        <v>0.05</v>
      </c>
      <c r="AB96" s="27">
        <f>_xlfn.LET(_xlpm.maxVal,_xlfn.MAXIFS($K:$K,$A:$A,A96),IF(AND(_xlpm.maxVal=K96,S96&lt;&gt;0),_xlpm.maxVal,""))</f>
        <v>0.05</v>
      </c>
      <c r="AC96" s="27">
        <f>_xlfn.LET(_xlpm.maxVal,_xlfn.MAXIFS($K:$K,$A:$A,A96),IF(AND(_xlpm.maxVal=K96,T96&lt;&gt;0),_xlpm.maxVal,""))</f>
        <v>0.05</v>
      </c>
      <c r="AD96" s="27">
        <f>$K96*L96*负载统计!$K$3/60</f>
        <v>0</v>
      </c>
      <c r="AE96" s="27">
        <f>$K96*L96*负载统计!$K$4/60</f>
        <v>0</v>
      </c>
      <c r="AF96" s="27">
        <f>$K96*N96*负载统计!$K$5/60</f>
        <v>0.000833333333333333</v>
      </c>
      <c r="AG96" s="27">
        <f>$K96*O96*负载统计!$K$6/60</f>
        <v>0.0025</v>
      </c>
      <c r="AH96" s="27">
        <f>$K96*P96*负载统计!$K$7/60</f>
        <v>0.00564166666666667</v>
      </c>
      <c r="AI96" s="27">
        <f>$K96*Q96*负载统计!$K$8/60</f>
        <v>0.0363333333333333</v>
      </c>
      <c r="AJ96" s="27">
        <f>$K96*R96*负载统计!$K$9/60</f>
        <v>0.0115416666666667</v>
      </c>
      <c r="AK96" s="27">
        <f>$K96*S96*负载统计!$K$10/60</f>
        <v>0.000416666666666667</v>
      </c>
      <c r="AL96" s="27">
        <f>$K96*T96*负载统计!$K$11/60</f>
        <v>0.00333333333333333</v>
      </c>
    </row>
    <row r="97" spans="1:38">
      <c r="A97" s="1">
        <v>44</v>
      </c>
      <c r="B97" s="24" t="s">
        <v>1373</v>
      </c>
      <c r="C97" s="24" t="s">
        <v>1370</v>
      </c>
      <c r="D97" s="24" t="s">
        <v>1371</v>
      </c>
      <c r="E97" s="24" t="s">
        <v>374</v>
      </c>
      <c r="F97" s="24" t="s">
        <v>375</v>
      </c>
      <c r="G97" s="25">
        <f>VLOOKUP(A97,负载电气特性!A:G,7,FALSE)</f>
        <v>28</v>
      </c>
      <c r="H97" s="26" t="s">
        <v>61</v>
      </c>
      <c r="I97" s="25" t="s">
        <v>1706</v>
      </c>
      <c r="J97" s="24" t="s">
        <v>1708</v>
      </c>
      <c r="K97" s="25">
        <v>0</v>
      </c>
      <c r="L97" s="25">
        <v>0</v>
      </c>
      <c r="M97" s="25">
        <v>0</v>
      </c>
      <c r="N97" s="25">
        <v>0</v>
      </c>
      <c r="O97" s="25">
        <v>0</v>
      </c>
      <c r="P97" s="25">
        <v>0</v>
      </c>
      <c r="Q97" s="25">
        <v>0</v>
      </c>
      <c r="R97" s="25">
        <v>0</v>
      </c>
      <c r="S97" s="25">
        <v>0</v>
      </c>
      <c r="T97" s="25">
        <v>0</v>
      </c>
      <c r="U97" s="27" t="str">
        <f>_xlfn.LET(_xlpm.maxVal,_xlfn.MAXIFS($K:$K,$A:$A,A97),IF(AND(_xlpm.maxVal=K97,L97&lt;&gt;0),_xlpm.maxVal,""))</f>
        <v/>
      </c>
      <c r="V97" s="27" t="str">
        <f>_xlfn.LET(_xlpm.maxVal,_xlfn.MAXIFS($K:$K,$A:$A,A97),IF(AND(_xlpm.maxVal=K97,M97&lt;&gt;0),_xlpm.maxVal,""))</f>
        <v/>
      </c>
      <c r="W97" s="27" t="str">
        <f>_xlfn.LET(_xlpm.maxVal,_xlfn.MAXIFS($K:$K,$A:$A,A97),IF(AND(_xlpm.maxVal=K97,N97&lt;&gt;0),_xlpm.maxVal,""))</f>
        <v/>
      </c>
      <c r="X97" s="27" t="str">
        <f>_xlfn.LET(_xlpm.maxVal,_xlfn.MAXIFS($K:$K,$A:$A,A97),IF(AND(_xlpm.maxVal=K97,O97&lt;&gt;0),_xlpm.maxVal,""))</f>
        <v/>
      </c>
      <c r="Y97" s="27" t="str">
        <f>_xlfn.LET(_xlpm.maxVal,_xlfn.MAXIFS($K:$K,$A:$A,A97),IF(AND(_xlpm.maxVal=K97,P97&lt;&gt;0),_xlpm.maxVal,""))</f>
        <v/>
      </c>
      <c r="Z97" s="27" t="str">
        <f>_xlfn.LET(_xlpm.maxVal,_xlfn.MAXIFS($K:$K,$A:$A,A97),IF(AND(_xlpm.maxVal=K97,Q97&lt;&gt;0),_xlpm.maxVal,""))</f>
        <v/>
      </c>
      <c r="AA97" s="27" t="str">
        <f>_xlfn.LET(_xlpm.maxVal,_xlfn.MAXIFS($K:$K,$A:$A,A97),IF(AND(_xlpm.maxVal=K97,R97&lt;&gt;0),_xlpm.maxVal,""))</f>
        <v/>
      </c>
      <c r="AB97" s="27" t="str">
        <f>_xlfn.LET(_xlpm.maxVal,_xlfn.MAXIFS($K:$K,$A:$A,A97),IF(AND(_xlpm.maxVal=K97,S97&lt;&gt;0),_xlpm.maxVal,""))</f>
        <v/>
      </c>
      <c r="AC97" s="27" t="str">
        <f>_xlfn.LET(_xlpm.maxVal,_xlfn.MAXIFS($K:$K,$A:$A,A97),IF(AND(_xlpm.maxVal=K97,T97&lt;&gt;0),_xlpm.maxVal,""))</f>
        <v/>
      </c>
      <c r="AD97" s="27">
        <f>$K97*L97*负载统计!$K$3/60</f>
        <v>0</v>
      </c>
      <c r="AE97" s="27">
        <f>$K97*L97*负载统计!$K$4/60</f>
        <v>0</v>
      </c>
      <c r="AF97" s="27">
        <f>$K97*N97*负载统计!$K$5/60</f>
        <v>0</v>
      </c>
      <c r="AG97" s="27">
        <f>$K97*O97*负载统计!$K$6/60</f>
        <v>0</v>
      </c>
      <c r="AH97" s="27">
        <f>$K97*P97*负载统计!$K$7/60</f>
        <v>0</v>
      </c>
      <c r="AI97" s="27">
        <f>$K97*Q97*负载统计!$K$8/60</f>
        <v>0</v>
      </c>
      <c r="AJ97" s="27">
        <f>$K97*R97*负载统计!$K$9/60</f>
        <v>0</v>
      </c>
      <c r="AK97" s="27">
        <f>$K97*S97*负载统计!$K$10/60</f>
        <v>0</v>
      </c>
      <c r="AL97" s="27">
        <f>$K97*T97*负载统计!$K$11/60</f>
        <v>0</v>
      </c>
    </row>
    <row r="98" spans="1:38">
      <c r="A98" s="1">
        <v>45</v>
      </c>
      <c r="B98" s="24" t="s">
        <v>1374</v>
      </c>
      <c r="C98" s="24" t="s">
        <v>1370</v>
      </c>
      <c r="D98" s="24" t="s">
        <v>1375</v>
      </c>
      <c r="E98" s="24" t="s">
        <v>377</v>
      </c>
      <c r="F98" s="24" t="s">
        <v>378</v>
      </c>
      <c r="G98" s="25">
        <f>VLOOKUP(A98,负载电气特性!A:G,7,FALSE)</f>
        <v>270</v>
      </c>
      <c r="H98" s="26" t="s">
        <v>61</v>
      </c>
      <c r="I98" s="25" t="s">
        <v>1706</v>
      </c>
      <c r="J98" s="24" t="s">
        <v>1707</v>
      </c>
      <c r="K98" s="25">
        <v>2</v>
      </c>
      <c r="L98" s="25">
        <v>0</v>
      </c>
      <c r="M98" s="25">
        <v>0</v>
      </c>
      <c r="N98" s="25">
        <v>0</v>
      </c>
      <c r="O98" s="25">
        <v>0.5</v>
      </c>
      <c r="P98" s="25">
        <v>0.86</v>
      </c>
      <c r="Q98" s="25">
        <v>0.86</v>
      </c>
      <c r="R98" s="25">
        <v>0.86</v>
      </c>
      <c r="S98" s="25">
        <v>0.86</v>
      </c>
      <c r="T98" s="25">
        <v>0</v>
      </c>
      <c r="U98" s="27" t="str">
        <f>_xlfn.LET(_xlpm.maxVal,_xlfn.MAXIFS($K:$K,$A:$A,A98),IF(AND(_xlpm.maxVal=K98,L98&lt;&gt;0),_xlpm.maxVal,""))</f>
        <v/>
      </c>
      <c r="V98" s="27" t="str">
        <f>_xlfn.LET(_xlpm.maxVal,_xlfn.MAXIFS($K:$K,$A:$A,A98),IF(AND(_xlpm.maxVal=K98,M98&lt;&gt;0),_xlpm.maxVal,""))</f>
        <v/>
      </c>
      <c r="W98" s="27" t="str">
        <f>_xlfn.LET(_xlpm.maxVal,_xlfn.MAXIFS($K:$K,$A:$A,A98),IF(AND(_xlpm.maxVal=K98,N98&lt;&gt;0),_xlpm.maxVal,""))</f>
        <v/>
      </c>
      <c r="X98" s="27">
        <f>_xlfn.LET(_xlpm.maxVal,_xlfn.MAXIFS($K:$K,$A:$A,A98),IF(AND(_xlpm.maxVal=K98,O98&lt;&gt;0),_xlpm.maxVal,""))</f>
        <v>2</v>
      </c>
      <c r="Y98" s="27">
        <f>_xlfn.LET(_xlpm.maxVal,_xlfn.MAXIFS($K:$K,$A:$A,A98),IF(AND(_xlpm.maxVal=K98,P98&lt;&gt;0),_xlpm.maxVal,""))</f>
        <v>2</v>
      </c>
      <c r="Z98" s="27">
        <f>_xlfn.LET(_xlpm.maxVal,_xlfn.MAXIFS($K:$K,$A:$A,A98),IF(AND(_xlpm.maxVal=K98,Q98&lt;&gt;0),_xlpm.maxVal,""))</f>
        <v>2</v>
      </c>
      <c r="AA98" s="27">
        <f>_xlfn.LET(_xlpm.maxVal,_xlfn.MAXIFS($K:$K,$A:$A,A98),IF(AND(_xlpm.maxVal=K98,R98&lt;&gt;0),_xlpm.maxVal,""))</f>
        <v>2</v>
      </c>
      <c r="AB98" s="27">
        <f>_xlfn.LET(_xlpm.maxVal,_xlfn.MAXIFS($K:$K,$A:$A,A98),IF(AND(_xlpm.maxVal=K98,S98&lt;&gt;0),_xlpm.maxVal,""))</f>
        <v>2</v>
      </c>
      <c r="AC98" s="27" t="str">
        <f>_xlfn.LET(_xlpm.maxVal,_xlfn.MAXIFS($K:$K,$A:$A,A98),IF(AND(_xlpm.maxVal=K98,T98&lt;&gt;0),_xlpm.maxVal,""))</f>
        <v/>
      </c>
      <c r="AD98" s="27">
        <f>$K98*L98*负载统计!$K$3/60</f>
        <v>0</v>
      </c>
      <c r="AE98" s="27">
        <f>$K98*L98*负载统计!$K$4/60</f>
        <v>0</v>
      </c>
      <c r="AF98" s="27">
        <f>$K98*N98*负载统计!$K$5/60</f>
        <v>0</v>
      </c>
      <c r="AG98" s="27">
        <f>$K98*O98*负载统计!$K$6/60</f>
        <v>0.05</v>
      </c>
      <c r="AH98" s="27">
        <f>$K98*P98*负载统计!$K$7/60</f>
        <v>0.194073333333333</v>
      </c>
      <c r="AI98" s="27">
        <f>$K98*Q98*负载统计!$K$8/60</f>
        <v>1.24986666666667</v>
      </c>
      <c r="AJ98" s="27">
        <f>$K98*R98*负载统计!$K$9/60</f>
        <v>0.397033333333333</v>
      </c>
      <c r="AK98" s="27">
        <f>$K98*S98*负载统计!$K$10/60</f>
        <v>0.0143333333333333</v>
      </c>
      <c r="AL98" s="27">
        <f>$K98*T98*负载统计!$K$11/60</f>
        <v>0</v>
      </c>
    </row>
    <row r="99" spans="1:38">
      <c r="A99" s="1">
        <v>45</v>
      </c>
      <c r="B99" s="24" t="s">
        <v>1374</v>
      </c>
      <c r="C99" s="24" t="s">
        <v>1370</v>
      </c>
      <c r="D99" s="24" t="s">
        <v>1375</v>
      </c>
      <c r="E99" s="24" t="s">
        <v>377</v>
      </c>
      <c r="F99" s="24" t="s">
        <v>378</v>
      </c>
      <c r="G99" s="25">
        <f>VLOOKUP(A99,负载电气特性!A:G,7,FALSE)</f>
        <v>270</v>
      </c>
      <c r="H99" s="26" t="s">
        <v>61</v>
      </c>
      <c r="I99" s="25" t="s">
        <v>1706</v>
      </c>
      <c r="J99" s="25" t="s">
        <v>1712</v>
      </c>
      <c r="K99" s="25">
        <v>0.02</v>
      </c>
      <c r="L99" s="25">
        <v>1</v>
      </c>
      <c r="M99" s="25">
        <v>1</v>
      </c>
      <c r="N99" s="25">
        <v>0</v>
      </c>
      <c r="O99" s="25">
        <v>0.5</v>
      </c>
      <c r="P99" s="25">
        <v>0.14</v>
      </c>
      <c r="Q99" s="25">
        <v>0.14</v>
      </c>
      <c r="R99" s="25">
        <v>0.14</v>
      </c>
      <c r="S99" s="25">
        <v>0.14</v>
      </c>
      <c r="T99" s="25">
        <v>1</v>
      </c>
      <c r="U99" s="27" t="str">
        <f>_xlfn.LET(_xlpm.maxVal,_xlfn.MAXIFS($K:$K,$A:$A,A99),IF(AND(_xlpm.maxVal=K99,L99&lt;&gt;0),_xlpm.maxVal,""))</f>
        <v/>
      </c>
      <c r="V99" s="27" t="str">
        <f>_xlfn.LET(_xlpm.maxVal,_xlfn.MAXIFS($K:$K,$A:$A,A99),IF(AND(_xlpm.maxVal=K99,M99&lt;&gt;0),_xlpm.maxVal,""))</f>
        <v/>
      </c>
      <c r="W99" s="27" t="str">
        <f>_xlfn.LET(_xlpm.maxVal,_xlfn.MAXIFS($K:$K,$A:$A,A99),IF(AND(_xlpm.maxVal=K99,N99&lt;&gt;0),_xlpm.maxVal,""))</f>
        <v/>
      </c>
      <c r="X99" s="27" t="str">
        <f>_xlfn.LET(_xlpm.maxVal,_xlfn.MAXIFS($K:$K,$A:$A,A99),IF(AND(_xlpm.maxVal=K99,O99&lt;&gt;0),_xlpm.maxVal,""))</f>
        <v/>
      </c>
      <c r="Y99" s="27" t="str">
        <f>_xlfn.LET(_xlpm.maxVal,_xlfn.MAXIFS($K:$K,$A:$A,A99),IF(AND(_xlpm.maxVal=K99,P99&lt;&gt;0),_xlpm.maxVal,""))</f>
        <v/>
      </c>
      <c r="Z99" s="27" t="str">
        <f>_xlfn.LET(_xlpm.maxVal,_xlfn.MAXIFS($K:$K,$A:$A,A99),IF(AND(_xlpm.maxVal=K99,Q99&lt;&gt;0),_xlpm.maxVal,""))</f>
        <v/>
      </c>
      <c r="AA99" s="27" t="str">
        <f>_xlfn.LET(_xlpm.maxVal,_xlfn.MAXIFS($K:$K,$A:$A,A99),IF(AND(_xlpm.maxVal=K99,R99&lt;&gt;0),_xlpm.maxVal,""))</f>
        <v/>
      </c>
      <c r="AB99" s="27" t="str">
        <f>_xlfn.LET(_xlpm.maxVal,_xlfn.MAXIFS($K:$K,$A:$A,A99),IF(AND(_xlpm.maxVal=K99,S99&lt;&gt;0),_xlpm.maxVal,""))</f>
        <v/>
      </c>
      <c r="AC99" s="27" t="str">
        <f>_xlfn.LET(_xlpm.maxVal,_xlfn.MAXIFS($K:$K,$A:$A,A99),IF(AND(_xlpm.maxVal=K99,T99&lt;&gt;0),_xlpm.maxVal,""))</f>
        <v/>
      </c>
      <c r="AD99" s="27">
        <f>$K99*L99*负载统计!$K$3/60</f>
        <v>0</v>
      </c>
      <c r="AE99" s="27">
        <f>$K99*L99*负载统计!$K$4/60</f>
        <v>0</v>
      </c>
      <c r="AF99" s="27">
        <f>$K99*N99*负载统计!$K$5/60</f>
        <v>0</v>
      </c>
      <c r="AG99" s="27">
        <f>$K99*O99*负载统计!$K$6/60</f>
        <v>0.0005</v>
      </c>
      <c r="AH99" s="27">
        <f>$K99*P99*负载统计!$K$7/60</f>
        <v>0.000315933333333333</v>
      </c>
      <c r="AI99" s="27">
        <f>$K99*Q99*负载统计!$K$8/60</f>
        <v>0.00203466666666667</v>
      </c>
      <c r="AJ99" s="27">
        <f>$K99*R99*负载统计!$K$9/60</f>
        <v>0.000646333333333333</v>
      </c>
      <c r="AK99" s="27">
        <f>$K99*S99*负载统计!$K$10/60</f>
        <v>2.33333333333333e-5</v>
      </c>
      <c r="AL99" s="27">
        <f>$K99*T99*负载统计!$K$11/60</f>
        <v>0.00133333333333333</v>
      </c>
    </row>
    <row r="100" spans="1:38">
      <c r="A100" s="1">
        <v>45</v>
      </c>
      <c r="B100" s="24" t="s">
        <v>1374</v>
      </c>
      <c r="C100" s="24" t="s">
        <v>1370</v>
      </c>
      <c r="D100" s="24" t="s">
        <v>1375</v>
      </c>
      <c r="E100" s="24" t="s">
        <v>377</v>
      </c>
      <c r="F100" s="24" t="s">
        <v>378</v>
      </c>
      <c r="G100" s="25">
        <f>VLOOKUP(A100,负载电气特性!A:G,7,FALSE)</f>
        <v>270</v>
      </c>
      <c r="H100" s="26" t="s">
        <v>61</v>
      </c>
      <c r="I100" s="25" t="s">
        <v>1706</v>
      </c>
      <c r="J100" s="24" t="s">
        <v>1708</v>
      </c>
      <c r="K100" s="25">
        <v>0</v>
      </c>
      <c r="L100" s="25">
        <v>0</v>
      </c>
      <c r="M100" s="25">
        <v>0</v>
      </c>
      <c r="N100" s="25">
        <v>0</v>
      </c>
      <c r="O100" s="25">
        <v>0</v>
      </c>
      <c r="P100" s="25">
        <v>0</v>
      </c>
      <c r="Q100" s="25">
        <v>0</v>
      </c>
      <c r="R100" s="25">
        <v>0</v>
      </c>
      <c r="S100" s="25">
        <v>0</v>
      </c>
      <c r="T100" s="25">
        <v>0</v>
      </c>
      <c r="U100" s="27" t="str">
        <f>_xlfn.LET(_xlpm.maxVal,_xlfn.MAXIFS($K:$K,$A:$A,A100),IF(AND(_xlpm.maxVal=K100,L100&lt;&gt;0),_xlpm.maxVal,""))</f>
        <v/>
      </c>
      <c r="V100" s="27" t="str">
        <f>_xlfn.LET(_xlpm.maxVal,_xlfn.MAXIFS($K:$K,$A:$A,A100),IF(AND(_xlpm.maxVal=K100,M100&lt;&gt;0),_xlpm.maxVal,""))</f>
        <v/>
      </c>
      <c r="W100" s="27" t="str">
        <f>_xlfn.LET(_xlpm.maxVal,_xlfn.MAXIFS($K:$K,$A:$A,A100),IF(AND(_xlpm.maxVal=K100,N100&lt;&gt;0),_xlpm.maxVal,""))</f>
        <v/>
      </c>
      <c r="X100" s="27" t="str">
        <f>_xlfn.LET(_xlpm.maxVal,_xlfn.MAXIFS($K:$K,$A:$A,A100),IF(AND(_xlpm.maxVal=K100,O100&lt;&gt;0),_xlpm.maxVal,""))</f>
        <v/>
      </c>
      <c r="Y100" s="27" t="str">
        <f>_xlfn.LET(_xlpm.maxVal,_xlfn.MAXIFS($K:$K,$A:$A,A100),IF(AND(_xlpm.maxVal=K100,P100&lt;&gt;0),_xlpm.maxVal,""))</f>
        <v/>
      </c>
      <c r="Z100" s="27" t="str">
        <f>_xlfn.LET(_xlpm.maxVal,_xlfn.MAXIFS($K:$K,$A:$A,A100),IF(AND(_xlpm.maxVal=K100,Q100&lt;&gt;0),_xlpm.maxVal,""))</f>
        <v/>
      </c>
      <c r="AA100" s="27" t="str">
        <f>_xlfn.LET(_xlpm.maxVal,_xlfn.MAXIFS($K:$K,$A:$A,A100),IF(AND(_xlpm.maxVal=K100,R100&lt;&gt;0),_xlpm.maxVal,""))</f>
        <v/>
      </c>
      <c r="AB100" s="27" t="str">
        <f>_xlfn.LET(_xlpm.maxVal,_xlfn.MAXIFS($K:$K,$A:$A,A100),IF(AND(_xlpm.maxVal=K100,S100&lt;&gt;0),_xlpm.maxVal,""))</f>
        <v/>
      </c>
      <c r="AC100" s="27" t="str">
        <f>_xlfn.LET(_xlpm.maxVal,_xlfn.MAXIFS($K:$K,$A:$A,A100),IF(AND(_xlpm.maxVal=K100,T100&lt;&gt;0),_xlpm.maxVal,""))</f>
        <v/>
      </c>
      <c r="AD100" s="27">
        <f>$K100*L100*负载统计!$K$3/60</f>
        <v>0</v>
      </c>
      <c r="AE100" s="27">
        <f>$K100*L100*负载统计!$K$4/60</f>
        <v>0</v>
      </c>
      <c r="AF100" s="27">
        <f>$K100*N100*负载统计!$K$5/60</f>
        <v>0</v>
      </c>
      <c r="AG100" s="27">
        <f>$K100*O100*负载统计!$K$6/60</f>
        <v>0</v>
      </c>
      <c r="AH100" s="27">
        <f>$K100*P100*负载统计!$K$7/60</f>
        <v>0</v>
      </c>
      <c r="AI100" s="27">
        <f>$K100*Q100*负载统计!$K$8/60</f>
        <v>0</v>
      </c>
      <c r="AJ100" s="27">
        <f>$K100*R100*负载统计!$K$9/60</f>
        <v>0</v>
      </c>
      <c r="AK100" s="27">
        <f>$K100*S100*负载统计!$K$10/60</f>
        <v>0</v>
      </c>
      <c r="AL100" s="27">
        <f>$K100*T100*负载统计!$K$11/60</f>
        <v>0</v>
      </c>
    </row>
    <row r="101" spans="1:38">
      <c r="A101" s="1">
        <v>46</v>
      </c>
      <c r="B101" s="24" t="s">
        <v>1376</v>
      </c>
      <c r="C101" s="24" t="s">
        <v>1370</v>
      </c>
      <c r="D101" s="24" t="s">
        <v>1375</v>
      </c>
      <c r="E101" s="24" t="s">
        <v>377</v>
      </c>
      <c r="F101" s="24" t="s">
        <v>378</v>
      </c>
      <c r="G101" s="25">
        <f>VLOOKUP(A101,负载电气特性!A:G,7,FALSE)</f>
        <v>28</v>
      </c>
      <c r="H101" s="26" t="s">
        <v>61</v>
      </c>
      <c r="I101" s="25" t="s">
        <v>1706</v>
      </c>
      <c r="J101" s="24" t="s">
        <v>1707</v>
      </c>
      <c r="K101" s="25">
        <v>0.05</v>
      </c>
      <c r="L101" s="25">
        <v>1</v>
      </c>
      <c r="M101" s="25">
        <v>1</v>
      </c>
      <c r="N101" s="25">
        <v>1</v>
      </c>
      <c r="O101" s="25">
        <v>1</v>
      </c>
      <c r="P101" s="25">
        <v>1</v>
      </c>
      <c r="Q101" s="25">
        <v>1</v>
      </c>
      <c r="R101" s="25">
        <v>1</v>
      </c>
      <c r="S101" s="25">
        <v>1</v>
      </c>
      <c r="T101" s="25">
        <v>1</v>
      </c>
      <c r="U101" s="27">
        <f>_xlfn.LET(_xlpm.maxVal,_xlfn.MAXIFS($K:$K,$A:$A,A101),IF(AND(_xlpm.maxVal=K101,L101&lt;&gt;0),_xlpm.maxVal,""))</f>
        <v>0.05</v>
      </c>
      <c r="V101" s="27">
        <f>_xlfn.LET(_xlpm.maxVal,_xlfn.MAXIFS($K:$K,$A:$A,A101),IF(AND(_xlpm.maxVal=K101,M101&lt;&gt;0),_xlpm.maxVal,""))</f>
        <v>0.05</v>
      </c>
      <c r="W101" s="27">
        <f>_xlfn.LET(_xlpm.maxVal,_xlfn.MAXIFS($K:$K,$A:$A,A101),IF(AND(_xlpm.maxVal=K101,N101&lt;&gt;0),_xlpm.maxVal,""))</f>
        <v>0.05</v>
      </c>
      <c r="X101" s="27">
        <f>_xlfn.LET(_xlpm.maxVal,_xlfn.MAXIFS($K:$K,$A:$A,A101),IF(AND(_xlpm.maxVal=K101,O101&lt;&gt;0),_xlpm.maxVal,""))</f>
        <v>0.05</v>
      </c>
      <c r="Y101" s="27">
        <f>_xlfn.LET(_xlpm.maxVal,_xlfn.MAXIFS($K:$K,$A:$A,A101),IF(AND(_xlpm.maxVal=K101,P101&lt;&gt;0),_xlpm.maxVal,""))</f>
        <v>0.05</v>
      </c>
      <c r="Z101" s="27">
        <f>_xlfn.LET(_xlpm.maxVal,_xlfn.MAXIFS($K:$K,$A:$A,A101),IF(AND(_xlpm.maxVal=K101,Q101&lt;&gt;0),_xlpm.maxVal,""))</f>
        <v>0.05</v>
      </c>
      <c r="AA101" s="27">
        <f>_xlfn.LET(_xlpm.maxVal,_xlfn.MAXIFS($K:$K,$A:$A,A101),IF(AND(_xlpm.maxVal=K101,R101&lt;&gt;0),_xlpm.maxVal,""))</f>
        <v>0.05</v>
      </c>
      <c r="AB101" s="27">
        <f>_xlfn.LET(_xlpm.maxVal,_xlfn.MAXIFS($K:$K,$A:$A,A101),IF(AND(_xlpm.maxVal=K101,S101&lt;&gt;0),_xlpm.maxVal,""))</f>
        <v>0.05</v>
      </c>
      <c r="AC101" s="27">
        <f>_xlfn.LET(_xlpm.maxVal,_xlfn.MAXIFS($K:$K,$A:$A,A101),IF(AND(_xlpm.maxVal=K101,T101&lt;&gt;0),_xlpm.maxVal,""))</f>
        <v>0.05</v>
      </c>
      <c r="AD101" s="27">
        <f>$K101*L101*负载统计!$K$3/60</f>
        <v>0</v>
      </c>
      <c r="AE101" s="27">
        <f>$K101*L101*负载统计!$K$4/60</f>
        <v>0</v>
      </c>
      <c r="AF101" s="27">
        <f>$K101*N101*负载统计!$K$5/60</f>
        <v>0.000833333333333333</v>
      </c>
      <c r="AG101" s="27">
        <f>$K101*O101*负载统计!$K$6/60</f>
        <v>0.0025</v>
      </c>
      <c r="AH101" s="27">
        <f>$K101*P101*负载统计!$K$7/60</f>
        <v>0.00564166666666667</v>
      </c>
      <c r="AI101" s="27">
        <f>$K101*Q101*负载统计!$K$8/60</f>
        <v>0.0363333333333333</v>
      </c>
      <c r="AJ101" s="27">
        <f>$K101*R101*负载统计!$K$9/60</f>
        <v>0.0115416666666667</v>
      </c>
      <c r="AK101" s="27">
        <f>$K101*S101*负载统计!$K$10/60</f>
        <v>0.000416666666666667</v>
      </c>
      <c r="AL101" s="27">
        <f>$K101*T101*负载统计!$K$11/60</f>
        <v>0.00333333333333333</v>
      </c>
    </row>
    <row r="102" spans="1:38">
      <c r="A102" s="1">
        <v>46</v>
      </c>
      <c r="B102" s="24" t="s">
        <v>1376</v>
      </c>
      <c r="C102" s="24" t="s">
        <v>1370</v>
      </c>
      <c r="D102" s="24" t="s">
        <v>1375</v>
      </c>
      <c r="E102" s="24" t="s">
        <v>377</v>
      </c>
      <c r="F102" s="24" t="s">
        <v>378</v>
      </c>
      <c r="G102" s="25">
        <f>VLOOKUP(A102,负载电气特性!A:G,7,FALSE)</f>
        <v>28</v>
      </c>
      <c r="H102" s="26" t="s">
        <v>61</v>
      </c>
      <c r="I102" s="25" t="s">
        <v>1706</v>
      </c>
      <c r="J102" s="24" t="s">
        <v>1708</v>
      </c>
      <c r="K102" s="25">
        <v>0</v>
      </c>
      <c r="L102" s="25">
        <v>0</v>
      </c>
      <c r="M102" s="25">
        <v>0</v>
      </c>
      <c r="N102" s="25">
        <v>0</v>
      </c>
      <c r="O102" s="25">
        <v>0</v>
      </c>
      <c r="P102" s="25">
        <v>0</v>
      </c>
      <c r="Q102" s="25">
        <v>0</v>
      </c>
      <c r="R102" s="25">
        <v>0</v>
      </c>
      <c r="S102" s="25">
        <v>0</v>
      </c>
      <c r="T102" s="25">
        <v>0</v>
      </c>
      <c r="U102" s="27" t="str">
        <f>_xlfn.LET(_xlpm.maxVal,_xlfn.MAXIFS($K:$K,$A:$A,A102),IF(AND(_xlpm.maxVal=K102,L102&lt;&gt;0),_xlpm.maxVal,""))</f>
        <v/>
      </c>
      <c r="V102" s="27" t="str">
        <f>_xlfn.LET(_xlpm.maxVal,_xlfn.MAXIFS($K:$K,$A:$A,A102),IF(AND(_xlpm.maxVal=K102,M102&lt;&gt;0),_xlpm.maxVal,""))</f>
        <v/>
      </c>
      <c r="W102" s="27" t="str">
        <f>_xlfn.LET(_xlpm.maxVal,_xlfn.MAXIFS($K:$K,$A:$A,A102),IF(AND(_xlpm.maxVal=K102,N102&lt;&gt;0),_xlpm.maxVal,""))</f>
        <v/>
      </c>
      <c r="X102" s="27" t="str">
        <f>_xlfn.LET(_xlpm.maxVal,_xlfn.MAXIFS($K:$K,$A:$A,A102),IF(AND(_xlpm.maxVal=K102,O102&lt;&gt;0),_xlpm.maxVal,""))</f>
        <v/>
      </c>
      <c r="Y102" s="27" t="str">
        <f>_xlfn.LET(_xlpm.maxVal,_xlfn.MAXIFS($K:$K,$A:$A,A102),IF(AND(_xlpm.maxVal=K102,P102&lt;&gt;0),_xlpm.maxVal,""))</f>
        <v/>
      </c>
      <c r="Z102" s="27" t="str">
        <f>_xlfn.LET(_xlpm.maxVal,_xlfn.MAXIFS($K:$K,$A:$A,A102),IF(AND(_xlpm.maxVal=K102,Q102&lt;&gt;0),_xlpm.maxVal,""))</f>
        <v/>
      </c>
      <c r="AA102" s="27" t="str">
        <f>_xlfn.LET(_xlpm.maxVal,_xlfn.MAXIFS($K:$K,$A:$A,A102),IF(AND(_xlpm.maxVal=K102,R102&lt;&gt;0),_xlpm.maxVal,""))</f>
        <v/>
      </c>
      <c r="AB102" s="27" t="str">
        <f>_xlfn.LET(_xlpm.maxVal,_xlfn.MAXIFS($K:$K,$A:$A,A102),IF(AND(_xlpm.maxVal=K102,S102&lt;&gt;0),_xlpm.maxVal,""))</f>
        <v/>
      </c>
      <c r="AC102" s="27" t="str">
        <f>_xlfn.LET(_xlpm.maxVal,_xlfn.MAXIFS($K:$K,$A:$A,A102),IF(AND(_xlpm.maxVal=K102,T102&lt;&gt;0),_xlpm.maxVal,""))</f>
        <v/>
      </c>
      <c r="AD102" s="27">
        <f>$K102*L102*负载统计!$K$3/60</f>
        <v>0</v>
      </c>
      <c r="AE102" s="27">
        <f>$K102*L102*负载统计!$K$4/60</f>
        <v>0</v>
      </c>
      <c r="AF102" s="27">
        <f>$K102*N102*负载统计!$K$5/60</f>
        <v>0</v>
      </c>
      <c r="AG102" s="27">
        <f>$K102*O102*负载统计!$K$6/60</f>
        <v>0</v>
      </c>
      <c r="AH102" s="27">
        <f>$K102*P102*负载统计!$K$7/60</f>
        <v>0</v>
      </c>
      <c r="AI102" s="27">
        <f>$K102*Q102*负载统计!$K$8/60</f>
        <v>0</v>
      </c>
      <c r="AJ102" s="27">
        <f>$K102*R102*负载统计!$K$9/60</f>
        <v>0</v>
      </c>
      <c r="AK102" s="27">
        <f>$K102*S102*负载统计!$K$10/60</f>
        <v>0</v>
      </c>
      <c r="AL102" s="27">
        <f>$K102*T102*负载统计!$K$11/60</f>
        <v>0</v>
      </c>
    </row>
    <row r="103" spans="1:38">
      <c r="A103" s="1">
        <v>47</v>
      </c>
      <c r="B103" s="24" t="s">
        <v>1377</v>
      </c>
      <c r="C103" s="24" t="s">
        <v>1370</v>
      </c>
      <c r="D103" s="24" t="s">
        <v>1378</v>
      </c>
      <c r="E103" s="24" t="s">
        <v>387</v>
      </c>
      <c r="F103" s="24" t="s">
        <v>388</v>
      </c>
      <c r="G103" s="25">
        <f>VLOOKUP(A103,负载电气特性!A:G,7,FALSE)</f>
        <v>28</v>
      </c>
      <c r="H103" s="26" t="s">
        <v>61</v>
      </c>
      <c r="I103" s="25" t="s">
        <v>1706</v>
      </c>
      <c r="J103" s="24" t="s">
        <v>1707</v>
      </c>
      <c r="K103" s="25">
        <v>0.14</v>
      </c>
      <c r="L103" s="25">
        <v>0</v>
      </c>
      <c r="M103" s="25">
        <v>0</v>
      </c>
      <c r="N103" s="25">
        <v>0</v>
      </c>
      <c r="O103" s="25">
        <v>1</v>
      </c>
      <c r="P103" s="25">
        <v>1</v>
      </c>
      <c r="Q103" s="25">
        <v>0</v>
      </c>
      <c r="R103" s="25">
        <v>1</v>
      </c>
      <c r="S103" s="25">
        <v>1</v>
      </c>
      <c r="T103" s="25">
        <v>1</v>
      </c>
      <c r="U103" s="27" t="str">
        <f>_xlfn.LET(_xlpm.maxVal,_xlfn.MAXIFS($K:$K,$A:$A,A103),IF(AND(_xlpm.maxVal=K103,L103&lt;&gt;0),_xlpm.maxVal,""))</f>
        <v/>
      </c>
      <c r="V103" s="27" t="str">
        <f>_xlfn.LET(_xlpm.maxVal,_xlfn.MAXIFS($K:$K,$A:$A,A103),IF(AND(_xlpm.maxVal=K103,M103&lt;&gt;0),_xlpm.maxVal,""))</f>
        <v/>
      </c>
      <c r="W103" s="27" t="str">
        <f>_xlfn.LET(_xlpm.maxVal,_xlfn.MAXIFS($K:$K,$A:$A,A103),IF(AND(_xlpm.maxVal=K103,N103&lt;&gt;0),_xlpm.maxVal,""))</f>
        <v/>
      </c>
      <c r="X103" s="27">
        <f>_xlfn.LET(_xlpm.maxVal,_xlfn.MAXIFS($K:$K,$A:$A,A103),IF(AND(_xlpm.maxVal=K103,O103&lt;&gt;0),_xlpm.maxVal,""))</f>
        <v>0.14</v>
      </c>
      <c r="Y103" s="27">
        <f>_xlfn.LET(_xlpm.maxVal,_xlfn.MAXIFS($K:$K,$A:$A,A103),IF(AND(_xlpm.maxVal=K103,P103&lt;&gt;0),_xlpm.maxVal,""))</f>
        <v>0.14</v>
      </c>
      <c r="Z103" s="27" t="str">
        <f>_xlfn.LET(_xlpm.maxVal,_xlfn.MAXIFS($K:$K,$A:$A,A103),IF(AND(_xlpm.maxVal=K103,Q103&lt;&gt;0),_xlpm.maxVal,""))</f>
        <v/>
      </c>
      <c r="AA103" s="27">
        <f>_xlfn.LET(_xlpm.maxVal,_xlfn.MAXIFS($K:$K,$A:$A,A103),IF(AND(_xlpm.maxVal=K103,R103&lt;&gt;0),_xlpm.maxVal,""))</f>
        <v>0.14</v>
      </c>
      <c r="AB103" s="27">
        <f>_xlfn.LET(_xlpm.maxVal,_xlfn.MAXIFS($K:$K,$A:$A,A103),IF(AND(_xlpm.maxVal=K103,S103&lt;&gt;0),_xlpm.maxVal,""))</f>
        <v>0.14</v>
      </c>
      <c r="AC103" s="27">
        <f>_xlfn.LET(_xlpm.maxVal,_xlfn.MAXIFS($K:$K,$A:$A,A103),IF(AND(_xlpm.maxVal=K103,T103&lt;&gt;0),_xlpm.maxVal,""))</f>
        <v>0.14</v>
      </c>
      <c r="AD103" s="27">
        <f>$K103*L103*负载统计!$K$3/60</f>
        <v>0</v>
      </c>
      <c r="AE103" s="27">
        <f>$K103*L103*负载统计!$K$4/60</f>
        <v>0</v>
      </c>
      <c r="AF103" s="27">
        <f>$K103*N103*负载统计!$K$5/60</f>
        <v>0</v>
      </c>
      <c r="AG103" s="27">
        <f>$K103*O103*负载统计!$K$6/60</f>
        <v>0.007</v>
      </c>
      <c r="AH103" s="27">
        <f>$K103*P103*负载统计!$K$7/60</f>
        <v>0.0157966666666667</v>
      </c>
      <c r="AI103" s="27">
        <f>$K103*Q103*负载统计!$K$8/60</f>
        <v>0</v>
      </c>
      <c r="AJ103" s="27">
        <f>$K103*R103*负载统计!$K$9/60</f>
        <v>0.0323166666666667</v>
      </c>
      <c r="AK103" s="27">
        <f>$K103*S103*负载统计!$K$10/60</f>
        <v>0.00116666666666667</v>
      </c>
      <c r="AL103" s="27">
        <f>$K103*T103*负载统计!$K$11/60</f>
        <v>0.00933333333333333</v>
      </c>
    </row>
    <row r="104" spans="1:38">
      <c r="A104" s="1">
        <v>47</v>
      </c>
      <c r="B104" s="24" t="s">
        <v>1377</v>
      </c>
      <c r="C104" s="24" t="s">
        <v>1370</v>
      </c>
      <c r="D104" s="24" t="s">
        <v>1378</v>
      </c>
      <c r="E104" s="24" t="s">
        <v>387</v>
      </c>
      <c r="F104" s="24" t="s">
        <v>388</v>
      </c>
      <c r="G104" s="25">
        <f>VLOOKUP(A104,负载电气特性!A:G,7,FALSE)</f>
        <v>28</v>
      </c>
      <c r="H104" s="26" t="s">
        <v>61</v>
      </c>
      <c r="I104" s="25" t="s">
        <v>1706</v>
      </c>
      <c r="J104" s="24" t="s">
        <v>1708</v>
      </c>
      <c r="K104" s="25">
        <v>0</v>
      </c>
      <c r="L104" s="25">
        <v>1</v>
      </c>
      <c r="M104" s="25">
        <v>1</v>
      </c>
      <c r="N104" s="25">
        <v>1</v>
      </c>
      <c r="O104" s="25">
        <v>0</v>
      </c>
      <c r="P104" s="25">
        <v>0</v>
      </c>
      <c r="Q104" s="25">
        <v>1</v>
      </c>
      <c r="R104" s="25">
        <v>0</v>
      </c>
      <c r="S104" s="25">
        <v>0</v>
      </c>
      <c r="T104" s="25">
        <v>0</v>
      </c>
      <c r="U104" s="27" t="str">
        <f>_xlfn.LET(_xlpm.maxVal,_xlfn.MAXIFS($K:$K,$A:$A,A104),IF(AND(_xlpm.maxVal=K104,L104&lt;&gt;0),_xlpm.maxVal,""))</f>
        <v/>
      </c>
      <c r="V104" s="27" t="str">
        <f>_xlfn.LET(_xlpm.maxVal,_xlfn.MAXIFS($K:$K,$A:$A,A104),IF(AND(_xlpm.maxVal=K104,M104&lt;&gt;0),_xlpm.maxVal,""))</f>
        <v/>
      </c>
      <c r="W104" s="27" t="str">
        <f>_xlfn.LET(_xlpm.maxVal,_xlfn.MAXIFS($K:$K,$A:$A,A104),IF(AND(_xlpm.maxVal=K104,N104&lt;&gt;0),_xlpm.maxVal,""))</f>
        <v/>
      </c>
      <c r="X104" s="27" t="str">
        <f>_xlfn.LET(_xlpm.maxVal,_xlfn.MAXIFS($K:$K,$A:$A,A104),IF(AND(_xlpm.maxVal=K104,O104&lt;&gt;0),_xlpm.maxVal,""))</f>
        <v/>
      </c>
      <c r="Y104" s="27" t="str">
        <f>_xlfn.LET(_xlpm.maxVal,_xlfn.MAXIFS($K:$K,$A:$A,A104),IF(AND(_xlpm.maxVal=K104,P104&lt;&gt;0),_xlpm.maxVal,""))</f>
        <v/>
      </c>
      <c r="Z104" s="27" t="str">
        <f>_xlfn.LET(_xlpm.maxVal,_xlfn.MAXIFS($K:$K,$A:$A,A104),IF(AND(_xlpm.maxVal=K104,Q104&lt;&gt;0),_xlpm.maxVal,""))</f>
        <v/>
      </c>
      <c r="AA104" s="27" t="str">
        <f>_xlfn.LET(_xlpm.maxVal,_xlfn.MAXIFS($K:$K,$A:$A,A104),IF(AND(_xlpm.maxVal=K104,R104&lt;&gt;0),_xlpm.maxVal,""))</f>
        <v/>
      </c>
      <c r="AB104" s="27" t="str">
        <f>_xlfn.LET(_xlpm.maxVal,_xlfn.MAXIFS($K:$K,$A:$A,A104),IF(AND(_xlpm.maxVal=K104,S104&lt;&gt;0),_xlpm.maxVal,""))</f>
        <v/>
      </c>
      <c r="AC104" s="27" t="str">
        <f>_xlfn.LET(_xlpm.maxVal,_xlfn.MAXIFS($K:$K,$A:$A,A104),IF(AND(_xlpm.maxVal=K104,T104&lt;&gt;0),_xlpm.maxVal,""))</f>
        <v/>
      </c>
      <c r="AD104" s="27">
        <f>$K104*L104*负载统计!$K$3/60</f>
        <v>0</v>
      </c>
      <c r="AE104" s="27">
        <f>$K104*L104*负载统计!$K$4/60</f>
        <v>0</v>
      </c>
      <c r="AF104" s="27">
        <f>$K104*N104*负载统计!$K$5/60</f>
        <v>0</v>
      </c>
      <c r="AG104" s="27">
        <f>$K104*O104*负载统计!$K$6/60</f>
        <v>0</v>
      </c>
      <c r="AH104" s="27">
        <f>$K104*P104*负载统计!$K$7/60</f>
        <v>0</v>
      </c>
      <c r="AI104" s="27">
        <f>$K104*Q104*负载统计!$K$8/60</f>
        <v>0</v>
      </c>
      <c r="AJ104" s="27">
        <f>$K104*R104*负载统计!$K$9/60</f>
        <v>0</v>
      </c>
      <c r="AK104" s="27">
        <f>$K104*S104*负载统计!$K$10/60</f>
        <v>0</v>
      </c>
      <c r="AL104" s="27">
        <f>$K104*T104*负载统计!$K$11/60</f>
        <v>0</v>
      </c>
    </row>
    <row r="105" spans="1:38">
      <c r="A105" s="1">
        <v>48</v>
      </c>
      <c r="B105" s="24" t="s">
        <v>1379</v>
      </c>
      <c r="C105" s="24" t="s">
        <v>1370</v>
      </c>
      <c r="D105" s="24" t="s">
        <v>1380</v>
      </c>
      <c r="E105" s="24" t="s">
        <v>391</v>
      </c>
      <c r="F105" s="24" t="s">
        <v>392</v>
      </c>
      <c r="G105" s="25">
        <f>VLOOKUP(A105,负载电气特性!A:G,7,FALSE)</f>
        <v>28</v>
      </c>
      <c r="H105" s="26" t="s">
        <v>61</v>
      </c>
      <c r="I105" s="25" t="s">
        <v>1706</v>
      </c>
      <c r="J105" s="24" t="s">
        <v>1707</v>
      </c>
      <c r="K105" s="25">
        <v>0.14</v>
      </c>
      <c r="L105" s="25">
        <v>0</v>
      </c>
      <c r="M105" s="25">
        <v>0</v>
      </c>
      <c r="N105" s="25">
        <v>0</v>
      </c>
      <c r="O105" s="25">
        <v>1</v>
      </c>
      <c r="P105" s="25">
        <v>1</v>
      </c>
      <c r="Q105" s="25">
        <v>0</v>
      </c>
      <c r="R105" s="25">
        <v>1</v>
      </c>
      <c r="S105" s="25">
        <v>1</v>
      </c>
      <c r="T105" s="25">
        <v>1</v>
      </c>
      <c r="U105" s="27" t="str">
        <f>_xlfn.LET(_xlpm.maxVal,_xlfn.MAXIFS($K:$K,$A:$A,A105),IF(AND(_xlpm.maxVal=K105,L105&lt;&gt;0),_xlpm.maxVal,""))</f>
        <v/>
      </c>
      <c r="V105" s="27" t="str">
        <f>_xlfn.LET(_xlpm.maxVal,_xlfn.MAXIFS($K:$K,$A:$A,A105),IF(AND(_xlpm.maxVal=K105,M105&lt;&gt;0),_xlpm.maxVal,""))</f>
        <v/>
      </c>
      <c r="W105" s="27" t="str">
        <f>_xlfn.LET(_xlpm.maxVal,_xlfn.MAXIFS($K:$K,$A:$A,A105),IF(AND(_xlpm.maxVal=K105,N105&lt;&gt;0),_xlpm.maxVal,""))</f>
        <v/>
      </c>
      <c r="X105" s="27">
        <f>_xlfn.LET(_xlpm.maxVal,_xlfn.MAXIFS($K:$K,$A:$A,A105),IF(AND(_xlpm.maxVal=K105,O105&lt;&gt;0),_xlpm.maxVal,""))</f>
        <v>0.14</v>
      </c>
      <c r="Y105" s="27">
        <f>_xlfn.LET(_xlpm.maxVal,_xlfn.MAXIFS($K:$K,$A:$A,A105),IF(AND(_xlpm.maxVal=K105,P105&lt;&gt;0),_xlpm.maxVal,""))</f>
        <v>0.14</v>
      </c>
      <c r="Z105" s="27" t="str">
        <f>_xlfn.LET(_xlpm.maxVal,_xlfn.MAXIFS($K:$K,$A:$A,A105),IF(AND(_xlpm.maxVal=K105,Q105&lt;&gt;0),_xlpm.maxVal,""))</f>
        <v/>
      </c>
      <c r="AA105" s="27">
        <f>_xlfn.LET(_xlpm.maxVal,_xlfn.MAXIFS($K:$K,$A:$A,A105),IF(AND(_xlpm.maxVal=K105,R105&lt;&gt;0),_xlpm.maxVal,""))</f>
        <v>0.14</v>
      </c>
      <c r="AB105" s="27">
        <f>_xlfn.LET(_xlpm.maxVal,_xlfn.MAXIFS($K:$K,$A:$A,A105),IF(AND(_xlpm.maxVal=K105,S105&lt;&gt;0),_xlpm.maxVal,""))</f>
        <v>0.14</v>
      </c>
      <c r="AC105" s="27">
        <f>_xlfn.LET(_xlpm.maxVal,_xlfn.MAXIFS($K:$K,$A:$A,A105),IF(AND(_xlpm.maxVal=K105,T105&lt;&gt;0),_xlpm.maxVal,""))</f>
        <v>0.14</v>
      </c>
      <c r="AD105" s="27">
        <f>$K105*L105*负载统计!$K$3/60</f>
        <v>0</v>
      </c>
      <c r="AE105" s="27">
        <f>$K105*L105*负载统计!$K$4/60</f>
        <v>0</v>
      </c>
      <c r="AF105" s="27">
        <f>$K105*N105*负载统计!$K$5/60</f>
        <v>0</v>
      </c>
      <c r="AG105" s="27">
        <f>$K105*O105*负载统计!$K$6/60</f>
        <v>0.007</v>
      </c>
      <c r="AH105" s="27">
        <f>$K105*P105*负载统计!$K$7/60</f>
        <v>0.0157966666666667</v>
      </c>
      <c r="AI105" s="27">
        <f>$K105*Q105*负载统计!$K$8/60</f>
        <v>0</v>
      </c>
      <c r="AJ105" s="27">
        <f>$K105*R105*负载统计!$K$9/60</f>
        <v>0.0323166666666667</v>
      </c>
      <c r="AK105" s="27">
        <f>$K105*S105*负载统计!$K$10/60</f>
        <v>0.00116666666666667</v>
      </c>
      <c r="AL105" s="27">
        <f>$K105*T105*负载统计!$K$11/60</f>
        <v>0.00933333333333333</v>
      </c>
    </row>
    <row r="106" spans="1:38">
      <c r="A106" s="1">
        <v>48</v>
      </c>
      <c r="B106" s="24" t="s">
        <v>1379</v>
      </c>
      <c r="C106" s="24" t="s">
        <v>1370</v>
      </c>
      <c r="D106" s="24" t="s">
        <v>1380</v>
      </c>
      <c r="E106" s="24" t="s">
        <v>391</v>
      </c>
      <c r="F106" s="24" t="s">
        <v>392</v>
      </c>
      <c r="G106" s="25">
        <f>VLOOKUP(A106,负载电气特性!A:G,7,FALSE)</f>
        <v>28</v>
      </c>
      <c r="H106" s="26" t="s">
        <v>61</v>
      </c>
      <c r="I106" s="25" t="s">
        <v>1706</v>
      </c>
      <c r="J106" s="24" t="s">
        <v>1708</v>
      </c>
      <c r="K106" s="25">
        <v>0</v>
      </c>
      <c r="L106" s="25">
        <v>1</v>
      </c>
      <c r="M106" s="25">
        <v>1</v>
      </c>
      <c r="N106" s="25">
        <v>1</v>
      </c>
      <c r="O106" s="25">
        <v>0</v>
      </c>
      <c r="P106" s="25">
        <v>0</v>
      </c>
      <c r="Q106" s="25">
        <v>1</v>
      </c>
      <c r="R106" s="25">
        <v>0</v>
      </c>
      <c r="S106" s="25">
        <v>0</v>
      </c>
      <c r="T106" s="25">
        <v>0</v>
      </c>
      <c r="U106" s="27" t="str">
        <f>_xlfn.LET(_xlpm.maxVal,_xlfn.MAXIFS($K:$K,$A:$A,A106),IF(AND(_xlpm.maxVal=K106,L106&lt;&gt;0),_xlpm.maxVal,""))</f>
        <v/>
      </c>
      <c r="V106" s="27" t="str">
        <f>_xlfn.LET(_xlpm.maxVal,_xlfn.MAXIFS($K:$K,$A:$A,A106),IF(AND(_xlpm.maxVal=K106,M106&lt;&gt;0),_xlpm.maxVal,""))</f>
        <v/>
      </c>
      <c r="W106" s="27" t="str">
        <f>_xlfn.LET(_xlpm.maxVal,_xlfn.MAXIFS($K:$K,$A:$A,A106),IF(AND(_xlpm.maxVal=K106,N106&lt;&gt;0),_xlpm.maxVal,""))</f>
        <v/>
      </c>
      <c r="X106" s="27" t="str">
        <f>_xlfn.LET(_xlpm.maxVal,_xlfn.MAXIFS($K:$K,$A:$A,A106),IF(AND(_xlpm.maxVal=K106,O106&lt;&gt;0),_xlpm.maxVal,""))</f>
        <v/>
      </c>
      <c r="Y106" s="27" t="str">
        <f>_xlfn.LET(_xlpm.maxVal,_xlfn.MAXIFS($K:$K,$A:$A,A106),IF(AND(_xlpm.maxVal=K106,P106&lt;&gt;0),_xlpm.maxVal,""))</f>
        <v/>
      </c>
      <c r="Z106" s="27" t="str">
        <f>_xlfn.LET(_xlpm.maxVal,_xlfn.MAXIFS($K:$K,$A:$A,A106),IF(AND(_xlpm.maxVal=K106,Q106&lt;&gt;0),_xlpm.maxVal,""))</f>
        <v/>
      </c>
      <c r="AA106" s="27" t="str">
        <f>_xlfn.LET(_xlpm.maxVal,_xlfn.MAXIFS($K:$K,$A:$A,A106),IF(AND(_xlpm.maxVal=K106,R106&lt;&gt;0),_xlpm.maxVal,""))</f>
        <v/>
      </c>
      <c r="AB106" s="27" t="str">
        <f>_xlfn.LET(_xlpm.maxVal,_xlfn.MAXIFS($K:$K,$A:$A,A106),IF(AND(_xlpm.maxVal=K106,S106&lt;&gt;0),_xlpm.maxVal,""))</f>
        <v/>
      </c>
      <c r="AC106" s="27" t="str">
        <f>_xlfn.LET(_xlpm.maxVal,_xlfn.MAXIFS($K:$K,$A:$A,A106),IF(AND(_xlpm.maxVal=K106,T106&lt;&gt;0),_xlpm.maxVal,""))</f>
        <v/>
      </c>
      <c r="AD106" s="27">
        <f>$K106*L106*负载统计!$K$3/60</f>
        <v>0</v>
      </c>
      <c r="AE106" s="27">
        <f>$K106*L106*负载统计!$K$4/60</f>
        <v>0</v>
      </c>
      <c r="AF106" s="27">
        <f>$K106*N106*负载统计!$K$5/60</f>
        <v>0</v>
      </c>
      <c r="AG106" s="27">
        <f>$K106*O106*负载统计!$K$6/60</f>
        <v>0</v>
      </c>
      <c r="AH106" s="27">
        <f>$K106*P106*负载统计!$K$7/60</f>
        <v>0</v>
      </c>
      <c r="AI106" s="27">
        <f>$K106*Q106*负载统计!$K$8/60</f>
        <v>0</v>
      </c>
      <c r="AJ106" s="27">
        <f>$K106*R106*负载统计!$K$9/60</f>
        <v>0</v>
      </c>
      <c r="AK106" s="27">
        <f>$K106*S106*负载统计!$K$10/60</f>
        <v>0</v>
      </c>
      <c r="AL106" s="27">
        <f>$K106*T106*负载统计!$K$11/60</f>
        <v>0</v>
      </c>
    </row>
    <row r="107" spans="1:38">
      <c r="A107" s="1">
        <v>49</v>
      </c>
      <c r="B107" s="24" t="s">
        <v>1381</v>
      </c>
      <c r="C107" s="24" t="s">
        <v>1370</v>
      </c>
      <c r="D107" s="24" t="s">
        <v>1382</v>
      </c>
      <c r="E107" s="24" t="s">
        <v>412</v>
      </c>
      <c r="F107" s="24" t="s">
        <v>413</v>
      </c>
      <c r="G107" s="25">
        <f>VLOOKUP(A107,负载电气特性!A:G,7,FALSE)</f>
        <v>28</v>
      </c>
      <c r="H107" s="26" t="s">
        <v>66</v>
      </c>
      <c r="I107" s="25" t="s">
        <v>1706</v>
      </c>
      <c r="J107" s="24" t="s">
        <v>1707</v>
      </c>
      <c r="K107" s="25">
        <v>0.3</v>
      </c>
      <c r="L107" s="25">
        <v>0</v>
      </c>
      <c r="M107" s="25">
        <v>0</v>
      </c>
      <c r="N107" s="25">
        <v>0</v>
      </c>
      <c r="O107" s="25">
        <v>0</v>
      </c>
      <c r="P107" s="25">
        <v>0.86</v>
      </c>
      <c r="Q107" s="25">
        <v>0.86</v>
      </c>
      <c r="R107" s="25">
        <v>0.86</v>
      </c>
      <c r="S107" s="25">
        <v>0.86</v>
      </c>
      <c r="T107" s="25">
        <v>0</v>
      </c>
      <c r="U107" s="27" t="str">
        <f>_xlfn.LET(_xlpm.maxVal,_xlfn.MAXIFS($K:$K,$A:$A,A107),IF(AND(_xlpm.maxVal=K107,L107&lt;&gt;0),_xlpm.maxVal,""))</f>
        <v/>
      </c>
      <c r="V107" s="27" t="str">
        <f>_xlfn.LET(_xlpm.maxVal,_xlfn.MAXIFS($K:$K,$A:$A,A107),IF(AND(_xlpm.maxVal=K107,M107&lt;&gt;0),_xlpm.maxVal,""))</f>
        <v/>
      </c>
      <c r="W107" s="27" t="str">
        <f>_xlfn.LET(_xlpm.maxVal,_xlfn.MAXIFS($K:$K,$A:$A,A107),IF(AND(_xlpm.maxVal=K107,N107&lt;&gt;0),_xlpm.maxVal,""))</f>
        <v/>
      </c>
      <c r="X107" s="27" t="str">
        <f>_xlfn.LET(_xlpm.maxVal,_xlfn.MAXIFS($K:$K,$A:$A,A107),IF(AND(_xlpm.maxVal=K107,O107&lt;&gt;0),_xlpm.maxVal,""))</f>
        <v/>
      </c>
      <c r="Y107" s="27">
        <f>_xlfn.LET(_xlpm.maxVal,_xlfn.MAXIFS($K:$K,$A:$A,A107),IF(AND(_xlpm.maxVal=K107,P107&lt;&gt;0),_xlpm.maxVal,""))</f>
        <v>0.3</v>
      </c>
      <c r="Z107" s="27">
        <f>_xlfn.LET(_xlpm.maxVal,_xlfn.MAXIFS($K:$K,$A:$A,A107),IF(AND(_xlpm.maxVal=K107,Q107&lt;&gt;0),_xlpm.maxVal,""))</f>
        <v>0.3</v>
      </c>
      <c r="AA107" s="27">
        <f>_xlfn.LET(_xlpm.maxVal,_xlfn.MAXIFS($K:$K,$A:$A,A107),IF(AND(_xlpm.maxVal=K107,R107&lt;&gt;0),_xlpm.maxVal,""))</f>
        <v>0.3</v>
      </c>
      <c r="AB107" s="27">
        <f>_xlfn.LET(_xlpm.maxVal,_xlfn.MAXIFS($K:$K,$A:$A,A107),IF(AND(_xlpm.maxVal=K107,S107&lt;&gt;0),_xlpm.maxVal,""))</f>
        <v>0.3</v>
      </c>
      <c r="AC107" s="27" t="str">
        <f>_xlfn.LET(_xlpm.maxVal,_xlfn.MAXIFS($K:$K,$A:$A,A107),IF(AND(_xlpm.maxVal=K107,T107&lt;&gt;0),_xlpm.maxVal,""))</f>
        <v/>
      </c>
      <c r="AD107" s="27">
        <f>$K107*L107*负载统计!$K$3/60</f>
        <v>0</v>
      </c>
      <c r="AE107" s="27">
        <f>$K107*L107*负载统计!$K$4/60</f>
        <v>0</v>
      </c>
      <c r="AF107" s="27">
        <f>$K107*N107*负载统计!$K$5/60</f>
        <v>0</v>
      </c>
      <c r="AG107" s="27">
        <f>$K107*O107*负载统计!$K$6/60</f>
        <v>0</v>
      </c>
      <c r="AH107" s="27">
        <f>$K107*P107*负载统计!$K$7/60</f>
        <v>0.029111</v>
      </c>
      <c r="AI107" s="27">
        <f>$K107*Q107*负载统计!$K$8/60</f>
        <v>0.18748</v>
      </c>
      <c r="AJ107" s="27">
        <f>$K107*R107*负载统计!$K$9/60</f>
        <v>0.059555</v>
      </c>
      <c r="AK107" s="27">
        <f>$K107*S107*负载统计!$K$10/60</f>
        <v>0.00215</v>
      </c>
      <c r="AL107" s="27">
        <f>$K107*T107*负载统计!$K$11/60</f>
        <v>0</v>
      </c>
    </row>
    <row r="108" spans="1:38">
      <c r="A108" s="1">
        <v>49</v>
      </c>
      <c r="B108" s="24" t="s">
        <v>1381</v>
      </c>
      <c r="C108" s="24" t="s">
        <v>1370</v>
      </c>
      <c r="D108" s="24" t="s">
        <v>1382</v>
      </c>
      <c r="E108" s="24" t="s">
        <v>412</v>
      </c>
      <c r="F108" s="24" t="s">
        <v>413</v>
      </c>
      <c r="G108" s="25">
        <f>VLOOKUP(A108,负载电气特性!A:G,7,FALSE)</f>
        <v>28</v>
      </c>
      <c r="H108" s="26" t="s">
        <v>66</v>
      </c>
      <c r="I108" s="25" t="s">
        <v>1706</v>
      </c>
      <c r="J108" s="25" t="s">
        <v>1712</v>
      </c>
      <c r="K108" s="25">
        <v>0.03</v>
      </c>
      <c r="L108" s="25">
        <v>1</v>
      </c>
      <c r="M108" s="25">
        <v>1</v>
      </c>
      <c r="N108" s="25">
        <v>1</v>
      </c>
      <c r="O108" s="25">
        <v>1</v>
      </c>
      <c r="P108" s="25">
        <v>0.14</v>
      </c>
      <c r="Q108" s="25">
        <v>0.14</v>
      </c>
      <c r="R108" s="25">
        <v>0.14</v>
      </c>
      <c r="S108" s="25">
        <v>0.14</v>
      </c>
      <c r="T108" s="25">
        <v>1</v>
      </c>
      <c r="U108" s="27" t="str">
        <f>_xlfn.LET(_xlpm.maxVal,_xlfn.MAXIFS($K:$K,$A:$A,A108),IF(AND(_xlpm.maxVal=K108,L108&lt;&gt;0),_xlpm.maxVal,""))</f>
        <v/>
      </c>
      <c r="V108" s="27" t="str">
        <f>_xlfn.LET(_xlpm.maxVal,_xlfn.MAXIFS($K:$K,$A:$A,A108),IF(AND(_xlpm.maxVal=K108,M108&lt;&gt;0),_xlpm.maxVal,""))</f>
        <v/>
      </c>
      <c r="W108" s="27" t="str">
        <f>_xlfn.LET(_xlpm.maxVal,_xlfn.MAXIFS($K:$K,$A:$A,A108),IF(AND(_xlpm.maxVal=K108,N108&lt;&gt;0),_xlpm.maxVal,""))</f>
        <v/>
      </c>
      <c r="X108" s="27" t="str">
        <f>_xlfn.LET(_xlpm.maxVal,_xlfn.MAXIFS($K:$K,$A:$A,A108),IF(AND(_xlpm.maxVal=K108,O108&lt;&gt;0),_xlpm.maxVal,""))</f>
        <v/>
      </c>
      <c r="Y108" s="27" t="str">
        <f>_xlfn.LET(_xlpm.maxVal,_xlfn.MAXIFS($K:$K,$A:$A,A108),IF(AND(_xlpm.maxVal=K108,P108&lt;&gt;0),_xlpm.maxVal,""))</f>
        <v/>
      </c>
      <c r="Z108" s="27" t="str">
        <f>_xlfn.LET(_xlpm.maxVal,_xlfn.MAXIFS($K:$K,$A:$A,A108),IF(AND(_xlpm.maxVal=K108,Q108&lt;&gt;0),_xlpm.maxVal,""))</f>
        <v/>
      </c>
      <c r="AA108" s="27" t="str">
        <f>_xlfn.LET(_xlpm.maxVal,_xlfn.MAXIFS($K:$K,$A:$A,A108),IF(AND(_xlpm.maxVal=K108,R108&lt;&gt;0),_xlpm.maxVal,""))</f>
        <v/>
      </c>
      <c r="AB108" s="27" t="str">
        <f>_xlfn.LET(_xlpm.maxVal,_xlfn.MAXIFS($K:$K,$A:$A,A108),IF(AND(_xlpm.maxVal=K108,S108&lt;&gt;0),_xlpm.maxVal,""))</f>
        <v/>
      </c>
      <c r="AC108" s="27" t="str">
        <f>_xlfn.LET(_xlpm.maxVal,_xlfn.MAXIFS($K:$K,$A:$A,A108),IF(AND(_xlpm.maxVal=K108,T108&lt;&gt;0),_xlpm.maxVal,""))</f>
        <v/>
      </c>
      <c r="AD108" s="27">
        <f>$K108*L108*负载统计!$K$3/60</f>
        <v>0</v>
      </c>
      <c r="AE108" s="27">
        <f>$K108*L108*负载统计!$K$4/60</f>
        <v>0</v>
      </c>
      <c r="AF108" s="27">
        <f>$K108*N108*负载统计!$K$5/60</f>
        <v>0.0005</v>
      </c>
      <c r="AG108" s="27">
        <f>$K108*O108*负载统计!$K$6/60</f>
        <v>0.0015</v>
      </c>
      <c r="AH108" s="27">
        <f>$K108*P108*负载统计!$K$7/60</f>
        <v>0.0004739</v>
      </c>
      <c r="AI108" s="27">
        <f>$K108*Q108*负载统计!$K$8/60</f>
        <v>0.003052</v>
      </c>
      <c r="AJ108" s="27">
        <f>$K108*R108*负载统计!$K$9/60</f>
        <v>0.0009695</v>
      </c>
      <c r="AK108" s="27">
        <f>$K108*S108*负载统计!$K$10/60</f>
        <v>3.5e-5</v>
      </c>
      <c r="AL108" s="27">
        <f>$K108*T108*负载统计!$K$11/60</f>
        <v>0.002</v>
      </c>
    </row>
    <row r="109" spans="1:38">
      <c r="A109" s="1">
        <v>49</v>
      </c>
      <c r="B109" s="24" t="s">
        <v>1381</v>
      </c>
      <c r="C109" s="24" t="s">
        <v>1370</v>
      </c>
      <c r="D109" s="24" t="s">
        <v>1382</v>
      </c>
      <c r="E109" s="24" t="s">
        <v>412</v>
      </c>
      <c r="F109" s="24" t="s">
        <v>413</v>
      </c>
      <c r="G109" s="25">
        <f>VLOOKUP(A109,负载电气特性!A:G,7,FALSE)</f>
        <v>28</v>
      </c>
      <c r="H109" s="26" t="s">
        <v>66</v>
      </c>
      <c r="I109" s="25" t="s">
        <v>1706</v>
      </c>
      <c r="J109" s="24" t="s">
        <v>1708</v>
      </c>
      <c r="K109" s="25">
        <v>0</v>
      </c>
      <c r="L109" s="25">
        <v>0</v>
      </c>
      <c r="M109" s="25">
        <v>0</v>
      </c>
      <c r="N109" s="25">
        <v>0</v>
      </c>
      <c r="O109" s="25">
        <v>0</v>
      </c>
      <c r="P109" s="25">
        <v>0</v>
      </c>
      <c r="Q109" s="25">
        <v>0</v>
      </c>
      <c r="R109" s="25">
        <v>0</v>
      </c>
      <c r="S109" s="25">
        <v>0</v>
      </c>
      <c r="T109" s="25">
        <v>0</v>
      </c>
      <c r="U109" s="27" t="str">
        <f>_xlfn.LET(_xlpm.maxVal,_xlfn.MAXIFS($K:$K,$A:$A,A109),IF(AND(_xlpm.maxVal=K109,L109&lt;&gt;0),_xlpm.maxVal,""))</f>
        <v/>
      </c>
      <c r="V109" s="27" t="str">
        <f>_xlfn.LET(_xlpm.maxVal,_xlfn.MAXIFS($K:$K,$A:$A,A109),IF(AND(_xlpm.maxVal=K109,M109&lt;&gt;0),_xlpm.maxVal,""))</f>
        <v/>
      </c>
      <c r="W109" s="27" t="str">
        <f>_xlfn.LET(_xlpm.maxVal,_xlfn.MAXIFS($K:$K,$A:$A,A109),IF(AND(_xlpm.maxVal=K109,N109&lt;&gt;0),_xlpm.maxVal,""))</f>
        <v/>
      </c>
      <c r="X109" s="27" t="str">
        <f>_xlfn.LET(_xlpm.maxVal,_xlfn.MAXIFS($K:$K,$A:$A,A109),IF(AND(_xlpm.maxVal=K109,O109&lt;&gt;0),_xlpm.maxVal,""))</f>
        <v/>
      </c>
      <c r="Y109" s="27" t="str">
        <f>_xlfn.LET(_xlpm.maxVal,_xlfn.MAXIFS($K:$K,$A:$A,A109),IF(AND(_xlpm.maxVal=K109,P109&lt;&gt;0),_xlpm.maxVal,""))</f>
        <v/>
      </c>
      <c r="Z109" s="27" t="str">
        <f>_xlfn.LET(_xlpm.maxVal,_xlfn.MAXIFS($K:$K,$A:$A,A109),IF(AND(_xlpm.maxVal=K109,Q109&lt;&gt;0),_xlpm.maxVal,""))</f>
        <v/>
      </c>
      <c r="AA109" s="27" t="str">
        <f>_xlfn.LET(_xlpm.maxVal,_xlfn.MAXIFS($K:$K,$A:$A,A109),IF(AND(_xlpm.maxVal=K109,R109&lt;&gt;0),_xlpm.maxVal,""))</f>
        <v/>
      </c>
      <c r="AB109" s="27" t="str">
        <f>_xlfn.LET(_xlpm.maxVal,_xlfn.MAXIFS($K:$K,$A:$A,A109),IF(AND(_xlpm.maxVal=K109,S109&lt;&gt;0),_xlpm.maxVal,""))</f>
        <v/>
      </c>
      <c r="AC109" s="27" t="str">
        <f>_xlfn.LET(_xlpm.maxVal,_xlfn.MAXIFS($K:$K,$A:$A,A109),IF(AND(_xlpm.maxVal=K109,T109&lt;&gt;0),_xlpm.maxVal,""))</f>
        <v/>
      </c>
      <c r="AD109" s="27">
        <f>$K109*L109*负载统计!$K$3/60</f>
        <v>0</v>
      </c>
      <c r="AE109" s="27">
        <f>$K109*L109*负载统计!$K$4/60</f>
        <v>0</v>
      </c>
      <c r="AF109" s="27">
        <f>$K109*N109*负载统计!$K$5/60</f>
        <v>0</v>
      </c>
      <c r="AG109" s="27">
        <f>$K109*O109*负载统计!$K$6/60</f>
        <v>0</v>
      </c>
      <c r="AH109" s="27">
        <f>$K109*P109*负载统计!$K$7/60</f>
        <v>0</v>
      </c>
      <c r="AI109" s="27">
        <f>$K109*Q109*负载统计!$K$8/60</f>
        <v>0</v>
      </c>
      <c r="AJ109" s="27">
        <f>$K109*R109*负载统计!$K$9/60</f>
        <v>0</v>
      </c>
      <c r="AK109" s="27">
        <f>$K109*S109*负载统计!$K$10/60</f>
        <v>0</v>
      </c>
      <c r="AL109" s="27">
        <f>$K109*T109*负载统计!$K$11/60</f>
        <v>0</v>
      </c>
    </row>
    <row r="110" spans="1:38">
      <c r="A110" s="1">
        <v>50</v>
      </c>
      <c r="B110" s="24" t="s">
        <v>1383</v>
      </c>
      <c r="C110" s="24" t="s">
        <v>1370</v>
      </c>
      <c r="D110" s="24" t="s">
        <v>1384</v>
      </c>
      <c r="E110" s="24" t="s">
        <v>415</v>
      </c>
      <c r="F110" s="24" t="s">
        <v>416</v>
      </c>
      <c r="G110" s="25">
        <f>VLOOKUP(A110,负载电气特性!A:G,7,FALSE)</f>
        <v>28</v>
      </c>
      <c r="H110" s="26" t="s">
        <v>66</v>
      </c>
      <c r="I110" s="25" t="s">
        <v>1706</v>
      </c>
      <c r="J110" s="24" t="s">
        <v>1707</v>
      </c>
      <c r="K110" s="25">
        <v>0.3</v>
      </c>
      <c r="L110" s="25">
        <v>0</v>
      </c>
      <c r="M110" s="25">
        <v>0</v>
      </c>
      <c r="N110" s="25">
        <v>0</v>
      </c>
      <c r="O110" s="25">
        <v>0</v>
      </c>
      <c r="P110" s="25">
        <v>0.86</v>
      </c>
      <c r="Q110" s="25">
        <v>0.86</v>
      </c>
      <c r="R110" s="25">
        <v>0.86</v>
      </c>
      <c r="S110" s="25">
        <v>0.86</v>
      </c>
      <c r="T110" s="25">
        <v>0</v>
      </c>
      <c r="U110" s="27" t="str">
        <f>_xlfn.LET(_xlpm.maxVal,_xlfn.MAXIFS($K:$K,$A:$A,A110),IF(AND(_xlpm.maxVal=K110,L110&lt;&gt;0),_xlpm.maxVal,""))</f>
        <v/>
      </c>
      <c r="V110" s="27" t="str">
        <f>_xlfn.LET(_xlpm.maxVal,_xlfn.MAXIFS($K:$K,$A:$A,A110),IF(AND(_xlpm.maxVal=K110,M110&lt;&gt;0),_xlpm.maxVal,""))</f>
        <v/>
      </c>
      <c r="W110" s="27" t="str">
        <f>_xlfn.LET(_xlpm.maxVal,_xlfn.MAXIFS($K:$K,$A:$A,A110),IF(AND(_xlpm.maxVal=K110,N110&lt;&gt;0),_xlpm.maxVal,""))</f>
        <v/>
      </c>
      <c r="X110" s="27" t="str">
        <f>_xlfn.LET(_xlpm.maxVal,_xlfn.MAXIFS($K:$K,$A:$A,A110),IF(AND(_xlpm.maxVal=K110,O110&lt;&gt;0),_xlpm.maxVal,""))</f>
        <v/>
      </c>
      <c r="Y110" s="27">
        <f>_xlfn.LET(_xlpm.maxVal,_xlfn.MAXIFS($K:$K,$A:$A,A110),IF(AND(_xlpm.maxVal=K110,P110&lt;&gt;0),_xlpm.maxVal,""))</f>
        <v>0.3</v>
      </c>
      <c r="Z110" s="27">
        <f>_xlfn.LET(_xlpm.maxVal,_xlfn.MAXIFS($K:$K,$A:$A,A110),IF(AND(_xlpm.maxVal=K110,Q110&lt;&gt;0),_xlpm.maxVal,""))</f>
        <v>0.3</v>
      </c>
      <c r="AA110" s="27">
        <f>_xlfn.LET(_xlpm.maxVal,_xlfn.MAXIFS($K:$K,$A:$A,A110),IF(AND(_xlpm.maxVal=K110,R110&lt;&gt;0),_xlpm.maxVal,""))</f>
        <v>0.3</v>
      </c>
      <c r="AB110" s="27">
        <f>_xlfn.LET(_xlpm.maxVal,_xlfn.MAXIFS($K:$K,$A:$A,A110),IF(AND(_xlpm.maxVal=K110,S110&lt;&gt;0),_xlpm.maxVal,""))</f>
        <v>0.3</v>
      </c>
      <c r="AC110" s="27" t="str">
        <f>_xlfn.LET(_xlpm.maxVal,_xlfn.MAXIFS($K:$K,$A:$A,A110),IF(AND(_xlpm.maxVal=K110,T110&lt;&gt;0),_xlpm.maxVal,""))</f>
        <v/>
      </c>
      <c r="AD110" s="27">
        <f>$K110*L110*负载统计!$K$3/60</f>
        <v>0</v>
      </c>
      <c r="AE110" s="27">
        <f>$K110*L110*负载统计!$K$4/60</f>
        <v>0</v>
      </c>
      <c r="AF110" s="27">
        <f>$K110*N110*负载统计!$K$5/60</f>
        <v>0</v>
      </c>
      <c r="AG110" s="27">
        <f>$K110*O110*负载统计!$K$6/60</f>
        <v>0</v>
      </c>
      <c r="AH110" s="27">
        <f>$K110*P110*负载统计!$K$7/60</f>
        <v>0.029111</v>
      </c>
      <c r="AI110" s="27">
        <f>$K110*Q110*负载统计!$K$8/60</f>
        <v>0.18748</v>
      </c>
      <c r="AJ110" s="27">
        <f>$K110*R110*负载统计!$K$9/60</f>
        <v>0.059555</v>
      </c>
      <c r="AK110" s="27">
        <f>$K110*S110*负载统计!$K$10/60</f>
        <v>0.00215</v>
      </c>
      <c r="AL110" s="27">
        <f>$K110*T110*负载统计!$K$11/60</f>
        <v>0</v>
      </c>
    </row>
    <row r="111" spans="1:38">
      <c r="A111" s="1">
        <v>50</v>
      </c>
      <c r="B111" s="24" t="s">
        <v>1383</v>
      </c>
      <c r="C111" s="24" t="s">
        <v>1370</v>
      </c>
      <c r="D111" s="24" t="s">
        <v>1384</v>
      </c>
      <c r="E111" s="24" t="s">
        <v>415</v>
      </c>
      <c r="F111" s="24" t="s">
        <v>416</v>
      </c>
      <c r="G111" s="25">
        <f>VLOOKUP(A111,负载电气特性!A:G,7,FALSE)</f>
        <v>28</v>
      </c>
      <c r="H111" s="26" t="s">
        <v>66</v>
      </c>
      <c r="I111" s="25" t="s">
        <v>1706</v>
      </c>
      <c r="J111" s="25" t="s">
        <v>1712</v>
      </c>
      <c r="K111" s="25">
        <v>0.03</v>
      </c>
      <c r="L111" s="25">
        <v>1</v>
      </c>
      <c r="M111" s="25">
        <v>1</v>
      </c>
      <c r="N111" s="25">
        <v>1</v>
      </c>
      <c r="O111" s="25">
        <v>1</v>
      </c>
      <c r="P111" s="25">
        <v>0.14</v>
      </c>
      <c r="Q111" s="25">
        <v>0.14</v>
      </c>
      <c r="R111" s="25">
        <v>0.14</v>
      </c>
      <c r="S111" s="25">
        <v>0.14</v>
      </c>
      <c r="T111" s="25">
        <v>1</v>
      </c>
      <c r="U111" s="27" t="str">
        <f>_xlfn.LET(_xlpm.maxVal,_xlfn.MAXIFS($K:$K,$A:$A,A111),IF(AND(_xlpm.maxVal=K111,L111&lt;&gt;0),_xlpm.maxVal,""))</f>
        <v/>
      </c>
      <c r="V111" s="27" t="str">
        <f>_xlfn.LET(_xlpm.maxVal,_xlfn.MAXIFS($K:$K,$A:$A,A111),IF(AND(_xlpm.maxVal=K111,M111&lt;&gt;0),_xlpm.maxVal,""))</f>
        <v/>
      </c>
      <c r="W111" s="27" t="str">
        <f>_xlfn.LET(_xlpm.maxVal,_xlfn.MAXIFS($K:$K,$A:$A,A111),IF(AND(_xlpm.maxVal=K111,N111&lt;&gt;0),_xlpm.maxVal,""))</f>
        <v/>
      </c>
      <c r="X111" s="27" t="str">
        <f>_xlfn.LET(_xlpm.maxVal,_xlfn.MAXIFS($K:$K,$A:$A,A111),IF(AND(_xlpm.maxVal=K111,O111&lt;&gt;0),_xlpm.maxVal,""))</f>
        <v/>
      </c>
      <c r="Y111" s="27" t="str">
        <f>_xlfn.LET(_xlpm.maxVal,_xlfn.MAXIFS($K:$K,$A:$A,A111),IF(AND(_xlpm.maxVal=K111,P111&lt;&gt;0),_xlpm.maxVal,""))</f>
        <v/>
      </c>
      <c r="Z111" s="27" t="str">
        <f>_xlfn.LET(_xlpm.maxVal,_xlfn.MAXIFS($K:$K,$A:$A,A111),IF(AND(_xlpm.maxVal=K111,Q111&lt;&gt;0),_xlpm.maxVal,""))</f>
        <v/>
      </c>
      <c r="AA111" s="27" t="str">
        <f>_xlfn.LET(_xlpm.maxVal,_xlfn.MAXIFS($K:$K,$A:$A,A111),IF(AND(_xlpm.maxVal=K111,R111&lt;&gt;0),_xlpm.maxVal,""))</f>
        <v/>
      </c>
      <c r="AB111" s="27" t="str">
        <f>_xlfn.LET(_xlpm.maxVal,_xlfn.MAXIFS($K:$K,$A:$A,A111),IF(AND(_xlpm.maxVal=K111,S111&lt;&gt;0),_xlpm.maxVal,""))</f>
        <v/>
      </c>
      <c r="AC111" s="27" t="str">
        <f>_xlfn.LET(_xlpm.maxVal,_xlfn.MAXIFS($K:$K,$A:$A,A111),IF(AND(_xlpm.maxVal=K111,T111&lt;&gt;0),_xlpm.maxVal,""))</f>
        <v/>
      </c>
      <c r="AD111" s="27">
        <f>$K111*L111*负载统计!$K$3/60</f>
        <v>0</v>
      </c>
      <c r="AE111" s="27">
        <f>$K111*L111*负载统计!$K$4/60</f>
        <v>0</v>
      </c>
      <c r="AF111" s="27">
        <f>$K111*N111*负载统计!$K$5/60</f>
        <v>0.0005</v>
      </c>
      <c r="AG111" s="27">
        <f>$K111*O111*负载统计!$K$6/60</f>
        <v>0.0015</v>
      </c>
      <c r="AH111" s="27">
        <f>$K111*P111*负载统计!$K$7/60</f>
        <v>0.0004739</v>
      </c>
      <c r="AI111" s="27">
        <f>$K111*Q111*负载统计!$K$8/60</f>
        <v>0.003052</v>
      </c>
      <c r="AJ111" s="27">
        <f>$K111*R111*负载统计!$K$9/60</f>
        <v>0.0009695</v>
      </c>
      <c r="AK111" s="27">
        <f>$K111*S111*负载统计!$K$10/60</f>
        <v>3.5e-5</v>
      </c>
      <c r="AL111" s="27">
        <f>$K111*T111*负载统计!$K$11/60</f>
        <v>0.002</v>
      </c>
    </row>
    <row r="112" spans="1:38">
      <c r="A112" s="1">
        <v>50</v>
      </c>
      <c r="B112" s="24" t="s">
        <v>1383</v>
      </c>
      <c r="C112" s="24" t="s">
        <v>1370</v>
      </c>
      <c r="D112" s="24" t="s">
        <v>1384</v>
      </c>
      <c r="E112" s="24" t="s">
        <v>415</v>
      </c>
      <c r="F112" s="24" t="s">
        <v>416</v>
      </c>
      <c r="G112" s="25">
        <f>VLOOKUP(A112,负载电气特性!A:G,7,FALSE)</f>
        <v>28</v>
      </c>
      <c r="H112" s="26" t="s">
        <v>66</v>
      </c>
      <c r="I112" s="25" t="s">
        <v>1706</v>
      </c>
      <c r="J112" s="24" t="s">
        <v>1708</v>
      </c>
      <c r="K112" s="25">
        <v>0</v>
      </c>
      <c r="L112" s="25">
        <v>0</v>
      </c>
      <c r="M112" s="25">
        <v>0</v>
      </c>
      <c r="N112" s="25">
        <v>0</v>
      </c>
      <c r="O112" s="25">
        <v>0</v>
      </c>
      <c r="P112" s="25">
        <v>0</v>
      </c>
      <c r="Q112" s="25">
        <v>0</v>
      </c>
      <c r="R112" s="25">
        <v>0</v>
      </c>
      <c r="S112" s="25">
        <v>0</v>
      </c>
      <c r="T112" s="25">
        <v>0</v>
      </c>
      <c r="U112" s="27" t="str">
        <f>_xlfn.LET(_xlpm.maxVal,_xlfn.MAXIFS($K:$K,$A:$A,A112),IF(AND(_xlpm.maxVal=K112,L112&lt;&gt;0),_xlpm.maxVal,""))</f>
        <v/>
      </c>
      <c r="V112" s="27" t="str">
        <f>_xlfn.LET(_xlpm.maxVal,_xlfn.MAXIFS($K:$K,$A:$A,A112),IF(AND(_xlpm.maxVal=K112,M112&lt;&gt;0),_xlpm.maxVal,""))</f>
        <v/>
      </c>
      <c r="W112" s="27" t="str">
        <f>_xlfn.LET(_xlpm.maxVal,_xlfn.MAXIFS($K:$K,$A:$A,A112),IF(AND(_xlpm.maxVal=K112,N112&lt;&gt;0),_xlpm.maxVal,""))</f>
        <v/>
      </c>
      <c r="X112" s="27" t="str">
        <f>_xlfn.LET(_xlpm.maxVal,_xlfn.MAXIFS($K:$K,$A:$A,A112),IF(AND(_xlpm.maxVal=K112,O112&lt;&gt;0),_xlpm.maxVal,""))</f>
        <v/>
      </c>
      <c r="Y112" s="27" t="str">
        <f>_xlfn.LET(_xlpm.maxVal,_xlfn.MAXIFS($K:$K,$A:$A,A112),IF(AND(_xlpm.maxVal=K112,P112&lt;&gt;0),_xlpm.maxVal,""))</f>
        <v/>
      </c>
      <c r="Z112" s="27" t="str">
        <f>_xlfn.LET(_xlpm.maxVal,_xlfn.MAXIFS($K:$K,$A:$A,A112),IF(AND(_xlpm.maxVal=K112,Q112&lt;&gt;0),_xlpm.maxVal,""))</f>
        <v/>
      </c>
      <c r="AA112" s="27" t="str">
        <f>_xlfn.LET(_xlpm.maxVal,_xlfn.MAXIFS($K:$K,$A:$A,A112),IF(AND(_xlpm.maxVal=K112,R112&lt;&gt;0),_xlpm.maxVal,""))</f>
        <v/>
      </c>
      <c r="AB112" s="27" t="str">
        <f>_xlfn.LET(_xlpm.maxVal,_xlfn.MAXIFS($K:$K,$A:$A,A112),IF(AND(_xlpm.maxVal=K112,S112&lt;&gt;0),_xlpm.maxVal,""))</f>
        <v/>
      </c>
      <c r="AC112" s="27" t="str">
        <f>_xlfn.LET(_xlpm.maxVal,_xlfn.MAXIFS($K:$K,$A:$A,A112),IF(AND(_xlpm.maxVal=K112,T112&lt;&gt;0),_xlpm.maxVal,""))</f>
        <v/>
      </c>
      <c r="AD112" s="27">
        <f>$K112*L112*负载统计!$K$3/60</f>
        <v>0</v>
      </c>
      <c r="AE112" s="27">
        <f>$K112*L112*负载统计!$K$4/60</f>
        <v>0</v>
      </c>
      <c r="AF112" s="27">
        <f>$K112*N112*负载统计!$K$5/60</f>
        <v>0</v>
      </c>
      <c r="AG112" s="27">
        <f>$K112*O112*负载统计!$K$6/60</f>
        <v>0</v>
      </c>
      <c r="AH112" s="27">
        <f>$K112*P112*负载统计!$K$7/60</f>
        <v>0</v>
      </c>
      <c r="AI112" s="27">
        <f>$K112*Q112*负载统计!$K$8/60</f>
        <v>0</v>
      </c>
      <c r="AJ112" s="27">
        <f>$K112*R112*负载统计!$K$9/60</f>
        <v>0</v>
      </c>
      <c r="AK112" s="27">
        <f>$K112*S112*负载统计!$K$10/60</f>
        <v>0</v>
      </c>
      <c r="AL112" s="27">
        <f>$K112*T112*负载统计!$K$11/60</f>
        <v>0</v>
      </c>
    </row>
    <row r="113" spans="1:38">
      <c r="A113" s="1">
        <v>51</v>
      </c>
      <c r="B113" s="24" t="s">
        <v>1385</v>
      </c>
      <c r="C113" s="24" t="s">
        <v>1370</v>
      </c>
      <c r="D113" s="24" t="s">
        <v>417</v>
      </c>
      <c r="E113" s="24" t="s">
        <v>418</v>
      </c>
      <c r="F113" s="24" t="s">
        <v>419</v>
      </c>
      <c r="G113" s="25">
        <f>VLOOKUP(A113,负载电气特性!A:G,7,FALSE)</f>
        <v>28</v>
      </c>
      <c r="H113" s="26" t="s">
        <v>66</v>
      </c>
      <c r="I113" s="25" t="s">
        <v>1706</v>
      </c>
      <c r="J113" s="24" t="s">
        <v>1707</v>
      </c>
      <c r="K113" s="25">
        <v>0.01</v>
      </c>
      <c r="L113" s="25">
        <v>0</v>
      </c>
      <c r="M113" s="25">
        <v>0</v>
      </c>
      <c r="N113" s="25">
        <v>0</v>
      </c>
      <c r="O113" s="25">
        <v>0</v>
      </c>
      <c r="P113" s="25">
        <v>1</v>
      </c>
      <c r="Q113" s="25">
        <v>1</v>
      </c>
      <c r="R113" s="25">
        <v>1</v>
      </c>
      <c r="S113" s="25">
        <v>1</v>
      </c>
      <c r="T113" s="25">
        <v>0</v>
      </c>
      <c r="U113" s="27" t="str">
        <f>_xlfn.LET(_xlpm.maxVal,_xlfn.MAXIFS($K:$K,$A:$A,A113),IF(AND(_xlpm.maxVal=K113,L113&lt;&gt;0),_xlpm.maxVal,""))</f>
        <v/>
      </c>
      <c r="V113" s="27" t="str">
        <f>_xlfn.LET(_xlpm.maxVal,_xlfn.MAXIFS($K:$K,$A:$A,A113),IF(AND(_xlpm.maxVal=K113,M113&lt;&gt;0),_xlpm.maxVal,""))</f>
        <v/>
      </c>
      <c r="W113" s="27" t="str">
        <f>_xlfn.LET(_xlpm.maxVal,_xlfn.MAXIFS($K:$K,$A:$A,A113),IF(AND(_xlpm.maxVal=K113,N113&lt;&gt;0),_xlpm.maxVal,""))</f>
        <v/>
      </c>
      <c r="X113" s="27" t="str">
        <f>_xlfn.LET(_xlpm.maxVal,_xlfn.MAXIFS($K:$K,$A:$A,A113),IF(AND(_xlpm.maxVal=K113,O113&lt;&gt;0),_xlpm.maxVal,""))</f>
        <v/>
      </c>
      <c r="Y113" s="27">
        <f>_xlfn.LET(_xlpm.maxVal,_xlfn.MAXIFS($K:$K,$A:$A,A113),IF(AND(_xlpm.maxVal=K113,P113&lt;&gt;0),_xlpm.maxVal,""))</f>
        <v>0.01</v>
      </c>
      <c r="Z113" s="27">
        <f>_xlfn.LET(_xlpm.maxVal,_xlfn.MAXIFS($K:$K,$A:$A,A113),IF(AND(_xlpm.maxVal=K113,Q113&lt;&gt;0),_xlpm.maxVal,""))</f>
        <v>0.01</v>
      </c>
      <c r="AA113" s="27">
        <f>_xlfn.LET(_xlpm.maxVal,_xlfn.MAXIFS($K:$K,$A:$A,A113),IF(AND(_xlpm.maxVal=K113,R113&lt;&gt;0),_xlpm.maxVal,""))</f>
        <v>0.01</v>
      </c>
      <c r="AB113" s="27">
        <f>_xlfn.LET(_xlpm.maxVal,_xlfn.MAXIFS($K:$K,$A:$A,A113),IF(AND(_xlpm.maxVal=K113,S113&lt;&gt;0),_xlpm.maxVal,""))</f>
        <v>0.01</v>
      </c>
      <c r="AC113" s="27" t="str">
        <f>_xlfn.LET(_xlpm.maxVal,_xlfn.MAXIFS($K:$K,$A:$A,A113),IF(AND(_xlpm.maxVal=K113,T113&lt;&gt;0),_xlpm.maxVal,""))</f>
        <v/>
      </c>
      <c r="AD113" s="27">
        <f>$K113*L113*负载统计!$K$3/60</f>
        <v>0</v>
      </c>
      <c r="AE113" s="27">
        <f>$K113*L113*负载统计!$K$4/60</f>
        <v>0</v>
      </c>
      <c r="AF113" s="27">
        <f>$K113*N113*负载统计!$K$5/60</f>
        <v>0</v>
      </c>
      <c r="AG113" s="27">
        <f>$K113*O113*负载统计!$K$6/60</f>
        <v>0</v>
      </c>
      <c r="AH113" s="27">
        <f>$K113*P113*负载统计!$K$7/60</f>
        <v>0.00112833333333333</v>
      </c>
      <c r="AI113" s="27">
        <f>$K113*Q113*负载统计!$K$8/60</f>
        <v>0.00726666666666667</v>
      </c>
      <c r="AJ113" s="27">
        <f>$K113*R113*负载统计!$K$9/60</f>
        <v>0.00230833333333333</v>
      </c>
      <c r="AK113" s="27">
        <f>$K113*S113*负载统计!$K$10/60</f>
        <v>8.33333333333333e-5</v>
      </c>
      <c r="AL113" s="27">
        <f>$K113*T113*负载统计!$K$11/60</f>
        <v>0</v>
      </c>
    </row>
    <row r="114" spans="1:38">
      <c r="A114" s="1">
        <v>51</v>
      </c>
      <c r="B114" s="24" t="s">
        <v>1385</v>
      </c>
      <c r="C114" s="24" t="s">
        <v>1370</v>
      </c>
      <c r="D114" s="24" t="s">
        <v>417</v>
      </c>
      <c r="E114" s="24" t="s">
        <v>418</v>
      </c>
      <c r="F114" s="24" t="s">
        <v>419</v>
      </c>
      <c r="G114" s="25">
        <f>VLOOKUP(A114,负载电气特性!A:G,7,FALSE)</f>
        <v>28</v>
      </c>
      <c r="H114" s="26" t="s">
        <v>66</v>
      </c>
      <c r="I114" s="25" t="s">
        <v>1706</v>
      </c>
      <c r="J114" s="24" t="s">
        <v>1708</v>
      </c>
      <c r="K114" s="25">
        <v>0</v>
      </c>
      <c r="L114" s="25">
        <v>1</v>
      </c>
      <c r="M114" s="25">
        <v>1</v>
      </c>
      <c r="N114" s="25">
        <v>1</v>
      </c>
      <c r="O114" s="25">
        <v>1</v>
      </c>
      <c r="P114" s="25">
        <v>0</v>
      </c>
      <c r="Q114" s="25">
        <v>0</v>
      </c>
      <c r="R114" s="25">
        <v>0</v>
      </c>
      <c r="S114" s="25">
        <v>0</v>
      </c>
      <c r="T114" s="25">
        <v>1</v>
      </c>
      <c r="U114" s="27" t="str">
        <f>_xlfn.LET(_xlpm.maxVal,_xlfn.MAXIFS($K:$K,$A:$A,A114),IF(AND(_xlpm.maxVal=K114,L114&lt;&gt;0),_xlpm.maxVal,""))</f>
        <v/>
      </c>
      <c r="V114" s="27" t="str">
        <f>_xlfn.LET(_xlpm.maxVal,_xlfn.MAXIFS($K:$K,$A:$A,A114),IF(AND(_xlpm.maxVal=K114,M114&lt;&gt;0),_xlpm.maxVal,""))</f>
        <v/>
      </c>
      <c r="W114" s="27" t="str">
        <f>_xlfn.LET(_xlpm.maxVal,_xlfn.MAXIFS($K:$K,$A:$A,A114),IF(AND(_xlpm.maxVal=K114,N114&lt;&gt;0),_xlpm.maxVal,""))</f>
        <v/>
      </c>
      <c r="X114" s="27" t="str">
        <f>_xlfn.LET(_xlpm.maxVal,_xlfn.MAXIFS($K:$K,$A:$A,A114),IF(AND(_xlpm.maxVal=K114,O114&lt;&gt;0),_xlpm.maxVal,""))</f>
        <v/>
      </c>
      <c r="Y114" s="27" t="str">
        <f>_xlfn.LET(_xlpm.maxVal,_xlfn.MAXIFS($K:$K,$A:$A,A114),IF(AND(_xlpm.maxVal=K114,P114&lt;&gt;0),_xlpm.maxVal,""))</f>
        <v/>
      </c>
      <c r="Z114" s="27" t="str">
        <f>_xlfn.LET(_xlpm.maxVal,_xlfn.MAXIFS($K:$K,$A:$A,A114),IF(AND(_xlpm.maxVal=K114,Q114&lt;&gt;0),_xlpm.maxVal,""))</f>
        <v/>
      </c>
      <c r="AA114" s="27" t="str">
        <f>_xlfn.LET(_xlpm.maxVal,_xlfn.MAXIFS($K:$K,$A:$A,A114),IF(AND(_xlpm.maxVal=K114,R114&lt;&gt;0),_xlpm.maxVal,""))</f>
        <v/>
      </c>
      <c r="AB114" s="27" t="str">
        <f>_xlfn.LET(_xlpm.maxVal,_xlfn.MAXIFS($K:$K,$A:$A,A114),IF(AND(_xlpm.maxVal=K114,S114&lt;&gt;0),_xlpm.maxVal,""))</f>
        <v/>
      </c>
      <c r="AC114" s="27" t="str">
        <f>_xlfn.LET(_xlpm.maxVal,_xlfn.MAXIFS($K:$K,$A:$A,A114),IF(AND(_xlpm.maxVal=K114,T114&lt;&gt;0),_xlpm.maxVal,""))</f>
        <v/>
      </c>
      <c r="AD114" s="27">
        <f>$K114*L114*负载统计!$K$3/60</f>
        <v>0</v>
      </c>
      <c r="AE114" s="27">
        <f>$K114*L114*负载统计!$K$4/60</f>
        <v>0</v>
      </c>
      <c r="AF114" s="27">
        <f>$K114*N114*负载统计!$K$5/60</f>
        <v>0</v>
      </c>
      <c r="AG114" s="27">
        <f>$K114*O114*负载统计!$K$6/60</f>
        <v>0</v>
      </c>
      <c r="AH114" s="27">
        <f>$K114*P114*负载统计!$K$7/60</f>
        <v>0</v>
      </c>
      <c r="AI114" s="27">
        <f>$K114*Q114*负载统计!$K$8/60</f>
        <v>0</v>
      </c>
      <c r="AJ114" s="27">
        <f>$K114*R114*负载统计!$K$9/60</f>
        <v>0</v>
      </c>
      <c r="AK114" s="27">
        <f>$K114*S114*负载统计!$K$10/60</f>
        <v>0</v>
      </c>
      <c r="AL114" s="27">
        <f>$K114*T114*负载统计!$K$11/60</f>
        <v>0</v>
      </c>
    </row>
    <row r="115" spans="1:38">
      <c r="A115" s="1">
        <v>52</v>
      </c>
      <c r="B115" s="24" t="s">
        <v>1386</v>
      </c>
      <c r="C115" s="24" t="s">
        <v>1387</v>
      </c>
      <c r="D115" s="24" t="s">
        <v>1388</v>
      </c>
      <c r="E115" s="24" t="s">
        <v>428</v>
      </c>
      <c r="F115" s="24" t="s">
        <v>429</v>
      </c>
      <c r="G115" s="25">
        <f>VLOOKUP(A115,负载电气特性!A:G,7,FALSE)</f>
        <v>28</v>
      </c>
      <c r="H115" s="26" t="s">
        <v>66</v>
      </c>
      <c r="I115" s="25" t="s">
        <v>1706</v>
      </c>
      <c r="J115" s="24" t="s">
        <v>1707</v>
      </c>
      <c r="K115" s="25">
        <v>0.004</v>
      </c>
      <c r="L115" s="25">
        <v>1</v>
      </c>
      <c r="M115" s="25">
        <v>1</v>
      </c>
      <c r="N115" s="25">
        <v>1</v>
      </c>
      <c r="O115" s="25">
        <v>1</v>
      </c>
      <c r="P115" s="25">
        <v>1</v>
      </c>
      <c r="Q115" s="25">
        <v>1</v>
      </c>
      <c r="R115" s="25">
        <v>1</v>
      </c>
      <c r="S115" s="25">
        <v>1</v>
      </c>
      <c r="T115" s="25">
        <v>1</v>
      </c>
      <c r="U115" s="27">
        <f>_xlfn.LET(_xlpm.maxVal,_xlfn.MAXIFS($K:$K,$A:$A,A115),IF(AND(_xlpm.maxVal=K115,L115&lt;&gt;0),_xlpm.maxVal,""))</f>
        <v>0.004</v>
      </c>
      <c r="V115" s="27">
        <f>_xlfn.LET(_xlpm.maxVal,_xlfn.MAXIFS($K:$K,$A:$A,A115),IF(AND(_xlpm.maxVal=K115,M115&lt;&gt;0),_xlpm.maxVal,""))</f>
        <v>0.004</v>
      </c>
      <c r="W115" s="27">
        <f>_xlfn.LET(_xlpm.maxVal,_xlfn.MAXIFS($K:$K,$A:$A,A115),IF(AND(_xlpm.maxVal=K115,N115&lt;&gt;0),_xlpm.maxVal,""))</f>
        <v>0.004</v>
      </c>
      <c r="X115" s="27">
        <f>_xlfn.LET(_xlpm.maxVal,_xlfn.MAXIFS($K:$K,$A:$A,A115),IF(AND(_xlpm.maxVal=K115,O115&lt;&gt;0),_xlpm.maxVal,""))</f>
        <v>0.004</v>
      </c>
      <c r="Y115" s="27">
        <f>_xlfn.LET(_xlpm.maxVal,_xlfn.MAXIFS($K:$K,$A:$A,A115),IF(AND(_xlpm.maxVal=K115,P115&lt;&gt;0),_xlpm.maxVal,""))</f>
        <v>0.004</v>
      </c>
      <c r="Z115" s="27">
        <f>_xlfn.LET(_xlpm.maxVal,_xlfn.MAXIFS($K:$K,$A:$A,A115),IF(AND(_xlpm.maxVal=K115,Q115&lt;&gt;0),_xlpm.maxVal,""))</f>
        <v>0.004</v>
      </c>
      <c r="AA115" s="27">
        <f>_xlfn.LET(_xlpm.maxVal,_xlfn.MAXIFS($K:$K,$A:$A,A115),IF(AND(_xlpm.maxVal=K115,R115&lt;&gt;0),_xlpm.maxVal,""))</f>
        <v>0.004</v>
      </c>
      <c r="AB115" s="27">
        <f>_xlfn.LET(_xlpm.maxVal,_xlfn.MAXIFS($K:$K,$A:$A,A115),IF(AND(_xlpm.maxVal=K115,S115&lt;&gt;0),_xlpm.maxVal,""))</f>
        <v>0.004</v>
      </c>
      <c r="AC115" s="27">
        <f>_xlfn.LET(_xlpm.maxVal,_xlfn.MAXIFS($K:$K,$A:$A,A115),IF(AND(_xlpm.maxVal=K115,T115&lt;&gt;0),_xlpm.maxVal,""))</f>
        <v>0.004</v>
      </c>
      <c r="AD115" s="27">
        <f>$K115*L115*负载统计!$K$3/60</f>
        <v>0</v>
      </c>
      <c r="AE115" s="27">
        <f>$K115*L115*负载统计!$K$4/60</f>
        <v>0</v>
      </c>
      <c r="AF115" s="27">
        <f>$K115*N115*负载统计!$K$5/60</f>
        <v>6.66666666666667e-5</v>
      </c>
      <c r="AG115" s="27">
        <f>$K115*O115*负载统计!$K$6/60</f>
        <v>0.0002</v>
      </c>
      <c r="AH115" s="27">
        <f>$K115*P115*负载统计!$K$7/60</f>
        <v>0.000451333333333333</v>
      </c>
      <c r="AI115" s="27">
        <f>$K115*Q115*负载统计!$K$8/60</f>
        <v>0.00290666666666667</v>
      </c>
      <c r="AJ115" s="27">
        <f>$K115*R115*负载统计!$K$9/60</f>
        <v>0.000923333333333333</v>
      </c>
      <c r="AK115" s="27">
        <f>$K115*S115*负载统计!$K$10/60</f>
        <v>3.33333333333333e-5</v>
      </c>
      <c r="AL115" s="27">
        <f>$K115*T115*负载统计!$K$11/60</f>
        <v>0.000266666666666667</v>
      </c>
    </row>
    <row r="116" spans="1:38">
      <c r="A116" s="1">
        <v>52</v>
      </c>
      <c r="B116" s="24" t="s">
        <v>1386</v>
      </c>
      <c r="C116" s="24" t="s">
        <v>1387</v>
      </c>
      <c r="D116" s="24" t="s">
        <v>1388</v>
      </c>
      <c r="E116" s="24" t="s">
        <v>428</v>
      </c>
      <c r="F116" s="24" t="s">
        <v>429</v>
      </c>
      <c r="G116" s="25">
        <f>VLOOKUP(A116,负载电气特性!A:G,7,FALSE)</f>
        <v>28</v>
      </c>
      <c r="H116" s="26" t="s">
        <v>66</v>
      </c>
      <c r="I116" s="25" t="s">
        <v>1706</v>
      </c>
      <c r="J116" s="24" t="s">
        <v>1708</v>
      </c>
      <c r="K116" s="25">
        <v>0</v>
      </c>
      <c r="L116" s="25">
        <v>0</v>
      </c>
      <c r="M116" s="25">
        <v>0</v>
      </c>
      <c r="N116" s="25">
        <v>0</v>
      </c>
      <c r="O116" s="25">
        <v>0</v>
      </c>
      <c r="P116" s="25">
        <v>0</v>
      </c>
      <c r="Q116" s="25">
        <v>0</v>
      </c>
      <c r="R116" s="25">
        <v>0</v>
      </c>
      <c r="S116" s="25">
        <v>0</v>
      </c>
      <c r="T116" s="25">
        <v>0</v>
      </c>
      <c r="U116" s="27" t="str">
        <f>_xlfn.LET(_xlpm.maxVal,_xlfn.MAXIFS($K:$K,$A:$A,A116),IF(AND(_xlpm.maxVal=K116,L116&lt;&gt;0),_xlpm.maxVal,""))</f>
        <v/>
      </c>
      <c r="V116" s="27" t="str">
        <f>_xlfn.LET(_xlpm.maxVal,_xlfn.MAXIFS($K:$K,$A:$A,A116),IF(AND(_xlpm.maxVal=K116,M116&lt;&gt;0),_xlpm.maxVal,""))</f>
        <v/>
      </c>
      <c r="W116" s="27" t="str">
        <f>_xlfn.LET(_xlpm.maxVal,_xlfn.MAXIFS($K:$K,$A:$A,A116),IF(AND(_xlpm.maxVal=K116,N116&lt;&gt;0),_xlpm.maxVal,""))</f>
        <v/>
      </c>
      <c r="X116" s="27" t="str">
        <f>_xlfn.LET(_xlpm.maxVal,_xlfn.MAXIFS($K:$K,$A:$A,A116),IF(AND(_xlpm.maxVal=K116,O116&lt;&gt;0),_xlpm.maxVal,""))</f>
        <v/>
      </c>
      <c r="Y116" s="27" t="str">
        <f>_xlfn.LET(_xlpm.maxVal,_xlfn.MAXIFS($K:$K,$A:$A,A116),IF(AND(_xlpm.maxVal=K116,P116&lt;&gt;0),_xlpm.maxVal,""))</f>
        <v/>
      </c>
      <c r="Z116" s="27" t="str">
        <f>_xlfn.LET(_xlpm.maxVal,_xlfn.MAXIFS($K:$K,$A:$A,A116),IF(AND(_xlpm.maxVal=K116,Q116&lt;&gt;0),_xlpm.maxVal,""))</f>
        <v/>
      </c>
      <c r="AA116" s="27" t="str">
        <f>_xlfn.LET(_xlpm.maxVal,_xlfn.MAXIFS($K:$K,$A:$A,A116),IF(AND(_xlpm.maxVal=K116,R116&lt;&gt;0),_xlpm.maxVal,""))</f>
        <v/>
      </c>
      <c r="AB116" s="27" t="str">
        <f>_xlfn.LET(_xlpm.maxVal,_xlfn.MAXIFS($K:$K,$A:$A,A116),IF(AND(_xlpm.maxVal=K116,S116&lt;&gt;0),_xlpm.maxVal,""))</f>
        <v/>
      </c>
      <c r="AC116" s="27" t="str">
        <f>_xlfn.LET(_xlpm.maxVal,_xlfn.MAXIFS($K:$K,$A:$A,A116),IF(AND(_xlpm.maxVal=K116,T116&lt;&gt;0),_xlpm.maxVal,""))</f>
        <v/>
      </c>
      <c r="AD116" s="27">
        <f>$K116*L116*负载统计!$K$3/60</f>
        <v>0</v>
      </c>
      <c r="AE116" s="27">
        <f>$K116*L116*负载统计!$K$4/60</f>
        <v>0</v>
      </c>
      <c r="AF116" s="27">
        <f>$K116*N116*负载统计!$K$5/60</f>
        <v>0</v>
      </c>
      <c r="AG116" s="27">
        <f>$K116*O116*负载统计!$K$6/60</f>
        <v>0</v>
      </c>
      <c r="AH116" s="27">
        <f>$K116*P116*负载统计!$K$7/60</f>
        <v>0</v>
      </c>
      <c r="AI116" s="27">
        <f>$K116*Q116*负载统计!$K$8/60</f>
        <v>0</v>
      </c>
      <c r="AJ116" s="27">
        <f>$K116*R116*负载统计!$K$9/60</f>
        <v>0</v>
      </c>
      <c r="AK116" s="27">
        <f>$K116*S116*负载统计!$K$10/60</f>
        <v>0</v>
      </c>
      <c r="AL116" s="27">
        <f>$K116*T116*负载统计!$K$11/60</f>
        <v>0</v>
      </c>
    </row>
    <row r="117" spans="1:38">
      <c r="A117" s="1">
        <v>53</v>
      </c>
      <c r="B117" s="24" t="s">
        <v>1389</v>
      </c>
      <c r="C117" s="24" t="s">
        <v>1387</v>
      </c>
      <c r="D117" s="24" t="s">
        <v>1390</v>
      </c>
      <c r="E117" s="24" t="s">
        <v>432</v>
      </c>
      <c r="F117" s="24" t="s">
        <v>433</v>
      </c>
      <c r="G117" s="25">
        <f>VLOOKUP(A117,负载电气特性!A:G,7,FALSE)</f>
        <v>28</v>
      </c>
      <c r="H117" s="26" t="s">
        <v>61</v>
      </c>
      <c r="I117" s="25" t="s">
        <v>1706</v>
      </c>
      <c r="J117" s="24" t="s">
        <v>1707</v>
      </c>
      <c r="K117" s="25">
        <v>0.0014</v>
      </c>
      <c r="L117" s="25">
        <v>1</v>
      </c>
      <c r="M117" s="25">
        <v>1</v>
      </c>
      <c r="N117" s="25">
        <v>1</v>
      </c>
      <c r="O117" s="25">
        <v>1</v>
      </c>
      <c r="P117" s="25">
        <v>1</v>
      </c>
      <c r="Q117" s="25">
        <v>1</v>
      </c>
      <c r="R117" s="25">
        <v>1</v>
      </c>
      <c r="S117" s="25">
        <v>1</v>
      </c>
      <c r="T117" s="25">
        <v>1</v>
      </c>
      <c r="U117" s="27">
        <f>_xlfn.LET(_xlpm.maxVal,_xlfn.MAXIFS($K:$K,$A:$A,A117),IF(AND(_xlpm.maxVal=K117,L117&lt;&gt;0),_xlpm.maxVal,""))</f>
        <v>0.0014</v>
      </c>
      <c r="V117" s="27">
        <f>_xlfn.LET(_xlpm.maxVal,_xlfn.MAXIFS($K:$K,$A:$A,A117),IF(AND(_xlpm.maxVal=K117,M117&lt;&gt;0),_xlpm.maxVal,""))</f>
        <v>0.0014</v>
      </c>
      <c r="W117" s="27">
        <f>_xlfn.LET(_xlpm.maxVal,_xlfn.MAXIFS($K:$K,$A:$A,A117),IF(AND(_xlpm.maxVal=K117,N117&lt;&gt;0),_xlpm.maxVal,""))</f>
        <v>0.0014</v>
      </c>
      <c r="X117" s="27">
        <f>_xlfn.LET(_xlpm.maxVal,_xlfn.MAXIFS($K:$K,$A:$A,A117),IF(AND(_xlpm.maxVal=K117,O117&lt;&gt;0),_xlpm.maxVal,""))</f>
        <v>0.0014</v>
      </c>
      <c r="Y117" s="27">
        <f>_xlfn.LET(_xlpm.maxVal,_xlfn.MAXIFS($K:$K,$A:$A,A117),IF(AND(_xlpm.maxVal=K117,P117&lt;&gt;0),_xlpm.maxVal,""))</f>
        <v>0.0014</v>
      </c>
      <c r="Z117" s="27">
        <f>_xlfn.LET(_xlpm.maxVal,_xlfn.MAXIFS($K:$K,$A:$A,A117),IF(AND(_xlpm.maxVal=K117,Q117&lt;&gt;0),_xlpm.maxVal,""))</f>
        <v>0.0014</v>
      </c>
      <c r="AA117" s="27">
        <f>_xlfn.LET(_xlpm.maxVal,_xlfn.MAXIFS($K:$K,$A:$A,A117),IF(AND(_xlpm.maxVal=K117,R117&lt;&gt;0),_xlpm.maxVal,""))</f>
        <v>0.0014</v>
      </c>
      <c r="AB117" s="27">
        <f>_xlfn.LET(_xlpm.maxVal,_xlfn.MAXIFS($K:$K,$A:$A,A117),IF(AND(_xlpm.maxVal=K117,S117&lt;&gt;0),_xlpm.maxVal,""))</f>
        <v>0.0014</v>
      </c>
      <c r="AC117" s="27">
        <f>_xlfn.LET(_xlpm.maxVal,_xlfn.MAXIFS($K:$K,$A:$A,A117),IF(AND(_xlpm.maxVal=K117,T117&lt;&gt;0),_xlpm.maxVal,""))</f>
        <v>0.0014</v>
      </c>
      <c r="AD117" s="27">
        <f>$K117*L117*负载统计!$K$3/60</f>
        <v>0</v>
      </c>
      <c r="AE117" s="27">
        <f>$K117*L117*负载统计!$K$4/60</f>
        <v>0</v>
      </c>
      <c r="AF117" s="27">
        <f>$K117*N117*负载统计!$K$5/60</f>
        <v>2.33333333333333e-5</v>
      </c>
      <c r="AG117" s="27">
        <f>$K117*O117*负载统计!$K$6/60</f>
        <v>7e-5</v>
      </c>
      <c r="AH117" s="27">
        <f>$K117*P117*负载统计!$K$7/60</f>
        <v>0.000157966666666667</v>
      </c>
      <c r="AI117" s="27">
        <f>$K117*Q117*负载统计!$K$8/60</f>
        <v>0.00101733333333333</v>
      </c>
      <c r="AJ117" s="27">
        <f>$K117*R117*负载统计!$K$9/60</f>
        <v>0.000323166666666667</v>
      </c>
      <c r="AK117" s="27">
        <f>$K117*S117*负载统计!$K$10/60</f>
        <v>1.16666666666667e-5</v>
      </c>
      <c r="AL117" s="27">
        <f>$K117*T117*负载统计!$K$11/60</f>
        <v>9.33333333333333e-5</v>
      </c>
    </row>
    <row r="118" spans="1:38">
      <c r="A118" s="1">
        <v>53</v>
      </c>
      <c r="B118" s="24" t="s">
        <v>1389</v>
      </c>
      <c r="C118" s="24" t="s">
        <v>1387</v>
      </c>
      <c r="D118" s="24" t="s">
        <v>1390</v>
      </c>
      <c r="E118" s="24" t="s">
        <v>432</v>
      </c>
      <c r="F118" s="24" t="s">
        <v>433</v>
      </c>
      <c r="G118" s="25">
        <f>VLOOKUP(A118,负载电气特性!A:G,7,FALSE)</f>
        <v>28</v>
      </c>
      <c r="H118" s="26" t="s">
        <v>61</v>
      </c>
      <c r="I118" s="25" t="s">
        <v>1706</v>
      </c>
      <c r="J118" s="24" t="s">
        <v>1708</v>
      </c>
      <c r="K118" s="25">
        <v>0</v>
      </c>
      <c r="L118" s="25">
        <v>0</v>
      </c>
      <c r="M118" s="25">
        <v>0</v>
      </c>
      <c r="N118" s="25">
        <v>0</v>
      </c>
      <c r="O118" s="25">
        <v>0</v>
      </c>
      <c r="P118" s="25">
        <v>0</v>
      </c>
      <c r="Q118" s="25">
        <v>0</v>
      </c>
      <c r="R118" s="25">
        <v>0</v>
      </c>
      <c r="S118" s="25">
        <v>0</v>
      </c>
      <c r="T118" s="25">
        <v>0</v>
      </c>
      <c r="U118" s="27" t="str">
        <f>_xlfn.LET(_xlpm.maxVal,_xlfn.MAXIFS($K:$K,$A:$A,A118),IF(AND(_xlpm.maxVal=K118,L118&lt;&gt;0),_xlpm.maxVal,""))</f>
        <v/>
      </c>
      <c r="V118" s="27" t="str">
        <f>_xlfn.LET(_xlpm.maxVal,_xlfn.MAXIFS($K:$K,$A:$A,A118),IF(AND(_xlpm.maxVal=K118,M118&lt;&gt;0),_xlpm.maxVal,""))</f>
        <v/>
      </c>
      <c r="W118" s="27" t="str">
        <f>_xlfn.LET(_xlpm.maxVal,_xlfn.MAXIFS($K:$K,$A:$A,A118),IF(AND(_xlpm.maxVal=K118,N118&lt;&gt;0),_xlpm.maxVal,""))</f>
        <v/>
      </c>
      <c r="X118" s="27" t="str">
        <f>_xlfn.LET(_xlpm.maxVal,_xlfn.MAXIFS($K:$K,$A:$A,A118),IF(AND(_xlpm.maxVal=K118,O118&lt;&gt;0),_xlpm.maxVal,""))</f>
        <v/>
      </c>
      <c r="Y118" s="27" t="str">
        <f>_xlfn.LET(_xlpm.maxVal,_xlfn.MAXIFS($K:$K,$A:$A,A118),IF(AND(_xlpm.maxVal=K118,P118&lt;&gt;0),_xlpm.maxVal,""))</f>
        <v/>
      </c>
      <c r="Z118" s="27" t="str">
        <f>_xlfn.LET(_xlpm.maxVal,_xlfn.MAXIFS($K:$K,$A:$A,A118),IF(AND(_xlpm.maxVal=K118,Q118&lt;&gt;0),_xlpm.maxVal,""))</f>
        <v/>
      </c>
      <c r="AA118" s="27" t="str">
        <f>_xlfn.LET(_xlpm.maxVal,_xlfn.MAXIFS($K:$K,$A:$A,A118),IF(AND(_xlpm.maxVal=K118,R118&lt;&gt;0),_xlpm.maxVal,""))</f>
        <v/>
      </c>
      <c r="AB118" s="27" t="str">
        <f>_xlfn.LET(_xlpm.maxVal,_xlfn.MAXIFS($K:$K,$A:$A,A118),IF(AND(_xlpm.maxVal=K118,S118&lt;&gt;0),_xlpm.maxVal,""))</f>
        <v/>
      </c>
      <c r="AC118" s="27" t="str">
        <f>_xlfn.LET(_xlpm.maxVal,_xlfn.MAXIFS($K:$K,$A:$A,A118),IF(AND(_xlpm.maxVal=K118,T118&lt;&gt;0),_xlpm.maxVal,""))</f>
        <v/>
      </c>
      <c r="AD118" s="27">
        <f>$K118*L118*负载统计!$K$3/60</f>
        <v>0</v>
      </c>
      <c r="AE118" s="27">
        <f>$K118*L118*负载统计!$K$4/60</f>
        <v>0</v>
      </c>
      <c r="AF118" s="27">
        <f>$K118*N118*负载统计!$K$5/60</f>
        <v>0</v>
      </c>
      <c r="AG118" s="27">
        <f>$K118*O118*负载统计!$K$6/60</f>
        <v>0</v>
      </c>
      <c r="AH118" s="27">
        <f>$K118*P118*负载统计!$K$7/60</f>
        <v>0</v>
      </c>
      <c r="AI118" s="27">
        <f>$K118*Q118*负载统计!$K$8/60</f>
        <v>0</v>
      </c>
      <c r="AJ118" s="27">
        <f>$K118*R118*负载统计!$K$9/60</f>
        <v>0</v>
      </c>
      <c r="AK118" s="27">
        <f>$K118*S118*负载统计!$K$10/60</f>
        <v>0</v>
      </c>
      <c r="AL118" s="27">
        <f>$K118*T118*负载统计!$K$11/60</f>
        <v>0</v>
      </c>
    </row>
    <row r="119" spans="1:38">
      <c r="A119" s="1">
        <v>54</v>
      </c>
      <c r="B119" s="24" t="s">
        <v>1391</v>
      </c>
      <c r="C119" s="24" t="s">
        <v>1387</v>
      </c>
      <c r="D119" s="24" t="s">
        <v>434</v>
      </c>
      <c r="E119" s="24" t="s">
        <v>435</v>
      </c>
      <c r="F119" s="24" t="s">
        <v>436</v>
      </c>
      <c r="G119" s="25">
        <f>VLOOKUP(A119,负载电气特性!A:G,7,FALSE)</f>
        <v>28</v>
      </c>
      <c r="H119" s="26" t="s">
        <v>66</v>
      </c>
      <c r="I119" s="25" t="s">
        <v>1706</v>
      </c>
      <c r="J119" s="25" t="s">
        <v>1713</v>
      </c>
      <c r="K119" s="25">
        <v>0.15</v>
      </c>
      <c r="L119" s="25">
        <v>1</v>
      </c>
      <c r="M119" s="25">
        <v>1</v>
      </c>
      <c r="N119" s="25">
        <v>1</v>
      </c>
      <c r="O119" s="25">
        <v>1</v>
      </c>
      <c r="P119" s="25">
        <v>1</v>
      </c>
      <c r="Q119" s="25">
        <v>1</v>
      </c>
      <c r="R119" s="25">
        <v>1</v>
      </c>
      <c r="S119" s="25">
        <v>1</v>
      </c>
      <c r="T119" s="25">
        <v>1</v>
      </c>
      <c r="U119" s="27">
        <f>_xlfn.LET(_xlpm.maxVal,_xlfn.MAXIFS($K:$K,$A:$A,A119),IF(AND(_xlpm.maxVal=K119,L119&lt;&gt;0),_xlpm.maxVal,""))</f>
        <v>0.15</v>
      </c>
      <c r="V119" s="27">
        <f>_xlfn.LET(_xlpm.maxVal,_xlfn.MAXIFS($K:$K,$A:$A,A119),IF(AND(_xlpm.maxVal=K119,M119&lt;&gt;0),_xlpm.maxVal,""))</f>
        <v>0.15</v>
      </c>
      <c r="W119" s="27">
        <f>_xlfn.LET(_xlpm.maxVal,_xlfn.MAXIFS($K:$K,$A:$A,A119),IF(AND(_xlpm.maxVal=K119,N119&lt;&gt;0),_xlpm.maxVal,""))</f>
        <v>0.15</v>
      </c>
      <c r="X119" s="27">
        <f>_xlfn.LET(_xlpm.maxVal,_xlfn.MAXIFS($K:$K,$A:$A,A119),IF(AND(_xlpm.maxVal=K119,O119&lt;&gt;0),_xlpm.maxVal,""))</f>
        <v>0.15</v>
      </c>
      <c r="Y119" s="27">
        <f>_xlfn.LET(_xlpm.maxVal,_xlfn.MAXIFS($K:$K,$A:$A,A119),IF(AND(_xlpm.maxVal=K119,P119&lt;&gt;0),_xlpm.maxVal,""))</f>
        <v>0.15</v>
      </c>
      <c r="Z119" s="27">
        <f>_xlfn.LET(_xlpm.maxVal,_xlfn.MAXIFS($K:$K,$A:$A,A119),IF(AND(_xlpm.maxVal=K119,Q119&lt;&gt;0),_xlpm.maxVal,""))</f>
        <v>0.15</v>
      </c>
      <c r="AA119" s="27">
        <f>_xlfn.LET(_xlpm.maxVal,_xlfn.MAXIFS($K:$K,$A:$A,A119),IF(AND(_xlpm.maxVal=K119,R119&lt;&gt;0),_xlpm.maxVal,""))</f>
        <v>0.15</v>
      </c>
      <c r="AB119" s="27">
        <f>_xlfn.LET(_xlpm.maxVal,_xlfn.MAXIFS($K:$K,$A:$A,A119),IF(AND(_xlpm.maxVal=K119,S119&lt;&gt;0),_xlpm.maxVal,""))</f>
        <v>0.15</v>
      </c>
      <c r="AC119" s="27">
        <f>_xlfn.LET(_xlpm.maxVal,_xlfn.MAXIFS($K:$K,$A:$A,A119),IF(AND(_xlpm.maxVal=K119,T119&lt;&gt;0),_xlpm.maxVal,""))</f>
        <v>0.15</v>
      </c>
      <c r="AD119" s="27">
        <f>$K119*L119*负载统计!$K$3/60</f>
        <v>0</v>
      </c>
      <c r="AE119" s="27">
        <f>$K119*L119*负载统计!$K$4/60</f>
        <v>0</v>
      </c>
      <c r="AF119" s="27">
        <f>$K119*N119*负载统计!$K$5/60</f>
        <v>0.0025</v>
      </c>
      <c r="AG119" s="27">
        <f>$K119*O119*负载统计!$K$6/60</f>
        <v>0.0075</v>
      </c>
      <c r="AH119" s="27">
        <f>$K119*P119*负载统计!$K$7/60</f>
        <v>0.016925</v>
      </c>
      <c r="AI119" s="27">
        <f>$K119*Q119*负载统计!$K$8/60</f>
        <v>0.109</v>
      </c>
      <c r="AJ119" s="27">
        <f>$K119*R119*负载统计!$K$9/60</f>
        <v>0.034625</v>
      </c>
      <c r="AK119" s="27">
        <f>$K119*S119*负载统计!$K$10/60</f>
        <v>0.00125</v>
      </c>
      <c r="AL119" s="27">
        <f>$K119*T119*负载统计!$K$11/60</f>
        <v>0.01</v>
      </c>
    </row>
    <row r="120" spans="1:38">
      <c r="A120" s="1">
        <v>54</v>
      </c>
      <c r="B120" s="24" t="s">
        <v>1391</v>
      </c>
      <c r="C120" s="24" t="s">
        <v>1387</v>
      </c>
      <c r="D120" s="24" t="s">
        <v>434</v>
      </c>
      <c r="E120" s="24" t="s">
        <v>435</v>
      </c>
      <c r="F120" s="24" t="s">
        <v>436</v>
      </c>
      <c r="G120" s="25">
        <f>VLOOKUP(A120,负载电气特性!A:G,7,FALSE)</f>
        <v>28</v>
      </c>
      <c r="H120" s="26" t="s">
        <v>66</v>
      </c>
      <c r="I120" s="25" t="s">
        <v>1706</v>
      </c>
      <c r="J120" s="25" t="s">
        <v>1714</v>
      </c>
      <c r="K120" s="25">
        <v>0.1</v>
      </c>
      <c r="L120" s="25">
        <v>0</v>
      </c>
      <c r="M120" s="25">
        <v>0</v>
      </c>
      <c r="N120" s="25">
        <v>0</v>
      </c>
      <c r="O120" s="25">
        <v>0</v>
      </c>
      <c r="P120" s="25">
        <v>0</v>
      </c>
      <c r="Q120" s="25">
        <v>0</v>
      </c>
      <c r="R120" s="25">
        <v>0</v>
      </c>
      <c r="S120" s="25">
        <v>0</v>
      </c>
      <c r="T120" s="25">
        <v>0</v>
      </c>
      <c r="U120" s="27" t="str">
        <f>_xlfn.LET(_xlpm.maxVal,_xlfn.MAXIFS($K:$K,$A:$A,A120),IF(AND(_xlpm.maxVal=K120,L120&lt;&gt;0),_xlpm.maxVal,""))</f>
        <v/>
      </c>
      <c r="V120" s="27" t="str">
        <f>_xlfn.LET(_xlpm.maxVal,_xlfn.MAXIFS($K:$K,$A:$A,A120),IF(AND(_xlpm.maxVal=K120,M120&lt;&gt;0),_xlpm.maxVal,""))</f>
        <v/>
      </c>
      <c r="W120" s="27" t="str">
        <f>_xlfn.LET(_xlpm.maxVal,_xlfn.MAXIFS($K:$K,$A:$A,A120),IF(AND(_xlpm.maxVal=K120,N120&lt;&gt;0),_xlpm.maxVal,""))</f>
        <v/>
      </c>
      <c r="X120" s="27" t="str">
        <f>_xlfn.LET(_xlpm.maxVal,_xlfn.MAXIFS($K:$K,$A:$A,A120),IF(AND(_xlpm.maxVal=K120,O120&lt;&gt;0),_xlpm.maxVal,""))</f>
        <v/>
      </c>
      <c r="Y120" s="27" t="str">
        <f>_xlfn.LET(_xlpm.maxVal,_xlfn.MAXIFS($K:$K,$A:$A,A120),IF(AND(_xlpm.maxVal=K120,P120&lt;&gt;0),_xlpm.maxVal,""))</f>
        <v/>
      </c>
      <c r="Z120" s="27" t="str">
        <f>_xlfn.LET(_xlpm.maxVal,_xlfn.MAXIFS($K:$K,$A:$A,A120),IF(AND(_xlpm.maxVal=K120,Q120&lt;&gt;0),_xlpm.maxVal,""))</f>
        <v/>
      </c>
      <c r="AA120" s="27" t="str">
        <f>_xlfn.LET(_xlpm.maxVal,_xlfn.MAXIFS($K:$K,$A:$A,A120),IF(AND(_xlpm.maxVal=K120,R120&lt;&gt;0),_xlpm.maxVal,""))</f>
        <v/>
      </c>
      <c r="AB120" s="27" t="str">
        <f>_xlfn.LET(_xlpm.maxVal,_xlfn.MAXIFS($K:$K,$A:$A,A120),IF(AND(_xlpm.maxVal=K120,S120&lt;&gt;0),_xlpm.maxVal,""))</f>
        <v/>
      </c>
      <c r="AC120" s="27" t="str">
        <f>_xlfn.LET(_xlpm.maxVal,_xlfn.MAXIFS($K:$K,$A:$A,A120),IF(AND(_xlpm.maxVal=K120,T120&lt;&gt;0),_xlpm.maxVal,""))</f>
        <v/>
      </c>
      <c r="AD120" s="27">
        <f>$K120*L120*负载统计!$K$3/60</f>
        <v>0</v>
      </c>
      <c r="AE120" s="27">
        <f>$K120*L120*负载统计!$K$4/60</f>
        <v>0</v>
      </c>
      <c r="AF120" s="27">
        <f>$K120*N120*负载统计!$K$5/60</f>
        <v>0</v>
      </c>
      <c r="AG120" s="27">
        <f>$K120*O120*负载统计!$K$6/60</f>
        <v>0</v>
      </c>
      <c r="AH120" s="27">
        <f>$K120*P120*负载统计!$K$7/60</f>
        <v>0</v>
      </c>
      <c r="AI120" s="27">
        <f>$K120*Q120*负载统计!$K$8/60</f>
        <v>0</v>
      </c>
      <c r="AJ120" s="27">
        <f>$K120*R120*负载统计!$K$9/60</f>
        <v>0</v>
      </c>
      <c r="AK120" s="27">
        <f>$K120*S120*负载统计!$K$10/60</f>
        <v>0</v>
      </c>
      <c r="AL120" s="27">
        <f>$K120*T120*负载统计!$K$11/60</f>
        <v>0</v>
      </c>
    </row>
    <row r="121" spans="1:38">
      <c r="A121" s="1">
        <v>54</v>
      </c>
      <c r="B121" s="24" t="s">
        <v>1391</v>
      </c>
      <c r="C121" s="24" t="s">
        <v>1387</v>
      </c>
      <c r="D121" s="24" t="s">
        <v>434</v>
      </c>
      <c r="E121" s="24" t="s">
        <v>435</v>
      </c>
      <c r="F121" s="24" t="s">
        <v>436</v>
      </c>
      <c r="G121" s="25">
        <f>VLOOKUP(A121,负载电气特性!A:G,7,FALSE)</f>
        <v>28</v>
      </c>
      <c r="H121" s="26" t="s">
        <v>66</v>
      </c>
      <c r="I121" s="25" t="s">
        <v>1706</v>
      </c>
      <c r="J121" s="25" t="s">
        <v>1715</v>
      </c>
      <c r="K121" s="25">
        <v>0.08</v>
      </c>
      <c r="L121" s="25">
        <v>0</v>
      </c>
      <c r="M121" s="25">
        <v>0</v>
      </c>
      <c r="N121" s="25">
        <v>0</v>
      </c>
      <c r="O121" s="25">
        <v>0</v>
      </c>
      <c r="P121" s="25">
        <v>0</v>
      </c>
      <c r="Q121" s="25">
        <v>0</v>
      </c>
      <c r="R121" s="25">
        <v>0</v>
      </c>
      <c r="S121" s="25">
        <v>0</v>
      </c>
      <c r="T121" s="25">
        <v>0</v>
      </c>
      <c r="U121" s="27" t="str">
        <f>_xlfn.LET(_xlpm.maxVal,_xlfn.MAXIFS($K:$K,$A:$A,A121),IF(AND(_xlpm.maxVal=K121,L121&lt;&gt;0),_xlpm.maxVal,""))</f>
        <v/>
      </c>
      <c r="V121" s="27" t="str">
        <f>_xlfn.LET(_xlpm.maxVal,_xlfn.MAXIFS($K:$K,$A:$A,A121),IF(AND(_xlpm.maxVal=K121,M121&lt;&gt;0),_xlpm.maxVal,""))</f>
        <v/>
      </c>
      <c r="W121" s="27" t="str">
        <f>_xlfn.LET(_xlpm.maxVal,_xlfn.MAXIFS($K:$K,$A:$A,A121),IF(AND(_xlpm.maxVal=K121,N121&lt;&gt;0),_xlpm.maxVal,""))</f>
        <v/>
      </c>
      <c r="X121" s="27" t="str">
        <f>_xlfn.LET(_xlpm.maxVal,_xlfn.MAXIFS($K:$K,$A:$A,A121),IF(AND(_xlpm.maxVal=K121,O121&lt;&gt;0),_xlpm.maxVal,""))</f>
        <v/>
      </c>
      <c r="Y121" s="27" t="str">
        <f>_xlfn.LET(_xlpm.maxVal,_xlfn.MAXIFS($K:$K,$A:$A,A121),IF(AND(_xlpm.maxVal=K121,P121&lt;&gt;0),_xlpm.maxVal,""))</f>
        <v/>
      </c>
      <c r="Z121" s="27" t="str">
        <f>_xlfn.LET(_xlpm.maxVal,_xlfn.MAXIFS($K:$K,$A:$A,A121),IF(AND(_xlpm.maxVal=K121,Q121&lt;&gt;0),_xlpm.maxVal,""))</f>
        <v/>
      </c>
      <c r="AA121" s="27" t="str">
        <f>_xlfn.LET(_xlpm.maxVal,_xlfn.MAXIFS($K:$K,$A:$A,A121),IF(AND(_xlpm.maxVal=K121,R121&lt;&gt;0),_xlpm.maxVal,""))</f>
        <v/>
      </c>
      <c r="AB121" s="27" t="str">
        <f>_xlfn.LET(_xlpm.maxVal,_xlfn.MAXIFS($K:$K,$A:$A,A121),IF(AND(_xlpm.maxVal=K121,S121&lt;&gt;0),_xlpm.maxVal,""))</f>
        <v/>
      </c>
      <c r="AC121" s="27" t="str">
        <f>_xlfn.LET(_xlpm.maxVal,_xlfn.MAXIFS($K:$K,$A:$A,A121),IF(AND(_xlpm.maxVal=K121,T121&lt;&gt;0),_xlpm.maxVal,""))</f>
        <v/>
      </c>
      <c r="AD121" s="27">
        <f>$K121*L121*负载统计!$K$3/60</f>
        <v>0</v>
      </c>
      <c r="AE121" s="27">
        <f>$K121*L121*负载统计!$K$4/60</f>
        <v>0</v>
      </c>
      <c r="AF121" s="27">
        <f>$K121*N121*负载统计!$K$5/60</f>
        <v>0</v>
      </c>
      <c r="AG121" s="27">
        <f>$K121*O121*负载统计!$K$6/60</f>
        <v>0</v>
      </c>
      <c r="AH121" s="27">
        <f>$K121*P121*负载统计!$K$7/60</f>
        <v>0</v>
      </c>
      <c r="AI121" s="27">
        <f>$K121*Q121*负载统计!$K$8/60</f>
        <v>0</v>
      </c>
      <c r="AJ121" s="27">
        <f>$K121*R121*负载统计!$K$9/60</f>
        <v>0</v>
      </c>
      <c r="AK121" s="27">
        <f>$K121*S121*负载统计!$K$10/60</f>
        <v>0</v>
      </c>
      <c r="AL121" s="27">
        <f>$K121*T121*负载统计!$K$11/60</f>
        <v>0</v>
      </c>
    </row>
    <row r="122" spans="1:38">
      <c r="A122" s="1">
        <v>54</v>
      </c>
      <c r="B122" s="24" t="s">
        <v>1391</v>
      </c>
      <c r="C122" s="24" t="s">
        <v>1387</v>
      </c>
      <c r="D122" s="24" t="s">
        <v>434</v>
      </c>
      <c r="E122" s="24" t="s">
        <v>435</v>
      </c>
      <c r="F122" s="24" t="s">
        <v>436</v>
      </c>
      <c r="G122" s="25">
        <f>VLOOKUP(A122,负载电气特性!A:G,7,FALSE)</f>
        <v>28</v>
      </c>
      <c r="H122" s="26" t="s">
        <v>66</v>
      </c>
      <c r="I122" s="25" t="s">
        <v>1706</v>
      </c>
      <c r="J122" s="24" t="s">
        <v>1708</v>
      </c>
      <c r="K122" s="25">
        <v>0</v>
      </c>
      <c r="L122" s="25">
        <v>0</v>
      </c>
      <c r="M122" s="25">
        <v>0</v>
      </c>
      <c r="N122" s="25">
        <v>0</v>
      </c>
      <c r="O122" s="25">
        <v>0</v>
      </c>
      <c r="P122" s="25">
        <v>0</v>
      </c>
      <c r="Q122" s="25">
        <v>0</v>
      </c>
      <c r="R122" s="25">
        <v>0</v>
      </c>
      <c r="S122" s="25">
        <v>0</v>
      </c>
      <c r="T122" s="25">
        <v>0</v>
      </c>
      <c r="U122" s="27" t="str">
        <f>_xlfn.LET(_xlpm.maxVal,_xlfn.MAXIFS($K:$K,$A:$A,A122),IF(AND(_xlpm.maxVal=K122,L122&lt;&gt;0),_xlpm.maxVal,""))</f>
        <v/>
      </c>
      <c r="V122" s="27" t="str">
        <f>_xlfn.LET(_xlpm.maxVal,_xlfn.MAXIFS($K:$K,$A:$A,A122),IF(AND(_xlpm.maxVal=K122,M122&lt;&gt;0),_xlpm.maxVal,""))</f>
        <v/>
      </c>
      <c r="W122" s="27" t="str">
        <f>_xlfn.LET(_xlpm.maxVal,_xlfn.MAXIFS($K:$K,$A:$A,A122),IF(AND(_xlpm.maxVal=K122,N122&lt;&gt;0),_xlpm.maxVal,""))</f>
        <v/>
      </c>
      <c r="X122" s="27" t="str">
        <f>_xlfn.LET(_xlpm.maxVal,_xlfn.MAXIFS($K:$K,$A:$A,A122),IF(AND(_xlpm.maxVal=K122,O122&lt;&gt;0),_xlpm.maxVal,""))</f>
        <v/>
      </c>
      <c r="Y122" s="27" t="str">
        <f>_xlfn.LET(_xlpm.maxVal,_xlfn.MAXIFS($K:$K,$A:$A,A122),IF(AND(_xlpm.maxVal=K122,P122&lt;&gt;0),_xlpm.maxVal,""))</f>
        <v/>
      </c>
      <c r="Z122" s="27" t="str">
        <f>_xlfn.LET(_xlpm.maxVal,_xlfn.MAXIFS($K:$K,$A:$A,A122),IF(AND(_xlpm.maxVal=K122,Q122&lt;&gt;0),_xlpm.maxVal,""))</f>
        <v/>
      </c>
      <c r="AA122" s="27" t="str">
        <f>_xlfn.LET(_xlpm.maxVal,_xlfn.MAXIFS($K:$K,$A:$A,A122),IF(AND(_xlpm.maxVal=K122,R122&lt;&gt;0),_xlpm.maxVal,""))</f>
        <v/>
      </c>
      <c r="AB122" s="27" t="str">
        <f>_xlfn.LET(_xlpm.maxVal,_xlfn.MAXIFS($K:$K,$A:$A,A122),IF(AND(_xlpm.maxVal=K122,S122&lt;&gt;0),_xlpm.maxVal,""))</f>
        <v/>
      </c>
      <c r="AC122" s="27" t="str">
        <f>_xlfn.LET(_xlpm.maxVal,_xlfn.MAXIFS($K:$K,$A:$A,A122),IF(AND(_xlpm.maxVal=K122,T122&lt;&gt;0),_xlpm.maxVal,""))</f>
        <v/>
      </c>
      <c r="AD122" s="27">
        <f>$K122*L122*负载统计!$K$3/60</f>
        <v>0</v>
      </c>
      <c r="AE122" s="27">
        <f>$K122*L122*负载统计!$K$4/60</f>
        <v>0</v>
      </c>
      <c r="AF122" s="27">
        <f>$K122*N122*负载统计!$K$5/60</f>
        <v>0</v>
      </c>
      <c r="AG122" s="27">
        <f>$K122*O122*负载统计!$K$6/60</f>
        <v>0</v>
      </c>
      <c r="AH122" s="27">
        <f>$K122*P122*负载统计!$K$7/60</f>
        <v>0</v>
      </c>
      <c r="AI122" s="27">
        <f>$K122*Q122*负载统计!$K$8/60</f>
        <v>0</v>
      </c>
      <c r="AJ122" s="27">
        <f>$K122*R122*负载统计!$K$9/60</f>
        <v>0</v>
      </c>
      <c r="AK122" s="27">
        <f>$K122*S122*负载统计!$K$10/60</f>
        <v>0</v>
      </c>
      <c r="AL122" s="27">
        <f>$K122*T122*负载统计!$K$11/60</f>
        <v>0</v>
      </c>
    </row>
    <row r="123" spans="1:38">
      <c r="A123" s="1">
        <v>55</v>
      </c>
      <c r="B123" s="24" t="s">
        <v>1392</v>
      </c>
      <c r="C123" s="24" t="s">
        <v>1387</v>
      </c>
      <c r="D123" s="24" t="s">
        <v>437</v>
      </c>
      <c r="E123" s="24" t="s">
        <v>438</v>
      </c>
      <c r="F123" s="24" t="s">
        <v>439</v>
      </c>
      <c r="G123" s="25">
        <f>VLOOKUP(A123,负载电气特性!A:G,7,FALSE)</f>
        <v>28</v>
      </c>
      <c r="H123" s="26" t="s">
        <v>66</v>
      </c>
      <c r="I123" s="25" t="s">
        <v>1706</v>
      </c>
      <c r="J123" s="24" t="s">
        <v>1707</v>
      </c>
      <c r="K123" s="25">
        <v>0.04</v>
      </c>
      <c r="L123" s="25">
        <v>1</v>
      </c>
      <c r="M123" s="25">
        <v>1</v>
      </c>
      <c r="N123" s="25">
        <v>1</v>
      </c>
      <c r="O123" s="25">
        <v>1</v>
      </c>
      <c r="P123" s="25">
        <v>1</v>
      </c>
      <c r="Q123" s="25">
        <v>1</v>
      </c>
      <c r="R123" s="25">
        <v>1</v>
      </c>
      <c r="S123" s="25">
        <v>1</v>
      </c>
      <c r="T123" s="25">
        <v>1</v>
      </c>
      <c r="U123" s="27">
        <f>_xlfn.LET(_xlpm.maxVal,_xlfn.MAXIFS($K:$K,$A:$A,A123),IF(AND(_xlpm.maxVal=K123,L123&lt;&gt;0),_xlpm.maxVal,""))</f>
        <v>0.04</v>
      </c>
      <c r="V123" s="27">
        <f>_xlfn.LET(_xlpm.maxVal,_xlfn.MAXIFS($K:$K,$A:$A,A123),IF(AND(_xlpm.maxVal=K123,M123&lt;&gt;0),_xlpm.maxVal,""))</f>
        <v>0.04</v>
      </c>
      <c r="W123" s="27">
        <f>_xlfn.LET(_xlpm.maxVal,_xlfn.MAXIFS($K:$K,$A:$A,A123),IF(AND(_xlpm.maxVal=K123,N123&lt;&gt;0),_xlpm.maxVal,""))</f>
        <v>0.04</v>
      </c>
      <c r="X123" s="27">
        <f>_xlfn.LET(_xlpm.maxVal,_xlfn.MAXIFS($K:$K,$A:$A,A123),IF(AND(_xlpm.maxVal=K123,O123&lt;&gt;0),_xlpm.maxVal,""))</f>
        <v>0.04</v>
      </c>
      <c r="Y123" s="27">
        <f>_xlfn.LET(_xlpm.maxVal,_xlfn.MAXIFS($K:$K,$A:$A,A123),IF(AND(_xlpm.maxVal=K123,P123&lt;&gt;0),_xlpm.maxVal,""))</f>
        <v>0.04</v>
      </c>
      <c r="Z123" s="27">
        <f>_xlfn.LET(_xlpm.maxVal,_xlfn.MAXIFS($K:$K,$A:$A,A123),IF(AND(_xlpm.maxVal=K123,Q123&lt;&gt;0),_xlpm.maxVal,""))</f>
        <v>0.04</v>
      </c>
      <c r="AA123" s="27">
        <f>_xlfn.LET(_xlpm.maxVal,_xlfn.MAXIFS($K:$K,$A:$A,A123),IF(AND(_xlpm.maxVal=K123,R123&lt;&gt;0),_xlpm.maxVal,""))</f>
        <v>0.04</v>
      </c>
      <c r="AB123" s="27">
        <f>_xlfn.LET(_xlpm.maxVal,_xlfn.MAXIFS($K:$K,$A:$A,A123),IF(AND(_xlpm.maxVal=K123,S123&lt;&gt;0),_xlpm.maxVal,""))</f>
        <v>0.04</v>
      </c>
      <c r="AC123" s="27">
        <f>_xlfn.LET(_xlpm.maxVal,_xlfn.MAXIFS($K:$K,$A:$A,A123),IF(AND(_xlpm.maxVal=K123,T123&lt;&gt;0),_xlpm.maxVal,""))</f>
        <v>0.04</v>
      </c>
      <c r="AD123" s="27">
        <f>$K123*L123*负载统计!$K$3/60</f>
        <v>0</v>
      </c>
      <c r="AE123" s="27">
        <f>$K123*L123*负载统计!$K$4/60</f>
        <v>0</v>
      </c>
      <c r="AF123" s="27">
        <f>$K123*N123*负载统计!$K$5/60</f>
        <v>0.000666666666666667</v>
      </c>
      <c r="AG123" s="27">
        <f>$K123*O123*负载统计!$K$6/60</f>
        <v>0.002</v>
      </c>
      <c r="AH123" s="27">
        <f>$K123*P123*负载统计!$K$7/60</f>
        <v>0.00451333333333333</v>
      </c>
      <c r="AI123" s="27">
        <f>$K123*Q123*负载统计!$K$8/60</f>
        <v>0.0290666666666667</v>
      </c>
      <c r="AJ123" s="27">
        <f>$K123*R123*负载统计!$K$9/60</f>
        <v>0.00923333333333333</v>
      </c>
      <c r="AK123" s="27">
        <f>$K123*S123*负载统计!$K$10/60</f>
        <v>0.000333333333333333</v>
      </c>
      <c r="AL123" s="27">
        <f>$K123*T123*负载统计!$K$11/60</f>
        <v>0.00266666666666667</v>
      </c>
    </row>
    <row r="124" spans="1:38">
      <c r="A124" s="1">
        <v>55</v>
      </c>
      <c r="B124" s="24" t="s">
        <v>1392</v>
      </c>
      <c r="C124" s="24" t="s">
        <v>1387</v>
      </c>
      <c r="D124" s="24" t="s">
        <v>437</v>
      </c>
      <c r="E124" s="24" t="s">
        <v>438</v>
      </c>
      <c r="F124" s="24" t="s">
        <v>439</v>
      </c>
      <c r="G124" s="25">
        <f>VLOOKUP(A124,负载电气特性!A:G,7,FALSE)</f>
        <v>28</v>
      </c>
      <c r="H124" s="26" t="s">
        <v>66</v>
      </c>
      <c r="I124" s="25" t="s">
        <v>1706</v>
      </c>
      <c r="J124" s="25" t="s">
        <v>1708</v>
      </c>
      <c r="K124" s="25">
        <v>0</v>
      </c>
      <c r="L124" s="25">
        <v>0</v>
      </c>
      <c r="M124" s="25">
        <v>0</v>
      </c>
      <c r="N124" s="25">
        <v>0</v>
      </c>
      <c r="O124" s="25">
        <v>0</v>
      </c>
      <c r="P124" s="25">
        <v>0</v>
      </c>
      <c r="Q124" s="25">
        <v>0</v>
      </c>
      <c r="R124" s="25">
        <v>0</v>
      </c>
      <c r="S124" s="25">
        <v>0</v>
      </c>
      <c r="T124" s="25">
        <v>0</v>
      </c>
      <c r="U124" s="27" t="str">
        <f>_xlfn.LET(_xlpm.maxVal,_xlfn.MAXIFS($K:$K,$A:$A,A124),IF(AND(_xlpm.maxVal=K124,L124&lt;&gt;0),_xlpm.maxVal,""))</f>
        <v/>
      </c>
      <c r="V124" s="27" t="str">
        <f>_xlfn.LET(_xlpm.maxVal,_xlfn.MAXIFS($K:$K,$A:$A,A124),IF(AND(_xlpm.maxVal=K124,M124&lt;&gt;0),_xlpm.maxVal,""))</f>
        <v/>
      </c>
      <c r="W124" s="27" t="str">
        <f>_xlfn.LET(_xlpm.maxVal,_xlfn.MAXIFS($K:$K,$A:$A,A124),IF(AND(_xlpm.maxVal=K124,N124&lt;&gt;0),_xlpm.maxVal,""))</f>
        <v/>
      </c>
      <c r="X124" s="27" t="str">
        <f>_xlfn.LET(_xlpm.maxVal,_xlfn.MAXIFS($K:$K,$A:$A,A124),IF(AND(_xlpm.maxVal=K124,O124&lt;&gt;0),_xlpm.maxVal,""))</f>
        <v/>
      </c>
      <c r="Y124" s="27" t="str">
        <f>_xlfn.LET(_xlpm.maxVal,_xlfn.MAXIFS($K:$K,$A:$A,A124),IF(AND(_xlpm.maxVal=K124,P124&lt;&gt;0),_xlpm.maxVal,""))</f>
        <v/>
      </c>
      <c r="Z124" s="27" t="str">
        <f>_xlfn.LET(_xlpm.maxVal,_xlfn.MAXIFS($K:$K,$A:$A,A124),IF(AND(_xlpm.maxVal=K124,Q124&lt;&gt;0),_xlpm.maxVal,""))</f>
        <v/>
      </c>
      <c r="AA124" s="27" t="str">
        <f>_xlfn.LET(_xlpm.maxVal,_xlfn.MAXIFS($K:$K,$A:$A,A124),IF(AND(_xlpm.maxVal=K124,R124&lt;&gt;0),_xlpm.maxVal,""))</f>
        <v/>
      </c>
      <c r="AB124" s="27" t="str">
        <f>_xlfn.LET(_xlpm.maxVal,_xlfn.MAXIFS($K:$K,$A:$A,A124),IF(AND(_xlpm.maxVal=K124,S124&lt;&gt;0),_xlpm.maxVal,""))</f>
        <v/>
      </c>
      <c r="AC124" s="27" t="str">
        <f>_xlfn.LET(_xlpm.maxVal,_xlfn.MAXIFS($K:$K,$A:$A,A124),IF(AND(_xlpm.maxVal=K124,T124&lt;&gt;0),_xlpm.maxVal,""))</f>
        <v/>
      </c>
      <c r="AD124" s="27">
        <f>$K124*L124*负载统计!$K$3/60</f>
        <v>0</v>
      </c>
      <c r="AE124" s="27">
        <f>$K124*L124*负载统计!$K$4/60</f>
        <v>0</v>
      </c>
      <c r="AF124" s="27">
        <f>$K124*N124*负载统计!$K$5/60</f>
        <v>0</v>
      </c>
      <c r="AG124" s="27">
        <f>$K124*O124*负载统计!$K$6/60</f>
        <v>0</v>
      </c>
      <c r="AH124" s="27">
        <f>$K124*P124*负载统计!$K$7/60</f>
        <v>0</v>
      </c>
      <c r="AI124" s="27">
        <f>$K124*Q124*负载统计!$K$8/60</f>
        <v>0</v>
      </c>
      <c r="AJ124" s="27">
        <f>$K124*R124*负载统计!$K$9/60</f>
        <v>0</v>
      </c>
      <c r="AK124" s="27">
        <f>$K124*S124*负载统计!$K$10/60</f>
        <v>0</v>
      </c>
      <c r="AL124" s="27">
        <f>$K124*T124*负载统计!$K$11/60</f>
        <v>0</v>
      </c>
    </row>
    <row r="125" spans="1:38">
      <c r="A125" s="1">
        <v>56</v>
      </c>
      <c r="B125" s="24" t="s">
        <v>1393</v>
      </c>
      <c r="C125" s="24" t="s">
        <v>1387</v>
      </c>
      <c r="D125" s="24" t="s">
        <v>1394</v>
      </c>
      <c r="E125" s="24" t="s">
        <v>441</v>
      </c>
      <c r="F125" s="24" t="s">
        <v>442</v>
      </c>
      <c r="G125" s="25">
        <f>VLOOKUP(A125,负载电气特性!A:G,7,FALSE)</f>
        <v>28</v>
      </c>
      <c r="H125" s="26" t="s">
        <v>66</v>
      </c>
      <c r="I125" s="25" t="s">
        <v>1706</v>
      </c>
      <c r="J125" s="24" t="s">
        <v>1707</v>
      </c>
      <c r="K125" s="25">
        <v>0.12</v>
      </c>
      <c r="L125" s="25">
        <v>1</v>
      </c>
      <c r="M125" s="25">
        <v>1</v>
      </c>
      <c r="N125" s="25">
        <v>1</v>
      </c>
      <c r="O125" s="25">
        <v>1</v>
      </c>
      <c r="P125" s="25">
        <v>1</v>
      </c>
      <c r="Q125" s="25">
        <v>1</v>
      </c>
      <c r="R125" s="25">
        <v>1</v>
      </c>
      <c r="S125" s="25">
        <v>1</v>
      </c>
      <c r="T125" s="25">
        <v>1</v>
      </c>
      <c r="U125" s="27">
        <f>_xlfn.LET(_xlpm.maxVal,_xlfn.MAXIFS($K:$K,$A:$A,A125),IF(AND(_xlpm.maxVal=K125,L125&lt;&gt;0),_xlpm.maxVal,""))</f>
        <v>0.12</v>
      </c>
      <c r="V125" s="27">
        <f>_xlfn.LET(_xlpm.maxVal,_xlfn.MAXIFS($K:$K,$A:$A,A125),IF(AND(_xlpm.maxVal=K125,M125&lt;&gt;0),_xlpm.maxVal,""))</f>
        <v>0.12</v>
      </c>
      <c r="W125" s="27">
        <f>_xlfn.LET(_xlpm.maxVal,_xlfn.MAXIFS($K:$K,$A:$A,A125),IF(AND(_xlpm.maxVal=K125,N125&lt;&gt;0),_xlpm.maxVal,""))</f>
        <v>0.12</v>
      </c>
      <c r="X125" s="27">
        <f>_xlfn.LET(_xlpm.maxVal,_xlfn.MAXIFS($K:$K,$A:$A,A125),IF(AND(_xlpm.maxVal=K125,O125&lt;&gt;0),_xlpm.maxVal,""))</f>
        <v>0.12</v>
      </c>
      <c r="Y125" s="27">
        <f>_xlfn.LET(_xlpm.maxVal,_xlfn.MAXIFS($K:$K,$A:$A,A125),IF(AND(_xlpm.maxVal=K125,P125&lt;&gt;0),_xlpm.maxVal,""))</f>
        <v>0.12</v>
      </c>
      <c r="Z125" s="27">
        <f>_xlfn.LET(_xlpm.maxVal,_xlfn.MAXIFS($K:$K,$A:$A,A125),IF(AND(_xlpm.maxVal=K125,Q125&lt;&gt;0),_xlpm.maxVal,""))</f>
        <v>0.12</v>
      </c>
      <c r="AA125" s="27">
        <f>_xlfn.LET(_xlpm.maxVal,_xlfn.MAXIFS($K:$K,$A:$A,A125),IF(AND(_xlpm.maxVal=K125,R125&lt;&gt;0),_xlpm.maxVal,""))</f>
        <v>0.12</v>
      </c>
      <c r="AB125" s="27">
        <f>_xlfn.LET(_xlpm.maxVal,_xlfn.MAXIFS($K:$K,$A:$A,A125),IF(AND(_xlpm.maxVal=K125,S125&lt;&gt;0),_xlpm.maxVal,""))</f>
        <v>0.12</v>
      </c>
      <c r="AC125" s="27">
        <f>_xlfn.LET(_xlpm.maxVal,_xlfn.MAXIFS($K:$K,$A:$A,A125),IF(AND(_xlpm.maxVal=K125,T125&lt;&gt;0),_xlpm.maxVal,""))</f>
        <v>0.12</v>
      </c>
      <c r="AD125" s="27">
        <f>$K125*L125*负载统计!$K$3/60</f>
        <v>0</v>
      </c>
      <c r="AE125" s="27">
        <f>$K125*L125*负载统计!$K$4/60</f>
        <v>0</v>
      </c>
      <c r="AF125" s="27">
        <f>$K125*N125*负载统计!$K$5/60</f>
        <v>0.002</v>
      </c>
      <c r="AG125" s="27">
        <f>$K125*O125*负载统计!$K$6/60</f>
        <v>0.006</v>
      </c>
      <c r="AH125" s="27">
        <f>$K125*P125*负载统计!$K$7/60</f>
        <v>0.01354</v>
      </c>
      <c r="AI125" s="27">
        <f>$K125*Q125*负载统计!$K$8/60</f>
        <v>0.0872</v>
      </c>
      <c r="AJ125" s="27">
        <f>$K125*R125*负载统计!$K$9/60</f>
        <v>0.0277</v>
      </c>
      <c r="AK125" s="27">
        <f>$K125*S125*负载统计!$K$10/60</f>
        <v>0.001</v>
      </c>
      <c r="AL125" s="27">
        <f>$K125*T125*负载统计!$K$11/60</f>
        <v>0.008</v>
      </c>
    </row>
    <row r="126" spans="1:38">
      <c r="A126" s="1">
        <v>56</v>
      </c>
      <c r="B126" s="24" t="s">
        <v>1393</v>
      </c>
      <c r="C126" s="24" t="s">
        <v>1387</v>
      </c>
      <c r="D126" s="24" t="s">
        <v>1394</v>
      </c>
      <c r="E126" s="24" t="s">
        <v>441</v>
      </c>
      <c r="F126" s="24" t="s">
        <v>442</v>
      </c>
      <c r="G126" s="25">
        <f>VLOOKUP(A126,负载电气特性!A:G,7,FALSE)</f>
        <v>28</v>
      </c>
      <c r="H126" s="26" t="s">
        <v>66</v>
      </c>
      <c r="I126" s="25" t="s">
        <v>1706</v>
      </c>
      <c r="J126" s="25" t="s">
        <v>1708</v>
      </c>
      <c r="K126" s="25">
        <v>0</v>
      </c>
      <c r="L126" s="25">
        <v>0</v>
      </c>
      <c r="M126" s="25">
        <v>0</v>
      </c>
      <c r="N126" s="25">
        <v>0</v>
      </c>
      <c r="O126" s="25">
        <v>0</v>
      </c>
      <c r="P126" s="25">
        <v>0</v>
      </c>
      <c r="Q126" s="25">
        <v>0</v>
      </c>
      <c r="R126" s="25">
        <v>0</v>
      </c>
      <c r="S126" s="25">
        <v>0</v>
      </c>
      <c r="T126" s="25">
        <v>0</v>
      </c>
      <c r="U126" s="27" t="str">
        <f>_xlfn.LET(_xlpm.maxVal,_xlfn.MAXIFS($K:$K,$A:$A,A126),IF(AND(_xlpm.maxVal=K126,L126&lt;&gt;0),_xlpm.maxVal,""))</f>
        <v/>
      </c>
      <c r="V126" s="27" t="str">
        <f>_xlfn.LET(_xlpm.maxVal,_xlfn.MAXIFS($K:$K,$A:$A,A126),IF(AND(_xlpm.maxVal=K126,M126&lt;&gt;0),_xlpm.maxVal,""))</f>
        <v/>
      </c>
      <c r="W126" s="27" t="str">
        <f>_xlfn.LET(_xlpm.maxVal,_xlfn.MAXIFS($K:$K,$A:$A,A126),IF(AND(_xlpm.maxVal=K126,N126&lt;&gt;0),_xlpm.maxVal,""))</f>
        <v/>
      </c>
      <c r="X126" s="27" t="str">
        <f>_xlfn.LET(_xlpm.maxVal,_xlfn.MAXIFS($K:$K,$A:$A,A126),IF(AND(_xlpm.maxVal=K126,O126&lt;&gt;0),_xlpm.maxVal,""))</f>
        <v/>
      </c>
      <c r="Y126" s="27" t="str">
        <f>_xlfn.LET(_xlpm.maxVal,_xlfn.MAXIFS($K:$K,$A:$A,A126),IF(AND(_xlpm.maxVal=K126,P126&lt;&gt;0),_xlpm.maxVal,""))</f>
        <v/>
      </c>
      <c r="Z126" s="27" t="str">
        <f>_xlfn.LET(_xlpm.maxVal,_xlfn.MAXIFS($K:$K,$A:$A,A126),IF(AND(_xlpm.maxVal=K126,Q126&lt;&gt;0),_xlpm.maxVal,""))</f>
        <v/>
      </c>
      <c r="AA126" s="27" t="str">
        <f>_xlfn.LET(_xlpm.maxVal,_xlfn.MAXIFS($K:$K,$A:$A,A126),IF(AND(_xlpm.maxVal=K126,R126&lt;&gt;0),_xlpm.maxVal,""))</f>
        <v/>
      </c>
      <c r="AB126" s="27" t="str">
        <f>_xlfn.LET(_xlpm.maxVal,_xlfn.MAXIFS($K:$K,$A:$A,A126),IF(AND(_xlpm.maxVal=K126,S126&lt;&gt;0),_xlpm.maxVal,""))</f>
        <v/>
      </c>
      <c r="AC126" s="27" t="str">
        <f>_xlfn.LET(_xlpm.maxVal,_xlfn.MAXIFS($K:$K,$A:$A,A126),IF(AND(_xlpm.maxVal=K126,T126&lt;&gt;0),_xlpm.maxVal,""))</f>
        <v/>
      </c>
      <c r="AD126" s="27">
        <f>$K126*L126*负载统计!$K$3/60</f>
        <v>0</v>
      </c>
      <c r="AE126" s="27">
        <f>$K126*L126*负载统计!$K$4/60</f>
        <v>0</v>
      </c>
      <c r="AF126" s="27">
        <f>$K126*N126*负载统计!$K$5/60</f>
        <v>0</v>
      </c>
      <c r="AG126" s="27">
        <f>$K126*O126*负载统计!$K$6/60</f>
        <v>0</v>
      </c>
      <c r="AH126" s="27">
        <f>$K126*P126*负载统计!$K$7/60</f>
        <v>0</v>
      </c>
      <c r="AI126" s="27">
        <f>$K126*Q126*负载统计!$K$8/60</f>
        <v>0</v>
      </c>
      <c r="AJ126" s="27">
        <f>$K126*R126*负载统计!$K$9/60</f>
        <v>0</v>
      </c>
      <c r="AK126" s="27">
        <f>$K126*S126*负载统计!$K$10/60</f>
        <v>0</v>
      </c>
      <c r="AL126" s="27">
        <f>$K126*T126*负载统计!$K$11/60</f>
        <v>0</v>
      </c>
    </row>
    <row r="127" spans="1:38">
      <c r="A127" s="1">
        <v>57</v>
      </c>
      <c r="B127" s="24" t="s">
        <v>1395</v>
      </c>
      <c r="C127" s="24" t="s">
        <v>1387</v>
      </c>
      <c r="D127" s="24" t="s">
        <v>1396</v>
      </c>
      <c r="E127" s="24" t="s">
        <v>441</v>
      </c>
      <c r="F127" s="24" t="s">
        <v>444</v>
      </c>
      <c r="G127" s="25">
        <f>VLOOKUP(A127,负载电气特性!A:G,7,FALSE)</f>
        <v>28</v>
      </c>
      <c r="H127" s="26" t="s">
        <v>66</v>
      </c>
      <c r="I127" s="25" t="s">
        <v>1706</v>
      </c>
      <c r="J127" s="24" t="s">
        <v>1707</v>
      </c>
      <c r="K127" s="25">
        <v>0.12</v>
      </c>
      <c r="L127" s="25">
        <v>1</v>
      </c>
      <c r="M127" s="25">
        <v>1</v>
      </c>
      <c r="N127" s="25">
        <v>1</v>
      </c>
      <c r="O127" s="25">
        <v>1</v>
      </c>
      <c r="P127" s="25">
        <v>1</v>
      </c>
      <c r="Q127" s="25">
        <v>1</v>
      </c>
      <c r="R127" s="25">
        <v>1</v>
      </c>
      <c r="S127" s="25">
        <v>1</v>
      </c>
      <c r="T127" s="25">
        <v>1</v>
      </c>
      <c r="U127" s="27">
        <f>_xlfn.LET(_xlpm.maxVal,_xlfn.MAXIFS($K:$K,$A:$A,A127),IF(AND(_xlpm.maxVal=K127,L127&lt;&gt;0),_xlpm.maxVal,""))</f>
        <v>0.12</v>
      </c>
      <c r="V127" s="27">
        <f>_xlfn.LET(_xlpm.maxVal,_xlfn.MAXIFS($K:$K,$A:$A,A127),IF(AND(_xlpm.maxVal=K127,M127&lt;&gt;0),_xlpm.maxVal,""))</f>
        <v>0.12</v>
      </c>
      <c r="W127" s="27">
        <f>_xlfn.LET(_xlpm.maxVal,_xlfn.MAXIFS($K:$K,$A:$A,A127),IF(AND(_xlpm.maxVal=K127,N127&lt;&gt;0),_xlpm.maxVal,""))</f>
        <v>0.12</v>
      </c>
      <c r="X127" s="27">
        <f>_xlfn.LET(_xlpm.maxVal,_xlfn.MAXIFS($K:$K,$A:$A,A127),IF(AND(_xlpm.maxVal=K127,O127&lt;&gt;0),_xlpm.maxVal,""))</f>
        <v>0.12</v>
      </c>
      <c r="Y127" s="27">
        <f>_xlfn.LET(_xlpm.maxVal,_xlfn.MAXIFS($K:$K,$A:$A,A127),IF(AND(_xlpm.maxVal=K127,P127&lt;&gt;0),_xlpm.maxVal,""))</f>
        <v>0.12</v>
      </c>
      <c r="Z127" s="27">
        <f>_xlfn.LET(_xlpm.maxVal,_xlfn.MAXIFS($K:$K,$A:$A,A127),IF(AND(_xlpm.maxVal=K127,Q127&lt;&gt;0),_xlpm.maxVal,""))</f>
        <v>0.12</v>
      </c>
      <c r="AA127" s="27">
        <f>_xlfn.LET(_xlpm.maxVal,_xlfn.MAXIFS($K:$K,$A:$A,A127),IF(AND(_xlpm.maxVal=K127,R127&lt;&gt;0),_xlpm.maxVal,""))</f>
        <v>0.12</v>
      </c>
      <c r="AB127" s="27">
        <f>_xlfn.LET(_xlpm.maxVal,_xlfn.MAXIFS($K:$K,$A:$A,A127),IF(AND(_xlpm.maxVal=K127,S127&lt;&gt;0),_xlpm.maxVal,""))</f>
        <v>0.12</v>
      </c>
      <c r="AC127" s="27">
        <f>_xlfn.LET(_xlpm.maxVal,_xlfn.MAXIFS($K:$K,$A:$A,A127),IF(AND(_xlpm.maxVal=K127,T127&lt;&gt;0),_xlpm.maxVal,""))</f>
        <v>0.12</v>
      </c>
      <c r="AD127" s="27">
        <f>$K127*L127*负载统计!$K$3/60</f>
        <v>0</v>
      </c>
      <c r="AE127" s="27">
        <f>$K127*L127*负载统计!$K$4/60</f>
        <v>0</v>
      </c>
      <c r="AF127" s="27">
        <f>$K127*N127*负载统计!$K$5/60</f>
        <v>0.002</v>
      </c>
      <c r="AG127" s="27">
        <f>$K127*O127*负载统计!$K$6/60</f>
        <v>0.006</v>
      </c>
      <c r="AH127" s="27">
        <f>$K127*P127*负载统计!$K$7/60</f>
        <v>0.01354</v>
      </c>
      <c r="AI127" s="27">
        <f>$K127*Q127*负载统计!$K$8/60</f>
        <v>0.0872</v>
      </c>
      <c r="AJ127" s="27">
        <f>$K127*R127*负载统计!$K$9/60</f>
        <v>0.0277</v>
      </c>
      <c r="AK127" s="27">
        <f>$K127*S127*负载统计!$K$10/60</f>
        <v>0.001</v>
      </c>
      <c r="AL127" s="27">
        <f>$K127*T127*负载统计!$K$11/60</f>
        <v>0.008</v>
      </c>
    </row>
    <row r="128" spans="1:38">
      <c r="A128" s="1">
        <v>57</v>
      </c>
      <c r="B128" s="24" t="s">
        <v>1395</v>
      </c>
      <c r="C128" s="24" t="s">
        <v>1387</v>
      </c>
      <c r="D128" s="24" t="s">
        <v>1396</v>
      </c>
      <c r="E128" s="24" t="s">
        <v>441</v>
      </c>
      <c r="F128" s="24" t="s">
        <v>444</v>
      </c>
      <c r="G128" s="25">
        <f>VLOOKUP(A128,负载电气特性!A:G,7,FALSE)</f>
        <v>28</v>
      </c>
      <c r="H128" s="26" t="s">
        <v>66</v>
      </c>
      <c r="I128" s="25" t="s">
        <v>1706</v>
      </c>
      <c r="J128" s="25" t="s">
        <v>1708</v>
      </c>
      <c r="K128" s="25">
        <v>0</v>
      </c>
      <c r="L128" s="25">
        <v>0</v>
      </c>
      <c r="M128" s="25">
        <v>0</v>
      </c>
      <c r="N128" s="25">
        <v>0</v>
      </c>
      <c r="O128" s="25">
        <v>0</v>
      </c>
      <c r="P128" s="25">
        <v>0</v>
      </c>
      <c r="Q128" s="25">
        <v>0</v>
      </c>
      <c r="R128" s="25">
        <v>0</v>
      </c>
      <c r="S128" s="25">
        <v>0</v>
      </c>
      <c r="T128" s="25">
        <v>0</v>
      </c>
      <c r="U128" s="27" t="str">
        <f>_xlfn.LET(_xlpm.maxVal,_xlfn.MAXIFS($K:$K,$A:$A,A128),IF(AND(_xlpm.maxVal=K128,L128&lt;&gt;0),_xlpm.maxVal,""))</f>
        <v/>
      </c>
      <c r="V128" s="27" t="str">
        <f>_xlfn.LET(_xlpm.maxVal,_xlfn.MAXIFS($K:$K,$A:$A,A128),IF(AND(_xlpm.maxVal=K128,M128&lt;&gt;0),_xlpm.maxVal,""))</f>
        <v/>
      </c>
      <c r="W128" s="27" t="str">
        <f>_xlfn.LET(_xlpm.maxVal,_xlfn.MAXIFS($K:$K,$A:$A,A128),IF(AND(_xlpm.maxVal=K128,N128&lt;&gt;0),_xlpm.maxVal,""))</f>
        <v/>
      </c>
      <c r="X128" s="27" t="str">
        <f>_xlfn.LET(_xlpm.maxVal,_xlfn.MAXIFS($K:$K,$A:$A,A128),IF(AND(_xlpm.maxVal=K128,O128&lt;&gt;0),_xlpm.maxVal,""))</f>
        <v/>
      </c>
      <c r="Y128" s="27" t="str">
        <f>_xlfn.LET(_xlpm.maxVal,_xlfn.MAXIFS($K:$K,$A:$A,A128),IF(AND(_xlpm.maxVal=K128,P128&lt;&gt;0),_xlpm.maxVal,""))</f>
        <v/>
      </c>
      <c r="Z128" s="27" t="str">
        <f>_xlfn.LET(_xlpm.maxVal,_xlfn.MAXIFS($K:$K,$A:$A,A128),IF(AND(_xlpm.maxVal=K128,Q128&lt;&gt;0),_xlpm.maxVal,""))</f>
        <v/>
      </c>
      <c r="AA128" s="27" t="str">
        <f>_xlfn.LET(_xlpm.maxVal,_xlfn.MAXIFS($K:$K,$A:$A,A128),IF(AND(_xlpm.maxVal=K128,R128&lt;&gt;0),_xlpm.maxVal,""))</f>
        <v/>
      </c>
      <c r="AB128" s="27" t="str">
        <f>_xlfn.LET(_xlpm.maxVal,_xlfn.MAXIFS($K:$K,$A:$A,A128),IF(AND(_xlpm.maxVal=K128,S128&lt;&gt;0),_xlpm.maxVal,""))</f>
        <v/>
      </c>
      <c r="AC128" s="27" t="str">
        <f>_xlfn.LET(_xlpm.maxVal,_xlfn.MAXIFS($K:$K,$A:$A,A128),IF(AND(_xlpm.maxVal=K128,T128&lt;&gt;0),_xlpm.maxVal,""))</f>
        <v/>
      </c>
      <c r="AD128" s="27">
        <f>$K128*L128*负载统计!$K$3/60</f>
        <v>0</v>
      </c>
      <c r="AE128" s="27">
        <f>$K128*L128*负载统计!$K$4/60</f>
        <v>0</v>
      </c>
      <c r="AF128" s="27">
        <f>$K128*N128*负载统计!$K$5/60</f>
        <v>0</v>
      </c>
      <c r="AG128" s="27">
        <f>$K128*O128*负载统计!$K$6/60</f>
        <v>0</v>
      </c>
      <c r="AH128" s="27">
        <f>$K128*P128*负载统计!$K$7/60</f>
        <v>0</v>
      </c>
      <c r="AI128" s="27">
        <f>$K128*Q128*负载统计!$K$8/60</f>
        <v>0</v>
      </c>
      <c r="AJ128" s="27">
        <f>$K128*R128*负载统计!$K$9/60</f>
        <v>0</v>
      </c>
      <c r="AK128" s="27">
        <f>$K128*S128*负载统计!$K$10/60</f>
        <v>0</v>
      </c>
      <c r="AL128" s="27">
        <f>$K128*T128*负载统计!$K$11/60</f>
        <v>0</v>
      </c>
    </row>
    <row r="129" spans="1:38">
      <c r="A129" s="1">
        <v>58</v>
      </c>
      <c r="B129" s="24" t="s">
        <v>1397</v>
      </c>
      <c r="C129" s="24" t="s">
        <v>1398</v>
      </c>
      <c r="D129" s="24" t="s">
        <v>1399</v>
      </c>
      <c r="E129" s="24" t="s">
        <v>552</v>
      </c>
      <c r="F129" s="24" t="s">
        <v>553</v>
      </c>
      <c r="G129" s="25">
        <f>VLOOKUP(A129,负载电气特性!A:G,7,FALSE)</f>
        <v>270</v>
      </c>
      <c r="H129" s="26" t="s">
        <v>66</v>
      </c>
      <c r="I129" s="24" t="s">
        <v>1709</v>
      </c>
      <c r="J129" s="24" t="s">
        <v>1707</v>
      </c>
      <c r="K129" s="25">
        <v>1.35</v>
      </c>
      <c r="L129" s="25">
        <v>0</v>
      </c>
      <c r="M129" s="25">
        <v>0</v>
      </c>
      <c r="N129" s="25">
        <v>0</v>
      </c>
      <c r="O129" s="25">
        <v>0</v>
      </c>
      <c r="P129" s="25">
        <v>0.074</v>
      </c>
      <c r="Q129" s="25">
        <v>0</v>
      </c>
      <c r="R129" s="25">
        <v>0.036</v>
      </c>
      <c r="S129" s="25">
        <v>0</v>
      </c>
      <c r="T129" s="25">
        <v>0</v>
      </c>
      <c r="U129" s="27" t="str">
        <f>_xlfn.LET(_xlpm.maxVal,_xlfn.MAXIFS($K:$K,$A:$A,A129),IF(AND(_xlpm.maxVal=K129,L129&lt;&gt;0),_xlpm.maxVal,""))</f>
        <v/>
      </c>
      <c r="V129" s="27" t="str">
        <f>_xlfn.LET(_xlpm.maxVal,_xlfn.MAXIFS($K:$K,$A:$A,A129),IF(AND(_xlpm.maxVal=K129,M129&lt;&gt;0),_xlpm.maxVal,""))</f>
        <v/>
      </c>
      <c r="W129" s="27" t="str">
        <f>_xlfn.LET(_xlpm.maxVal,_xlfn.MAXIFS($K:$K,$A:$A,A129),IF(AND(_xlpm.maxVal=K129,N129&lt;&gt;0),_xlpm.maxVal,""))</f>
        <v/>
      </c>
      <c r="X129" s="27" t="str">
        <f>_xlfn.LET(_xlpm.maxVal,_xlfn.MAXIFS($K:$K,$A:$A,A129),IF(AND(_xlpm.maxVal=K129,O129&lt;&gt;0),_xlpm.maxVal,""))</f>
        <v/>
      </c>
      <c r="Y129" s="27">
        <f>_xlfn.LET(_xlpm.maxVal,_xlfn.MAXIFS($K:$K,$A:$A,A129),IF(AND(_xlpm.maxVal=K129,P129&lt;&gt;0),_xlpm.maxVal,""))</f>
        <v>1.35</v>
      </c>
      <c r="Z129" s="27" t="str">
        <f>_xlfn.LET(_xlpm.maxVal,_xlfn.MAXIFS($K:$K,$A:$A,A129),IF(AND(_xlpm.maxVal=K129,Q129&lt;&gt;0),_xlpm.maxVal,""))</f>
        <v/>
      </c>
      <c r="AA129" s="27">
        <f>_xlfn.LET(_xlpm.maxVal,_xlfn.MAXIFS($K:$K,$A:$A,A129),IF(AND(_xlpm.maxVal=K129,R129&lt;&gt;0),_xlpm.maxVal,""))</f>
        <v>1.35</v>
      </c>
      <c r="AB129" s="27" t="str">
        <f>_xlfn.LET(_xlpm.maxVal,_xlfn.MAXIFS($K:$K,$A:$A,A129),IF(AND(_xlpm.maxVal=K129,S129&lt;&gt;0),_xlpm.maxVal,""))</f>
        <v/>
      </c>
      <c r="AC129" s="27" t="str">
        <f>_xlfn.LET(_xlpm.maxVal,_xlfn.MAXIFS($K:$K,$A:$A,A129),IF(AND(_xlpm.maxVal=K129,T129&lt;&gt;0),_xlpm.maxVal,""))</f>
        <v/>
      </c>
      <c r="AD129" s="27">
        <f>$K129*L129*负载统计!$K$3/60</f>
        <v>0</v>
      </c>
      <c r="AE129" s="27">
        <f>$K129*L129*负载统计!$K$4/60</f>
        <v>0</v>
      </c>
      <c r="AF129" s="27">
        <f>$K129*N129*负载统计!$K$5/60</f>
        <v>0</v>
      </c>
      <c r="AG129" s="27">
        <f>$K129*O129*负载统计!$K$6/60</f>
        <v>0</v>
      </c>
      <c r="AH129" s="27">
        <f>$K129*P129*负载统计!$K$7/60</f>
        <v>0.01127205</v>
      </c>
      <c r="AI129" s="27">
        <f>$K129*Q129*负载统计!$K$8/60</f>
        <v>0</v>
      </c>
      <c r="AJ129" s="27">
        <f>$K129*R129*负载统计!$K$9/60</f>
        <v>0.0112185</v>
      </c>
      <c r="AK129" s="27">
        <f>$K129*S129*负载统计!$K$10/60</f>
        <v>0</v>
      </c>
      <c r="AL129" s="27">
        <f>$K129*T129*负载统计!$K$11/60</f>
        <v>0</v>
      </c>
    </row>
    <row r="130" spans="1:38">
      <c r="A130" s="1">
        <v>58</v>
      </c>
      <c r="B130" s="24" t="s">
        <v>1397</v>
      </c>
      <c r="C130" s="24" t="s">
        <v>1398</v>
      </c>
      <c r="D130" s="24" t="s">
        <v>1399</v>
      </c>
      <c r="E130" s="24" t="s">
        <v>552</v>
      </c>
      <c r="F130" s="24" t="s">
        <v>553</v>
      </c>
      <c r="G130" s="25">
        <f>VLOOKUP(A130,负载电气特性!A:G,7,FALSE)</f>
        <v>270</v>
      </c>
      <c r="H130" s="26" t="s">
        <v>66</v>
      </c>
      <c r="I130" s="24" t="s">
        <v>1709</v>
      </c>
      <c r="J130" s="25" t="s">
        <v>1708</v>
      </c>
      <c r="K130" s="25">
        <v>0</v>
      </c>
      <c r="L130" s="25">
        <v>1</v>
      </c>
      <c r="M130" s="25">
        <v>1</v>
      </c>
      <c r="N130" s="25">
        <v>1</v>
      </c>
      <c r="O130" s="25">
        <v>1</v>
      </c>
      <c r="P130" s="25">
        <f>1-P129</f>
        <v>0.926</v>
      </c>
      <c r="Q130" s="25">
        <v>1</v>
      </c>
      <c r="R130" s="25">
        <f>1-R129</f>
        <v>0.964</v>
      </c>
      <c r="S130" s="25">
        <v>1</v>
      </c>
      <c r="T130" s="25">
        <v>1</v>
      </c>
      <c r="U130" s="27" t="str">
        <f>_xlfn.LET(_xlpm.maxVal,_xlfn.MAXIFS($K:$K,$A:$A,A130),IF(AND(_xlpm.maxVal=K130,L130&lt;&gt;0),_xlpm.maxVal,""))</f>
        <v/>
      </c>
      <c r="V130" s="27" t="str">
        <f>_xlfn.LET(_xlpm.maxVal,_xlfn.MAXIFS($K:$K,$A:$A,A130),IF(AND(_xlpm.maxVal=K130,M130&lt;&gt;0),_xlpm.maxVal,""))</f>
        <v/>
      </c>
      <c r="W130" s="27" t="str">
        <f>_xlfn.LET(_xlpm.maxVal,_xlfn.MAXIFS($K:$K,$A:$A,A130),IF(AND(_xlpm.maxVal=K130,N130&lt;&gt;0),_xlpm.maxVal,""))</f>
        <v/>
      </c>
      <c r="X130" s="27" t="str">
        <f>_xlfn.LET(_xlpm.maxVal,_xlfn.MAXIFS($K:$K,$A:$A,A130),IF(AND(_xlpm.maxVal=K130,O130&lt;&gt;0),_xlpm.maxVal,""))</f>
        <v/>
      </c>
      <c r="Y130" s="27" t="str">
        <f>_xlfn.LET(_xlpm.maxVal,_xlfn.MAXIFS($K:$K,$A:$A,A130),IF(AND(_xlpm.maxVal=K130,P130&lt;&gt;0),_xlpm.maxVal,""))</f>
        <v/>
      </c>
      <c r="Z130" s="27" t="str">
        <f>_xlfn.LET(_xlpm.maxVal,_xlfn.MAXIFS($K:$K,$A:$A,A130),IF(AND(_xlpm.maxVal=K130,Q130&lt;&gt;0),_xlpm.maxVal,""))</f>
        <v/>
      </c>
      <c r="AA130" s="27" t="str">
        <f>_xlfn.LET(_xlpm.maxVal,_xlfn.MAXIFS($K:$K,$A:$A,A130),IF(AND(_xlpm.maxVal=K130,R130&lt;&gt;0),_xlpm.maxVal,""))</f>
        <v/>
      </c>
      <c r="AB130" s="27" t="str">
        <f>_xlfn.LET(_xlpm.maxVal,_xlfn.MAXIFS($K:$K,$A:$A,A130),IF(AND(_xlpm.maxVal=K130,S130&lt;&gt;0),_xlpm.maxVal,""))</f>
        <v/>
      </c>
      <c r="AC130" s="27" t="str">
        <f>_xlfn.LET(_xlpm.maxVal,_xlfn.MAXIFS($K:$K,$A:$A,A130),IF(AND(_xlpm.maxVal=K130,T130&lt;&gt;0),_xlpm.maxVal,""))</f>
        <v/>
      </c>
      <c r="AD130" s="27">
        <f>$K130*L130*负载统计!$K$3/60</f>
        <v>0</v>
      </c>
      <c r="AE130" s="27">
        <f>$K130*L130*负载统计!$K$4/60</f>
        <v>0</v>
      </c>
      <c r="AF130" s="27">
        <f>$K130*N130*负载统计!$K$5/60</f>
        <v>0</v>
      </c>
      <c r="AG130" s="27">
        <f>$K130*O130*负载统计!$K$6/60</f>
        <v>0</v>
      </c>
      <c r="AH130" s="27">
        <f>$K130*P130*负载统计!$K$7/60</f>
        <v>0</v>
      </c>
      <c r="AI130" s="27">
        <f>$K130*Q130*负载统计!$K$8/60</f>
        <v>0</v>
      </c>
      <c r="AJ130" s="27">
        <f>$K130*R130*负载统计!$K$9/60</f>
        <v>0</v>
      </c>
      <c r="AK130" s="27">
        <f>$K130*S130*负载统计!$K$10/60</f>
        <v>0</v>
      </c>
      <c r="AL130" s="27">
        <f>$K130*T130*负载统计!$K$11/60</f>
        <v>0</v>
      </c>
    </row>
    <row r="131" spans="1:38">
      <c r="A131" s="1">
        <v>59</v>
      </c>
      <c r="B131" s="24" t="s">
        <v>1400</v>
      </c>
      <c r="C131" s="24" t="s">
        <v>1398</v>
      </c>
      <c r="D131" s="24" t="s">
        <v>1399</v>
      </c>
      <c r="E131" s="24" t="s">
        <v>552</v>
      </c>
      <c r="F131" s="24" t="s">
        <v>553</v>
      </c>
      <c r="G131" s="25">
        <f>VLOOKUP(A131,负载电气特性!A:G,7,FALSE)</f>
        <v>28</v>
      </c>
      <c r="H131" s="26" t="s">
        <v>66</v>
      </c>
      <c r="I131" s="25" t="s">
        <v>1706</v>
      </c>
      <c r="J131" s="24" t="s">
        <v>1707</v>
      </c>
      <c r="K131" s="25">
        <v>0.098</v>
      </c>
      <c r="L131" s="25">
        <v>1</v>
      </c>
      <c r="M131" s="25">
        <v>1</v>
      </c>
      <c r="N131" s="25">
        <v>1</v>
      </c>
      <c r="O131" s="25">
        <v>1</v>
      </c>
      <c r="P131" s="25">
        <v>1</v>
      </c>
      <c r="Q131" s="25">
        <v>1</v>
      </c>
      <c r="R131" s="25">
        <v>1</v>
      </c>
      <c r="S131" s="25">
        <v>1</v>
      </c>
      <c r="T131" s="25">
        <v>1</v>
      </c>
      <c r="U131" s="27">
        <f>_xlfn.LET(_xlpm.maxVal,_xlfn.MAXIFS($K:$K,$A:$A,A131),IF(AND(_xlpm.maxVal=K131,L131&lt;&gt;0),_xlpm.maxVal,""))</f>
        <v>0.098</v>
      </c>
      <c r="V131" s="27">
        <f>_xlfn.LET(_xlpm.maxVal,_xlfn.MAXIFS($K:$K,$A:$A,A131),IF(AND(_xlpm.maxVal=K131,M131&lt;&gt;0),_xlpm.maxVal,""))</f>
        <v>0.098</v>
      </c>
      <c r="W131" s="27">
        <f>_xlfn.LET(_xlpm.maxVal,_xlfn.MAXIFS($K:$K,$A:$A,A131),IF(AND(_xlpm.maxVal=K131,N131&lt;&gt;0),_xlpm.maxVal,""))</f>
        <v>0.098</v>
      </c>
      <c r="X131" s="27">
        <f>_xlfn.LET(_xlpm.maxVal,_xlfn.MAXIFS($K:$K,$A:$A,A131),IF(AND(_xlpm.maxVal=K131,O131&lt;&gt;0),_xlpm.maxVal,""))</f>
        <v>0.098</v>
      </c>
      <c r="Y131" s="27">
        <f>_xlfn.LET(_xlpm.maxVal,_xlfn.MAXIFS($K:$K,$A:$A,A131),IF(AND(_xlpm.maxVal=K131,P131&lt;&gt;0),_xlpm.maxVal,""))</f>
        <v>0.098</v>
      </c>
      <c r="Z131" s="27">
        <f>_xlfn.LET(_xlpm.maxVal,_xlfn.MAXIFS($K:$K,$A:$A,A131),IF(AND(_xlpm.maxVal=K131,Q131&lt;&gt;0),_xlpm.maxVal,""))</f>
        <v>0.098</v>
      </c>
      <c r="AA131" s="27">
        <f>_xlfn.LET(_xlpm.maxVal,_xlfn.MAXIFS($K:$K,$A:$A,A131),IF(AND(_xlpm.maxVal=K131,R131&lt;&gt;0),_xlpm.maxVal,""))</f>
        <v>0.098</v>
      </c>
      <c r="AB131" s="27">
        <f>_xlfn.LET(_xlpm.maxVal,_xlfn.MAXIFS($K:$K,$A:$A,A131),IF(AND(_xlpm.maxVal=K131,S131&lt;&gt;0),_xlpm.maxVal,""))</f>
        <v>0.098</v>
      </c>
      <c r="AC131" s="27">
        <f>_xlfn.LET(_xlpm.maxVal,_xlfn.MAXIFS($K:$K,$A:$A,A131),IF(AND(_xlpm.maxVal=K131,T131&lt;&gt;0),_xlpm.maxVal,""))</f>
        <v>0.098</v>
      </c>
      <c r="AD131" s="27">
        <f>$K131*L131*负载统计!$K$3/60</f>
        <v>0</v>
      </c>
      <c r="AE131" s="27">
        <f>$K131*L131*负载统计!$K$4/60</f>
        <v>0</v>
      </c>
      <c r="AF131" s="27">
        <f>$K131*N131*负载统计!$K$5/60</f>
        <v>0.00163333333333333</v>
      </c>
      <c r="AG131" s="27">
        <f>$K131*O131*负载统计!$K$6/60</f>
        <v>0.0049</v>
      </c>
      <c r="AH131" s="27">
        <f>$K131*P131*负载统计!$K$7/60</f>
        <v>0.0110576666666667</v>
      </c>
      <c r="AI131" s="27">
        <f>$K131*Q131*负载统计!$K$8/60</f>
        <v>0.0712133333333333</v>
      </c>
      <c r="AJ131" s="27">
        <f>$K131*R131*负载统计!$K$9/60</f>
        <v>0.0226216666666667</v>
      </c>
      <c r="AK131" s="27">
        <f>$K131*S131*负载统计!$K$10/60</f>
        <v>0.000816666666666667</v>
      </c>
      <c r="AL131" s="27">
        <f>$K131*T131*负载统计!$K$11/60</f>
        <v>0.00653333333333333</v>
      </c>
    </row>
    <row r="132" spans="1:38">
      <c r="A132" s="1">
        <v>59</v>
      </c>
      <c r="B132" s="24" t="s">
        <v>1400</v>
      </c>
      <c r="C132" s="24" t="s">
        <v>1398</v>
      </c>
      <c r="D132" s="24" t="s">
        <v>1399</v>
      </c>
      <c r="E132" s="24" t="s">
        <v>552</v>
      </c>
      <c r="F132" s="24" t="s">
        <v>553</v>
      </c>
      <c r="G132" s="25">
        <f>VLOOKUP(A132,负载电气特性!A:G,7,FALSE)</f>
        <v>28</v>
      </c>
      <c r="H132" s="26" t="s">
        <v>66</v>
      </c>
      <c r="I132" s="25" t="s">
        <v>1706</v>
      </c>
      <c r="J132" s="25" t="s">
        <v>1712</v>
      </c>
      <c r="K132" s="25">
        <v>0.008</v>
      </c>
      <c r="L132" s="25">
        <v>0</v>
      </c>
      <c r="M132" s="25">
        <v>0</v>
      </c>
      <c r="N132" s="25">
        <v>0</v>
      </c>
      <c r="O132" s="25">
        <v>0</v>
      </c>
      <c r="P132" s="25">
        <v>0</v>
      </c>
      <c r="Q132" s="25">
        <v>0</v>
      </c>
      <c r="R132" s="25">
        <v>0</v>
      </c>
      <c r="S132" s="25">
        <v>0</v>
      </c>
      <c r="T132" s="25">
        <v>0</v>
      </c>
      <c r="U132" s="27" t="str">
        <f>_xlfn.LET(_xlpm.maxVal,_xlfn.MAXIFS($K:$K,$A:$A,A132),IF(AND(_xlpm.maxVal=K132,L132&lt;&gt;0),_xlpm.maxVal,""))</f>
        <v/>
      </c>
      <c r="V132" s="27" t="str">
        <f>_xlfn.LET(_xlpm.maxVal,_xlfn.MAXIFS($K:$K,$A:$A,A132),IF(AND(_xlpm.maxVal=K132,M132&lt;&gt;0),_xlpm.maxVal,""))</f>
        <v/>
      </c>
      <c r="W132" s="27" t="str">
        <f>_xlfn.LET(_xlpm.maxVal,_xlfn.MAXIFS($K:$K,$A:$A,A132),IF(AND(_xlpm.maxVal=K132,N132&lt;&gt;0),_xlpm.maxVal,""))</f>
        <v/>
      </c>
      <c r="X132" s="27" t="str">
        <f>_xlfn.LET(_xlpm.maxVal,_xlfn.MAXIFS($K:$K,$A:$A,A132),IF(AND(_xlpm.maxVal=K132,O132&lt;&gt;0),_xlpm.maxVal,""))</f>
        <v/>
      </c>
      <c r="Y132" s="27" t="str">
        <f>_xlfn.LET(_xlpm.maxVal,_xlfn.MAXIFS($K:$K,$A:$A,A132),IF(AND(_xlpm.maxVal=K132,P132&lt;&gt;0),_xlpm.maxVal,""))</f>
        <v/>
      </c>
      <c r="Z132" s="27" t="str">
        <f>_xlfn.LET(_xlpm.maxVal,_xlfn.MAXIFS($K:$K,$A:$A,A132),IF(AND(_xlpm.maxVal=K132,Q132&lt;&gt;0),_xlpm.maxVal,""))</f>
        <v/>
      </c>
      <c r="AA132" s="27" t="str">
        <f>_xlfn.LET(_xlpm.maxVal,_xlfn.MAXIFS($K:$K,$A:$A,A132),IF(AND(_xlpm.maxVal=K132,R132&lt;&gt;0),_xlpm.maxVal,""))</f>
        <v/>
      </c>
      <c r="AB132" s="27" t="str">
        <f>_xlfn.LET(_xlpm.maxVal,_xlfn.MAXIFS($K:$K,$A:$A,A132),IF(AND(_xlpm.maxVal=K132,S132&lt;&gt;0),_xlpm.maxVal,""))</f>
        <v/>
      </c>
      <c r="AC132" s="27" t="str">
        <f>_xlfn.LET(_xlpm.maxVal,_xlfn.MAXIFS($K:$K,$A:$A,A132),IF(AND(_xlpm.maxVal=K132,T132&lt;&gt;0),_xlpm.maxVal,""))</f>
        <v/>
      </c>
      <c r="AD132" s="27">
        <f>$K132*L132*负载统计!$K$3/60</f>
        <v>0</v>
      </c>
      <c r="AE132" s="27">
        <f>$K132*L132*负载统计!$K$4/60</f>
        <v>0</v>
      </c>
      <c r="AF132" s="27">
        <f>$K132*N132*负载统计!$K$5/60</f>
        <v>0</v>
      </c>
      <c r="AG132" s="27">
        <f>$K132*O132*负载统计!$K$6/60</f>
        <v>0</v>
      </c>
      <c r="AH132" s="27">
        <f>$K132*P132*负载统计!$K$7/60</f>
        <v>0</v>
      </c>
      <c r="AI132" s="27">
        <f>$K132*Q132*负载统计!$K$8/60</f>
        <v>0</v>
      </c>
      <c r="AJ132" s="27">
        <f>$K132*R132*负载统计!$K$9/60</f>
        <v>0</v>
      </c>
      <c r="AK132" s="27">
        <f>$K132*S132*负载统计!$K$10/60</f>
        <v>0</v>
      </c>
      <c r="AL132" s="27">
        <f>$K132*T132*负载统计!$K$11/60</f>
        <v>0</v>
      </c>
    </row>
    <row r="133" spans="1:38">
      <c r="A133" s="1">
        <v>59</v>
      </c>
      <c r="B133" s="24" t="s">
        <v>1400</v>
      </c>
      <c r="C133" s="24" t="s">
        <v>1398</v>
      </c>
      <c r="D133" s="24" t="s">
        <v>1399</v>
      </c>
      <c r="E133" s="24" t="s">
        <v>552</v>
      </c>
      <c r="F133" s="24" t="s">
        <v>553</v>
      </c>
      <c r="G133" s="25">
        <f>VLOOKUP(A133,负载电气特性!A:G,7,FALSE)</f>
        <v>28</v>
      </c>
      <c r="H133" s="26" t="s">
        <v>66</v>
      </c>
      <c r="I133" s="25" t="s">
        <v>1706</v>
      </c>
      <c r="J133" s="25" t="s">
        <v>1708</v>
      </c>
      <c r="K133" s="25">
        <v>0</v>
      </c>
      <c r="L133" s="25">
        <v>0</v>
      </c>
      <c r="M133" s="25">
        <v>0</v>
      </c>
      <c r="N133" s="25">
        <v>0</v>
      </c>
      <c r="O133" s="25">
        <v>0</v>
      </c>
      <c r="P133" s="25">
        <v>0</v>
      </c>
      <c r="Q133" s="25">
        <v>0</v>
      </c>
      <c r="R133" s="25">
        <v>0</v>
      </c>
      <c r="S133" s="25">
        <v>0</v>
      </c>
      <c r="T133" s="25">
        <v>0</v>
      </c>
      <c r="U133" s="27" t="str">
        <f>_xlfn.LET(_xlpm.maxVal,_xlfn.MAXIFS($K:$K,$A:$A,A133),IF(AND(_xlpm.maxVal=K133,L133&lt;&gt;0),_xlpm.maxVal,""))</f>
        <v/>
      </c>
      <c r="V133" s="27" t="str">
        <f>_xlfn.LET(_xlpm.maxVal,_xlfn.MAXIFS($K:$K,$A:$A,A133),IF(AND(_xlpm.maxVal=K133,M133&lt;&gt;0),_xlpm.maxVal,""))</f>
        <v/>
      </c>
      <c r="W133" s="27" t="str">
        <f>_xlfn.LET(_xlpm.maxVal,_xlfn.MAXIFS($K:$K,$A:$A,A133),IF(AND(_xlpm.maxVal=K133,N133&lt;&gt;0),_xlpm.maxVal,""))</f>
        <v/>
      </c>
      <c r="X133" s="27" t="str">
        <f>_xlfn.LET(_xlpm.maxVal,_xlfn.MAXIFS($K:$K,$A:$A,A133),IF(AND(_xlpm.maxVal=K133,O133&lt;&gt;0),_xlpm.maxVal,""))</f>
        <v/>
      </c>
      <c r="Y133" s="27" t="str">
        <f>_xlfn.LET(_xlpm.maxVal,_xlfn.MAXIFS($K:$K,$A:$A,A133),IF(AND(_xlpm.maxVal=K133,P133&lt;&gt;0),_xlpm.maxVal,""))</f>
        <v/>
      </c>
      <c r="Z133" s="27" t="str">
        <f>_xlfn.LET(_xlpm.maxVal,_xlfn.MAXIFS($K:$K,$A:$A,A133),IF(AND(_xlpm.maxVal=K133,Q133&lt;&gt;0),_xlpm.maxVal,""))</f>
        <v/>
      </c>
      <c r="AA133" s="27" t="str">
        <f>_xlfn.LET(_xlpm.maxVal,_xlfn.MAXIFS($K:$K,$A:$A,A133),IF(AND(_xlpm.maxVal=K133,R133&lt;&gt;0),_xlpm.maxVal,""))</f>
        <v/>
      </c>
      <c r="AB133" s="27" t="str">
        <f>_xlfn.LET(_xlpm.maxVal,_xlfn.MAXIFS($K:$K,$A:$A,A133),IF(AND(_xlpm.maxVal=K133,S133&lt;&gt;0),_xlpm.maxVal,""))</f>
        <v/>
      </c>
      <c r="AC133" s="27" t="str">
        <f>_xlfn.LET(_xlpm.maxVal,_xlfn.MAXIFS($K:$K,$A:$A,A133),IF(AND(_xlpm.maxVal=K133,T133&lt;&gt;0),_xlpm.maxVal,""))</f>
        <v/>
      </c>
      <c r="AD133" s="27">
        <f>$K133*L133*负载统计!$K$3/60</f>
        <v>0</v>
      </c>
      <c r="AE133" s="27">
        <f>$K133*L133*负载统计!$K$4/60</f>
        <v>0</v>
      </c>
      <c r="AF133" s="27">
        <f>$K133*N133*负载统计!$K$5/60</f>
        <v>0</v>
      </c>
      <c r="AG133" s="27">
        <f>$K133*O133*负载统计!$K$6/60</f>
        <v>0</v>
      </c>
      <c r="AH133" s="27">
        <f>$K133*P133*负载统计!$K$7/60</f>
        <v>0</v>
      </c>
      <c r="AI133" s="27">
        <f>$K133*Q133*负载统计!$K$8/60</f>
        <v>0</v>
      </c>
      <c r="AJ133" s="27">
        <f>$K133*R133*负载统计!$K$9/60</f>
        <v>0</v>
      </c>
      <c r="AK133" s="27">
        <f>$K133*S133*负载统计!$K$10/60</f>
        <v>0</v>
      </c>
      <c r="AL133" s="27">
        <f>$K133*T133*负载统计!$K$11/60</f>
        <v>0</v>
      </c>
    </row>
    <row r="134" spans="1:38">
      <c r="A134" s="1">
        <v>60</v>
      </c>
      <c r="B134" s="24" t="s">
        <v>1401</v>
      </c>
      <c r="C134" s="24" t="s">
        <v>1398</v>
      </c>
      <c r="D134" s="24" t="s">
        <v>1402</v>
      </c>
      <c r="E134" s="24" t="s">
        <v>552</v>
      </c>
      <c r="F134" s="24" t="s">
        <v>555</v>
      </c>
      <c r="G134" s="25">
        <f>VLOOKUP(A134,负载电气特性!A:G,7,FALSE)</f>
        <v>270</v>
      </c>
      <c r="H134" s="26" t="s">
        <v>66</v>
      </c>
      <c r="I134" s="24" t="s">
        <v>1709</v>
      </c>
      <c r="J134" s="24" t="s">
        <v>1707</v>
      </c>
      <c r="K134" s="25">
        <v>1.35</v>
      </c>
      <c r="L134" s="25">
        <v>0</v>
      </c>
      <c r="M134" s="25">
        <v>0</v>
      </c>
      <c r="N134" s="25">
        <v>0</v>
      </c>
      <c r="O134" s="25">
        <v>0</v>
      </c>
      <c r="P134" s="25">
        <v>0.074</v>
      </c>
      <c r="Q134" s="25">
        <v>0</v>
      </c>
      <c r="R134" s="25">
        <v>0.036</v>
      </c>
      <c r="S134" s="25">
        <v>0</v>
      </c>
      <c r="T134" s="25">
        <v>0</v>
      </c>
      <c r="U134" s="27" t="str">
        <f>_xlfn.LET(_xlpm.maxVal,_xlfn.MAXIFS($K:$K,$A:$A,A134),IF(AND(_xlpm.maxVal=K134,L134&lt;&gt;0),_xlpm.maxVal,""))</f>
        <v/>
      </c>
      <c r="V134" s="27" t="str">
        <f>_xlfn.LET(_xlpm.maxVal,_xlfn.MAXIFS($K:$K,$A:$A,A134),IF(AND(_xlpm.maxVal=K134,M134&lt;&gt;0),_xlpm.maxVal,""))</f>
        <v/>
      </c>
      <c r="W134" s="27" t="str">
        <f>_xlfn.LET(_xlpm.maxVal,_xlfn.MAXIFS($K:$K,$A:$A,A134),IF(AND(_xlpm.maxVal=K134,N134&lt;&gt;0),_xlpm.maxVal,""))</f>
        <v/>
      </c>
      <c r="X134" s="27" t="str">
        <f>_xlfn.LET(_xlpm.maxVal,_xlfn.MAXIFS($K:$K,$A:$A,A134),IF(AND(_xlpm.maxVal=K134,O134&lt;&gt;0),_xlpm.maxVal,""))</f>
        <v/>
      </c>
      <c r="Y134" s="27">
        <f>_xlfn.LET(_xlpm.maxVal,_xlfn.MAXIFS($K:$K,$A:$A,A134),IF(AND(_xlpm.maxVal=K134,P134&lt;&gt;0),_xlpm.maxVal,""))</f>
        <v>1.35</v>
      </c>
      <c r="Z134" s="27" t="str">
        <f>_xlfn.LET(_xlpm.maxVal,_xlfn.MAXIFS($K:$K,$A:$A,A134),IF(AND(_xlpm.maxVal=K134,Q134&lt;&gt;0),_xlpm.maxVal,""))</f>
        <v/>
      </c>
      <c r="AA134" s="27">
        <f>_xlfn.LET(_xlpm.maxVal,_xlfn.MAXIFS($K:$K,$A:$A,A134),IF(AND(_xlpm.maxVal=K134,R134&lt;&gt;0),_xlpm.maxVal,""))</f>
        <v>1.35</v>
      </c>
      <c r="AB134" s="27" t="str">
        <f>_xlfn.LET(_xlpm.maxVal,_xlfn.MAXIFS($K:$K,$A:$A,A134),IF(AND(_xlpm.maxVal=K134,S134&lt;&gt;0),_xlpm.maxVal,""))</f>
        <v/>
      </c>
      <c r="AC134" s="27" t="str">
        <f>_xlfn.LET(_xlpm.maxVal,_xlfn.MAXIFS($K:$K,$A:$A,A134),IF(AND(_xlpm.maxVal=K134,T134&lt;&gt;0),_xlpm.maxVal,""))</f>
        <v/>
      </c>
      <c r="AD134" s="27">
        <f>$K134*L134*负载统计!$K$3/60</f>
        <v>0</v>
      </c>
      <c r="AE134" s="27">
        <f>$K134*L134*负载统计!$K$4/60</f>
        <v>0</v>
      </c>
      <c r="AF134" s="27">
        <f>$K134*N134*负载统计!$K$5/60</f>
        <v>0</v>
      </c>
      <c r="AG134" s="27">
        <f>$K134*O134*负载统计!$K$6/60</f>
        <v>0</v>
      </c>
      <c r="AH134" s="27">
        <f>$K134*P134*负载统计!$K$7/60</f>
        <v>0.01127205</v>
      </c>
      <c r="AI134" s="27">
        <f>$K134*Q134*负载统计!$K$8/60</f>
        <v>0</v>
      </c>
      <c r="AJ134" s="27">
        <f>$K134*R134*负载统计!$K$9/60</f>
        <v>0.0112185</v>
      </c>
      <c r="AK134" s="27">
        <f>$K134*S134*负载统计!$K$10/60</f>
        <v>0</v>
      </c>
      <c r="AL134" s="27">
        <f>$K134*T134*负载统计!$K$11/60</f>
        <v>0</v>
      </c>
    </row>
    <row r="135" spans="1:38">
      <c r="A135" s="1">
        <v>60</v>
      </c>
      <c r="B135" s="24" t="s">
        <v>1401</v>
      </c>
      <c r="C135" s="24" t="s">
        <v>1398</v>
      </c>
      <c r="D135" s="24" t="s">
        <v>1402</v>
      </c>
      <c r="E135" s="24" t="s">
        <v>552</v>
      </c>
      <c r="F135" s="24" t="s">
        <v>555</v>
      </c>
      <c r="G135" s="25">
        <f>VLOOKUP(A135,负载电气特性!A:G,7,FALSE)</f>
        <v>270</v>
      </c>
      <c r="H135" s="26" t="s">
        <v>66</v>
      </c>
      <c r="I135" s="24" t="s">
        <v>1709</v>
      </c>
      <c r="J135" s="25" t="s">
        <v>1708</v>
      </c>
      <c r="K135" s="25">
        <v>0</v>
      </c>
      <c r="L135" s="25">
        <v>1</v>
      </c>
      <c r="M135" s="25">
        <v>1</v>
      </c>
      <c r="N135" s="25">
        <v>1</v>
      </c>
      <c r="O135" s="25">
        <v>1</v>
      </c>
      <c r="P135" s="25">
        <f>1-P134</f>
        <v>0.926</v>
      </c>
      <c r="Q135" s="25">
        <v>1</v>
      </c>
      <c r="R135" s="25">
        <f>1-R134</f>
        <v>0.964</v>
      </c>
      <c r="S135" s="25">
        <v>1</v>
      </c>
      <c r="T135" s="25">
        <v>1</v>
      </c>
      <c r="U135" s="27" t="str">
        <f>_xlfn.LET(_xlpm.maxVal,_xlfn.MAXIFS($K:$K,$A:$A,A135),IF(AND(_xlpm.maxVal=K135,L135&lt;&gt;0),_xlpm.maxVal,""))</f>
        <v/>
      </c>
      <c r="V135" s="27" t="str">
        <f>_xlfn.LET(_xlpm.maxVal,_xlfn.MAXIFS($K:$K,$A:$A,A135),IF(AND(_xlpm.maxVal=K135,M135&lt;&gt;0),_xlpm.maxVal,""))</f>
        <v/>
      </c>
      <c r="W135" s="27" t="str">
        <f>_xlfn.LET(_xlpm.maxVal,_xlfn.MAXIFS($K:$K,$A:$A,A135),IF(AND(_xlpm.maxVal=K135,N135&lt;&gt;0),_xlpm.maxVal,""))</f>
        <v/>
      </c>
      <c r="X135" s="27" t="str">
        <f>_xlfn.LET(_xlpm.maxVal,_xlfn.MAXIFS($K:$K,$A:$A,A135),IF(AND(_xlpm.maxVal=K135,O135&lt;&gt;0),_xlpm.maxVal,""))</f>
        <v/>
      </c>
      <c r="Y135" s="27" t="str">
        <f>_xlfn.LET(_xlpm.maxVal,_xlfn.MAXIFS($K:$K,$A:$A,A135),IF(AND(_xlpm.maxVal=K135,P135&lt;&gt;0),_xlpm.maxVal,""))</f>
        <v/>
      </c>
      <c r="Z135" s="27" t="str">
        <f>_xlfn.LET(_xlpm.maxVal,_xlfn.MAXIFS($K:$K,$A:$A,A135),IF(AND(_xlpm.maxVal=K135,Q135&lt;&gt;0),_xlpm.maxVal,""))</f>
        <v/>
      </c>
      <c r="AA135" s="27" t="str">
        <f>_xlfn.LET(_xlpm.maxVal,_xlfn.MAXIFS($K:$K,$A:$A,A135),IF(AND(_xlpm.maxVal=K135,R135&lt;&gt;0),_xlpm.maxVal,""))</f>
        <v/>
      </c>
      <c r="AB135" s="27" t="str">
        <f>_xlfn.LET(_xlpm.maxVal,_xlfn.MAXIFS($K:$K,$A:$A,A135),IF(AND(_xlpm.maxVal=K135,S135&lt;&gt;0),_xlpm.maxVal,""))</f>
        <v/>
      </c>
      <c r="AC135" s="27" t="str">
        <f>_xlfn.LET(_xlpm.maxVal,_xlfn.MAXIFS($K:$K,$A:$A,A135),IF(AND(_xlpm.maxVal=K135,T135&lt;&gt;0),_xlpm.maxVal,""))</f>
        <v/>
      </c>
      <c r="AD135" s="27">
        <f>$K135*L135*负载统计!$K$3/60</f>
        <v>0</v>
      </c>
      <c r="AE135" s="27">
        <f>$K135*L135*负载统计!$K$4/60</f>
        <v>0</v>
      </c>
      <c r="AF135" s="27">
        <f>$K135*N135*负载统计!$K$5/60</f>
        <v>0</v>
      </c>
      <c r="AG135" s="27">
        <f>$K135*O135*负载统计!$K$6/60</f>
        <v>0</v>
      </c>
      <c r="AH135" s="27">
        <f>$K135*P135*负载统计!$K$7/60</f>
        <v>0</v>
      </c>
      <c r="AI135" s="27">
        <f>$K135*Q135*负载统计!$K$8/60</f>
        <v>0</v>
      </c>
      <c r="AJ135" s="27">
        <f>$K135*R135*负载统计!$K$9/60</f>
        <v>0</v>
      </c>
      <c r="AK135" s="27">
        <f>$K135*S135*负载统计!$K$10/60</f>
        <v>0</v>
      </c>
      <c r="AL135" s="27">
        <f>$K135*T135*负载统计!$K$11/60</f>
        <v>0</v>
      </c>
    </row>
    <row r="136" spans="1:38">
      <c r="A136" s="1">
        <v>61</v>
      </c>
      <c r="B136" s="24" t="s">
        <v>1403</v>
      </c>
      <c r="C136" s="24" t="s">
        <v>1398</v>
      </c>
      <c r="D136" s="24" t="s">
        <v>1402</v>
      </c>
      <c r="E136" s="24" t="s">
        <v>552</v>
      </c>
      <c r="F136" s="24" t="s">
        <v>555</v>
      </c>
      <c r="G136" s="25">
        <f>VLOOKUP(A136,负载电气特性!A:G,7,FALSE)</f>
        <v>28</v>
      </c>
      <c r="H136" s="26" t="s">
        <v>66</v>
      </c>
      <c r="I136" s="25" t="s">
        <v>1706</v>
      </c>
      <c r="J136" s="24" t="s">
        <v>1707</v>
      </c>
      <c r="K136" s="25">
        <v>0.098</v>
      </c>
      <c r="L136" s="25">
        <v>1</v>
      </c>
      <c r="M136" s="25">
        <v>1</v>
      </c>
      <c r="N136" s="25">
        <v>1</v>
      </c>
      <c r="O136" s="25">
        <v>1</v>
      </c>
      <c r="P136" s="25">
        <v>1</v>
      </c>
      <c r="Q136" s="25">
        <v>1</v>
      </c>
      <c r="R136" s="25">
        <v>1</v>
      </c>
      <c r="S136" s="25">
        <v>1</v>
      </c>
      <c r="T136" s="25">
        <v>1</v>
      </c>
      <c r="U136" s="27">
        <f>_xlfn.LET(_xlpm.maxVal,_xlfn.MAXIFS($K:$K,$A:$A,A136),IF(AND(_xlpm.maxVal=K136,L136&lt;&gt;0),_xlpm.maxVal,""))</f>
        <v>0.098</v>
      </c>
      <c r="V136" s="27">
        <f>_xlfn.LET(_xlpm.maxVal,_xlfn.MAXIFS($K:$K,$A:$A,A136),IF(AND(_xlpm.maxVal=K136,M136&lt;&gt;0),_xlpm.maxVal,""))</f>
        <v>0.098</v>
      </c>
      <c r="W136" s="27">
        <f>_xlfn.LET(_xlpm.maxVal,_xlfn.MAXIFS($K:$K,$A:$A,A136),IF(AND(_xlpm.maxVal=K136,N136&lt;&gt;0),_xlpm.maxVal,""))</f>
        <v>0.098</v>
      </c>
      <c r="X136" s="27">
        <f>_xlfn.LET(_xlpm.maxVal,_xlfn.MAXIFS($K:$K,$A:$A,A136),IF(AND(_xlpm.maxVal=K136,O136&lt;&gt;0),_xlpm.maxVal,""))</f>
        <v>0.098</v>
      </c>
      <c r="Y136" s="27">
        <f>_xlfn.LET(_xlpm.maxVal,_xlfn.MAXIFS($K:$K,$A:$A,A136),IF(AND(_xlpm.maxVal=K136,P136&lt;&gt;0),_xlpm.maxVal,""))</f>
        <v>0.098</v>
      </c>
      <c r="Z136" s="27">
        <f>_xlfn.LET(_xlpm.maxVal,_xlfn.MAXIFS($K:$K,$A:$A,A136),IF(AND(_xlpm.maxVal=K136,Q136&lt;&gt;0),_xlpm.maxVal,""))</f>
        <v>0.098</v>
      </c>
      <c r="AA136" s="27">
        <f>_xlfn.LET(_xlpm.maxVal,_xlfn.MAXIFS($K:$K,$A:$A,A136),IF(AND(_xlpm.maxVal=K136,R136&lt;&gt;0),_xlpm.maxVal,""))</f>
        <v>0.098</v>
      </c>
      <c r="AB136" s="27">
        <f>_xlfn.LET(_xlpm.maxVal,_xlfn.MAXIFS($K:$K,$A:$A,A136),IF(AND(_xlpm.maxVal=K136,S136&lt;&gt;0),_xlpm.maxVal,""))</f>
        <v>0.098</v>
      </c>
      <c r="AC136" s="27">
        <f>_xlfn.LET(_xlpm.maxVal,_xlfn.MAXIFS($K:$K,$A:$A,A136),IF(AND(_xlpm.maxVal=K136,T136&lt;&gt;0),_xlpm.maxVal,""))</f>
        <v>0.098</v>
      </c>
      <c r="AD136" s="27">
        <f>$K136*L136*负载统计!$K$3/60</f>
        <v>0</v>
      </c>
      <c r="AE136" s="27">
        <f>$K136*L136*负载统计!$K$4/60</f>
        <v>0</v>
      </c>
      <c r="AF136" s="27">
        <f>$K136*N136*负载统计!$K$5/60</f>
        <v>0.00163333333333333</v>
      </c>
      <c r="AG136" s="27">
        <f>$K136*O136*负载统计!$K$6/60</f>
        <v>0.0049</v>
      </c>
      <c r="AH136" s="27">
        <f>$K136*P136*负载统计!$K$7/60</f>
        <v>0.0110576666666667</v>
      </c>
      <c r="AI136" s="27">
        <f>$K136*Q136*负载统计!$K$8/60</f>
        <v>0.0712133333333333</v>
      </c>
      <c r="AJ136" s="27">
        <f>$K136*R136*负载统计!$K$9/60</f>
        <v>0.0226216666666667</v>
      </c>
      <c r="AK136" s="27">
        <f>$K136*S136*负载统计!$K$10/60</f>
        <v>0.000816666666666667</v>
      </c>
      <c r="AL136" s="27">
        <f>$K136*T136*负载统计!$K$11/60</f>
        <v>0.00653333333333333</v>
      </c>
    </row>
    <row r="137" spans="1:38">
      <c r="A137" s="1">
        <v>61</v>
      </c>
      <c r="B137" s="24" t="s">
        <v>1403</v>
      </c>
      <c r="C137" s="24" t="s">
        <v>1398</v>
      </c>
      <c r="D137" s="24" t="s">
        <v>1402</v>
      </c>
      <c r="E137" s="24" t="s">
        <v>552</v>
      </c>
      <c r="F137" s="24" t="s">
        <v>555</v>
      </c>
      <c r="G137" s="25">
        <f>VLOOKUP(A137,负载电气特性!A:G,7,FALSE)</f>
        <v>28</v>
      </c>
      <c r="H137" s="26" t="s">
        <v>66</v>
      </c>
      <c r="I137" s="25" t="s">
        <v>1706</v>
      </c>
      <c r="J137" s="25" t="s">
        <v>1712</v>
      </c>
      <c r="K137" s="25">
        <v>0.008</v>
      </c>
      <c r="L137" s="25">
        <v>0</v>
      </c>
      <c r="M137" s="25">
        <v>0</v>
      </c>
      <c r="N137" s="25">
        <v>0</v>
      </c>
      <c r="O137" s="25">
        <v>0</v>
      </c>
      <c r="P137" s="25">
        <v>0</v>
      </c>
      <c r="Q137" s="25">
        <v>0</v>
      </c>
      <c r="R137" s="25">
        <v>0</v>
      </c>
      <c r="S137" s="25">
        <v>0</v>
      </c>
      <c r="T137" s="25">
        <v>0</v>
      </c>
      <c r="U137" s="27" t="str">
        <f>_xlfn.LET(_xlpm.maxVal,_xlfn.MAXIFS($K:$K,$A:$A,A137),IF(AND(_xlpm.maxVal=K137,L137&lt;&gt;0),_xlpm.maxVal,""))</f>
        <v/>
      </c>
      <c r="V137" s="27" t="str">
        <f>_xlfn.LET(_xlpm.maxVal,_xlfn.MAXIFS($K:$K,$A:$A,A137),IF(AND(_xlpm.maxVal=K137,M137&lt;&gt;0),_xlpm.maxVal,""))</f>
        <v/>
      </c>
      <c r="W137" s="27" t="str">
        <f>_xlfn.LET(_xlpm.maxVal,_xlfn.MAXIFS($K:$K,$A:$A,A137),IF(AND(_xlpm.maxVal=K137,N137&lt;&gt;0),_xlpm.maxVal,""))</f>
        <v/>
      </c>
      <c r="X137" s="27" t="str">
        <f>_xlfn.LET(_xlpm.maxVal,_xlfn.MAXIFS($K:$K,$A:$A,A137),IF(AND(_xlpm.maxVal=K137,O137&lt;&gt;0),_xlpm.maxVal,""))</f>
        <v/>
      </c>
      <c r="Y137" s="27" t="str">
        <f>_xlfn.LET(_xlpm.maxVal,_xlfn.MAXIFS($K:$K,$A:$A,A137),IF(AND(_xlpm.maxVal=K137,P137&lt;&gt;0),_xlpm.maxVal,""))</f>
        <v/>
      </c>
      <c r="Z137" s="27" t="str">
        <f>_xlfn.LET(_xlpm.maxVal,_xlfn.MAXIFS($K:$K,$A:$A,A137),IF(AND(_xlpm.maxVal=K137,Q137&lt;&gt;0),_xlpm.maxVal,""))</f>
        <v/>
      </c>
      <c r="AA137" s="27" t="str">
        <f>_xlfn.LET(_xlpm.maxVal,_xlfn.MAXIFS($K:$K,$A:$A,A137),IF(AND(_xlpm.maxVal=K137,R137&lt;&gt;0),_xlpm.maxVal,""))</f>
        <v/>
      </c>
      <c r="AB137" s="27" t="str">
        <f>_xlfn.LET(_xlpm.maxVal,_xlfn.MAXIFS($K:$K,$A:$A,A137),IF(AND(_xlpm.maxVal=K137,S137&lt;&gt;0),_xlpm.maxVal,""))</f>
        <v/>
      </c>
      <c r="AC137" s="27" t="str">
        <f>_xlfn.LET(_xlpm.maxVal,_xlfn.MAXIFS($K:$K,$A:$A,A137),IF(AND(_xlpm.maxVal=K137,T137&lt;&gt;0),_xlpm.maxVal,""))</f>
        <v/>
      </c>
      <c r="AD137" s="27">
        <f>$K137*L137*负载统计!$K$3/60</f>
        <v>0</v>
      </c>
      <c r="AE137" s="27">
        <f>$K137*L137*负载统计!$K$4/60</f>
        <v>0</v>
      </c>
      <c r="AF137" s="27">
        <f>$K137*N137*负载统计!$K$5/60</f>
        <v>0</v>
      </c>
      <c r="AG137" s="27">
        <f>$K137*O137*负载统计!$K$6/60</f>
        <v>0</v>
      </c>
      <c r="AH137" s="27">
        <f>$K137*P137*负载统计!$K$7/60</f>
        <v>0</v>
      </c>
      <c r="AI137" s="27">
        <f>$K137*Q137*负载统计!$K$8/60</f>
        <v>0</v>
      </c>
      <c r="AJ137" s="27">
        <f>$K137*R137*负载统计!$K$9/60</f>
        <v>0</v>
      </c>
      <c r="AK137" s="27">
        <f>$K137*S137*负载统计!$K$10/60</f>
        <v>0</v>
      </c>
      <c r="AL137" s="27">
        <f>$K137*T137*负载统计!$K$11/60</f>
        <v>0</v>
      </c>
    </row>
    <row r="138" spans="1:38">
      <c r="A138" s="1">
        <v>61</v>
      </c>
      <c r="B138" s="24" t="s">
        <v>1403</v>
      </c>
      <c r="C138" s="24" t="s">
        <v>1398</v>
      </c>
      <c r="D138" s="24" t="s">
        <v>1402</v>
      </c>
      <c r="E138" s="24" t="s">
        <v>552</v>
      </c>
      <c r="F138" s="24" t="s">
        <v>555</v>
      </c>
      <c r="G138" s="25">
        <f>VLOOKUP(A138,负载电气特性!A:G,7,FALSE)</f>
        <v>28</v>
      </c>
      <c r="H138" s="26" t="s">
        <v>66</v>
      </c>
      <c r="I138" s="25" t="s">
        <v>1706</v>
      </c>
      <c r="J138" s="25" t="s">
        <v>1708</v>
      </c>
      <c r="K138" s="25">
        <v>0</v>
      </c>
      <c r="L138" s="25">
        <v>0</v>
      </c>
      <c r="M138" s="25">
        <v>0</v>
      </c>
      <c r="N138" s="25">
        <v>0</v>
      </c>
      <c r="O138" s="25">
        <v>0</v>
      </c>
      <c r="P138" s="25">
        <v>0</v>
      </c>
      <c r="Q138" s="25">
        <v>0</v>
      </c>
      <c r="R138" s="25">
        <v>0</v>
      </c>
      <c r="S138" s="25">
        <v>0</v>
      </c>
      <c r="T138" s="25">
        <v>0</v>
      </c>
      <c r="U138" s="27" t="str">
        <f>_xlfn.LET(_xlpm.maxVal,_xlfn.MAXIFS($K:$K,$A:$A,A138),IF(AND(_xlpm.maxVal=K138,L138&lt;&gt;0),_xlpm.maxVal,""))</f>
        <v/>
      </c>
      <c r="V138" s="27" t="str">
        <f>_xlfn.LET(_xlpm.maxVal,_xlfn.MAXIFS($K:$K,$A:$A,A138),IF(AND(_xlpm.maxVal=K138,M138&lt;&gt;0),_xlpm.maxVal,""))</f>
        <v/>
      </c>
      <c r="W138" s="27" t="str">
        <f>_xlfn.LET(_xlpm.maxVal,_xlfn.MAXIFS($K:$K,$A:$A,A138),IF(AND(_xlpm.maxVal=K138,N138&lt;&gt;0),_xlpm.maxVal,""))</f>
        <v/>
      </c>
      <c r="X138" s="27" t="str">
        <f>_xlfn.LET(_xlpm.maxVal,_xlfn.MAXIFS($K:$K,$A:$A,A138),IF(AND(_xlpm.maxVal=K138,O138&lt;&gt;0),_xlpm.maxVal,""))</f>
        <v/>
      </c>
      <c r="Y138" s="27" t="str">
        <f>_xlfn.LET(_xlpm.maxVal,_xlfn.MAXIFS($K:$K,$A:$A,A138),IF(AND(_xlpm.maxVal=K138,P138&lt;&gt;0),_xlpm.maxVal,""))</f>
        <v/>
      </c>
      <c r="Z138" s="27" t="str">
        <f>_xlfn.LET(_xlpm.maxVal,_xlfn.MAXIFS($K:$K,$A:$A,A138),IF(AND(_xlpm.maxVal=K138,Q138&lt;&gt;0),_xlpm.maxVal,""))</f>
        <v/>
      </c>
      <c r="AA138" s="27" t="str">
        <f>_xlfn.LET(_xlpm.maxVal,_xlfn.MAXIFS($K:$K,$A:$A,A138),IF(AND(_xlpm.maxVal=K138,R138&lt;&gt;0),_xlpm.maxVal,""))</f>
        <v/>
      </c>
      <c r="AB138" s="27" t="str">
        <f>_xlfn.LET(_xlpm.maxVal,_xlfn.MAXIFS($K:$K,$A:$A,A138),IF(AND(_xlpm.maxVal=K138,S138&lt;&gt;0),_xlpm.maxVal,""))</f>
        <v/>
      </c>
      <c r="AC138" s="27" t="str">
        <f>_xlfn.LET(_xlpm.maxVal,_xlfn.MAXIFS($K:$K,$A:$A,A138),IF(AND(_xlpm.maxVal=K138,T138&lt;&gt;0),_xlpm.maxVal,""))</f>
        <v/>
      </c>
      <c r="AD138" s="27">
        <f>$K138*L138*负载统计!$K$3/60</f>
        <v>0</v>
      </c>
      <c r="AE138" s="27">
        <f>$K138*L138*负载统计!$K$4/60</f>
        <v>0</v>
      </c>
      <c r="AF138" s="27">
        <f>$K138*N138*负载统计!$K$5/60</f>
        <v>0</v>
      </c>
      <c r="AG138" s="27">
        <f>$K138*O138*负载统计!$K$6/60</f>
        <v>0</v>
      </c>
      <c r="AH138" s="27">
        <f>$K138*P138*负载统计!$K$7/60</f>
        <v>0</v>
      </c>
      <c r="AI138" s="27">
        <f>$K138*Q138*负载统计!$K$8/60</f>
        <v>0</v>
      </c>
      <c r="AJ138" s="27">
        <f>$K138*R138*负载统计!$K$9/60</f>
        <v>0</v>
      </c>
      <c r="AK138" s="27">
        <f>$K138*S138*负载统计!$K$10/60</f>
        <v>0</v>
      </c>
      <c r="AL138" s="27">
        <f>$K138*T138*负载统计!$K$11/60</f>
        <v>0</v>
      </c>
    </row>
    <row r="139" spans="1:38">
      <c r="A139" s="1">
        <v>62</v>
      </c>
      <c r="B139" s="24" t="s">
        <v>1404</v>
      </c>
      <c r="C139" s="24" t="s">
        <v>1398</v>
      </c>
      <c r="D139" s="24" t="s">
        <v>1405</v>
      </c>
      <c r="E139" s="24" t="s">
        <v>557</v>
      </c>
      <c r="F139" s="24" t="s">
        <v>558</v>
      </c>
      <c r="G139" s="25">
        <f>VLOOKUP(A139,负载电气特性!A:G,7,FALSE)</f>
        <v>270</v>
      </c>
      <c r="H139" s="26" t="s">
        <v>66</v>
      </c>
      <c r="I139" s="24" t="s">
        <v>1709</v>
      </c>
      <c r="J139" s="24" t="s">
        <v>1707</v>
      </c>
      <c r="K139" s="25">
        <v>1.35</v>
      </c>
      <c r="L139" s="25">
        <v>0</v>
      </c>
      <c r="M139" s="25">
        <v>0</v>
      </c>
      <c r="N139" s="25">
        <v>0</v>
      </c>
      <c r="O139" s="25">
        <v>0</v>
      </c>
      <c r="P139" s="25">
        <v>0.074</v>
      </c>
      <c r="Q139" s="25">
        <v>0</v>
      </c>
      <c r="R139" s="25">
        <v>0.036</v>
      </c>
      <c r="S139" s="25">
        <v>0</v>
      </c>
      <c r="T139" s="25">
        <v>0</v>
      </c>
      <c r="U139" s="27" t="str">
        <f>_xlfn.LET(_xlpm.maxVal,_xlfn.MAXIFS($K:$K,$A:$A,A139),IF(AND(_xlpm.maxVal=K139,L139&lt;&gt;0),_xlpm.maxVal,""))</f>
        <v/>
      </c>
      <c r="V139" s="27" t="str">
        <f>_xlfn.LET(_xlpm.maxVal,_xlfn.MAXIFS($K:$K,$A:$A,A139),IF(AND(_xlpm.maxVal=K139,M139&lt;&gt;0),_xlpm.maxVal,""))</f>
        <v/>
      </c>
      <c r="W139" s="27" t="str">
        <f>_xlfn.LET(_xlpm.maxVal,_xlfn.MAXIFS($K:$K,$A:$A,A139),IF(AND(_xlpm.maxVal=K139,N139&lt;&gt;0),_xlpm.maxVal,""))</f>
        <v/>
      </c>
      <c r="X139" s="27" t="str">
        <f>_xlfn.LET(_xlpm.maxVal,_xlfn.MAXIFS($K:$K,$A:$A,A139),IF(AND(_xlpm.maxVal=K139,O139&lt;&gt;0),_xlpm.maxVal,""))</f>
        <v/>
      </c>
      <c r="Y139" s="27">
        <f>_xlfn.LET(_xlpm.maxVal,_xlfn.MAXIFS($K:$K,$A:$A,A139),IF(AND(_xlpm.maxVal=K139,P139&lt;&gt;0),_xlpm.maxVal,""))</f>
        <v>1.35</v>
      </c>
      <c r="Z139" s="27" t="str">
        <f>_xlfn.LET(_xlpm.maxVal,_xlfn.MAXIFS($K:$K,$A:$A,A139),IF(AND(_xlpm.maxVal=K139,Q139&lt;&gt;0),_xlpm.maxVal,""))</f>
        <v/>
      </c>
      <c r="AA139" s="27">
        <f>_xlfn.LET(_xlpm.maxVal,_xlfn.MAXIFS($K:$K,$A:$A,A139),IF(AND(_xlpm.maxVal=K139,R139&lt;&gt;0),_xlpm.maxVal,""))</f>
        <v>1.35</v>
      </c>
      <c r="AB139" s="27" t="str">
        <f>_xlfn.LET(_xlpm.maxVal,_xlfn.MAXIFS($K:$K,$A:$A,A139),IF(AND(_xlpm.maxVal=K139,S139&lt;&gt;0),_xlpm.maxVal,""))</f>
        <v/>
      </c>
      <c r="AC139" s="27" t="str">
        <f>_xlfn.LET(_xlpm.maxVal,_xlfn.MAXIFS($K:$K,$A:$A,A139),IF(AND(_xlpm.maxVal=K139,T139&lt;&gt;0),_xlpm.maxVal,""))</f>
        <v/>
      </c>
      <c r="AD139" s="27">
        <f>$K139*L139*负载统计!$K$3/60</f>
        <v>0</v>
      </c>
      <c r="AE139" s="27">
        <f>$K139*L139*负载统计!$K$4/60</f>
        <v>0</v>
      </c>
      <c r="AF139" s="27">
        <f>$K139*N139*负载统计!$K$5/60</f>
        <v>0</v>
      </c>
      <c r="AG139" s="27">
        <f>$K139*O139*负载统计!$K$6/60</f>
        <v>0</v>
      </c>
      <c r="AH139" s="27">
        <f>$K139*P139*负载统计!$K$7/60</f>
        <v>0.01127205</v>
      </c>
      <c r="AI139" s="27">
        <f>$K139*Q139*负载统计!$K$8/60</f>
        <v>0</v>
      </c>
      <c r="AJ139" s="27">
        <f>$K139*R139*负载统计!$K$9/60</f>
        <v>0.0112185</v>
      </c>
      <c r="AK139" s="27">
        <f>$K139*S139*负载统计!$K$10/60</f>
        <v>0</v>
      </c>
      <c r="AL139" s="27">
        <f>$K139*T139*负载统计!$K$11/60</f>
        <v>0</v>
      </c>
    </row>
    <row r="140" spans="1:38">
      <c r="A140" s="1">
        <v>62</v>
      </c>
      <c r="B140" s="24" t="s">
        <v>1404</v>
      </c>
      <c r="C140" s="24" t="s">
        <v>1398</v>
      </c>
      <c r="D140" s="24" t="s">
        <v>1405</v>
      </c>
      <c r="E140" s="24" t="s">
        <v>557</v>
      </c>
      <c r="F140" s="24" t="s">
        <v>558</v>
      </c>
      <c r="G140" s="25">
        <f>VLOOKUP(A140,负载电气特性!A:G,7,FALSE)</f>
        <v>270</v>
      </c>
      <c r="H140" s="26" t="s">
        <v>66</v>
      </c>
      <c r="I140" s="24" t="s">
        <v>1709</v>
      </c>
      <c r="J140" s="25" t="s">
        <v>1708</v>
      </c>
      <c r="K140" s="25">
        <v>0</v>
      </c>
      <c r="L140" s="25">
        <v>1</v>
      </c>
      <c r="M140" s="25">
        <v>1</v>
      </c>
      <c r="N140" s="25">
        <v>1</v>
      </c>
      <c r="O140" s="25">
        <v>1</v>
      </c>
      <c r="P140" s="25">
        <f>1-P139</f>
        <v>0.926</v>
      </c>
      <c r="Q140" s="25">
        <v>1</v>
      </c>
      <c r="R140" s="25">
        <f>1-R139</f>
        <v>0.964</v>
      </c>
      <c r="S140" s="25">
        <v>1</v>
      </c>
      <c r="T140" s="25">
        <v>1</v>
      </c>
      <c r="U140" s="27" t="str">
        <f>_xlfn.LET(_xlpm.maxVal,_xlfn.MAXIFS($K:$K,$A:$A,A140),IF(AND(_xlpm.maxVal=K140,L140&lt;&gt;0),_xlpm.maxVal,""))</f>
        <v/>
      </c>
      <c r="V140" s="27" t="str">
        <f>_xlfn.LET(_xlpm.maxVal,_xlfn.MAXIFS($K:$K,$A:$A,A140),IF(AND(_xlpm.maxVal=K140,M140&lt;&gt;0),_xlpm.maxVal,""))</f>
        <v/>
      </c>
      <c r="W140" s="27" t="str">
        <f>_xlfn.LET(_xlpm.maxVal,_xlfn.MAXIFS($K:$K,$A:$A,A140),IF(AND(_xlpm.maxVal=K140,N140&lt;&gt;0),_xlpm.maxVal,""))</f>
        <v/>
      </c>
      <c r="X140" s="27" t="str">
        <f>_xlfn.LET(_xlpm.maxVal,_xlfn.MAXIFS($K:$K,$A:$A,A140),IF(AND(_xlpm.maxVal=K140,O140&lt;&gt;0),_xlpm.maxVal,""))</f>
        <v/>
      </c>
      <c r="Y140" s="27" t="str">
        <f>_xlfn.LET(_xlpm.maxVal,_xlfn.MAXIFS($K:$K,$A:$A,A140),IF(AND(_xlpm.maxVal=K140,P140&lt;&gt;0),_xlpm.maxVal,""))</f>
        <v/>
      </c>
      <c r="Z140" s="27" t="str">
        <f>_xlfn.LET(_xlpm.maxVal,_xlfn.MAXIFS($K:$K,$A:$A,A140),IF(AND(_xlpm.maxVal=K140,Q140&lt;&gt;0),_xlpm.maxVal,""))</f>
        <v/>
      </c>
      <c r="AA140" s="27" t="str">
        <f>_xlfn.LET(_xlpm.maxVal,_xlfn.MAXIFS($K:$K,$A:$A,A140),IF(AND(_xlpm.maxVal=K140,R140&lt;&gt;0),_xlpm.maxVal,""))</f>
        <v/>
      </c>
      <c r="AB140" s="27" t="str">
        <f>_xlfn.LET(_xlpm.maxVal,_xlfn.MAXIFS($K:$K,$A:$A,A140),IF(AND(_xlpm.maxVal=K140,S140&lt;&gt;0),_xlpm.maxVal,""))</f>
        <v/>
      </c>
      <c r="AC140" s="27" t="str">
        <f>_xlfn.LET(_xlpm.maxVal,_xlfn.MAXIFS($K:$K,$A:$A,A140),IF(AND(_xlpm.maxVal=K140,T140&lt;&gt;0),_xlpm.maxVal,""))</f>
        <v/>
      </c>
      <c r="AD140" s="27">
        <f>$K140*L140*负载统计!$K$3/60</f>
        <v>0</v>
      </c>
      <c r="AE140" s="27">
        <f>$K140*L140*负载统计!$K$4/60</f>
        <v>0</v>
      </c>
      <c r="AF140" s="27">
        <f>$K140*N140*负载统计!$K$5/60</f>
        <v>0</v>
      </c>
      <c r="AG140" s="27">
        <f>$K140*O140*负载统计!$K$6/60</f>
        <v>0</v>
      </c>
      <c r="AH140" s="27">
        <f>$K140*P140*负载统计!$K$7/60</f>
        <v>0</v>
      </c>
      <c r="AI140" s="27">
        <f>$K140*Q140*负载统计!$K$8/60</f>
        <v>0</v>
      </c>
      <c r="AJ140" s="27">
        <f>$K140*R140*负载统计!$K$9/60</f>
        <v>0</v>
      </c>
      <c r="AK140" s="27">
        <f>$K140*S140*负载统计!$K$10/60</f>
        <v>0</v>
      </c>
      <c r="AL140" s="27">
        <f>$K140*T140*负载统计!$K$11/60</f>
        <v>0</v>
      </c>
    </row>
    <row r="141" spans="1:38">
      <c r="A141" s="1">
        <v>63</v>
      </c>
      <c r="B141" s="24" t="s">
        <v>1406</v>
      </c>
      <c r="C141" s="24" t="s">
        <v>1398</v>
      </c>
      <c r="D141" s="24" t="s">
        <v>1405</v>
      </c>
      <c r="E141" s="24" t="s">
        <v>557</v>
      </c>
      <c r="F141" s="24" t="s">
        <v>558</v>
      </c>
      <c r="G141" s="25">
        <f>VLOOKUP(A141,负载电气特性!A:G,7,FALSE)</f>
        <v>28</v>
      </c>
      <c r="H141" s="26" t="s">
        <v>66</v>
      </c>
      <c r="I141" s="25" t="s">
        <v>1706</v>
      </c>
      <c r="J141" s="24" t="s">
        <v>1707</v>
      </c>
      <c r="K141" s="25">
        <v>0.098</v>
      </c>
      <c r="L141" s="25">
        <v>1</v>
      </c>
      <c r="M141" s="25">
        <v>1</v>
      </c>
      <c r="N141" s="25">
        <v>1</v>
      </c>
      <c r="O141" s="25">
        <v>1</v>
      </c>
      <c r="P141" s="25">
        <v>1</v>
      </c>
      <c r="Q141" s="25">
        <v>1</v>
      </c>
      <c r="R141" s="25">
        <v>1</v>
      </c>
      <c r="S141" s="25">
        <v>1</v>
      </c>
      <c r="T141" s="25">
        <v>1</v>
      </c>
      <c r="U141" s="27">
        <f>_xlfn.LET(_xlpm.maxVal,_xlfn.MAXIFS($K:$K,$A:$A,A141),IF(AND(_xlpm.maxVal=K141,L141&lt;&gt;0),_xlpm.maxVal,""))</f>
        <v>0.098</v>
      </c>
      <c r="V141" s="27">
        <f>_xlfn.LET(_xlpm.maxVal,_xlfn.MAXIFS($K:$K,$A:$A,A141),IF(AND(_xlpm.maxVal=K141,M141&lt;&gt;0),_xlpm.maxVal,""))</f>
        <v>0.098</v>
      </c>
      <c r="W141" s="27">
        <f>_xlfn.LET(_xlpm.maxVal,_xlfn.MAXIFS($K:$K,$A:$A,A141),IF(AND(_xlpm.maxVal=K141,N141&lt;&gt;0),_xlpm.maxVal,""))</f>
        <v>0.098</v>
      </c>
      <c r="X141" s="27">
        <f>_xlfn.LET(_xlpm.maxVal,_xlfn.MAXIFS($K:$K,$A:$A,A141),IF(AND(_xlpm.maxVal=K141,O141&lt;&gt;0),_xlpm.maxVal,""))</f>
        <v>0.098</v>
      </c>
      <c r="Y141" s="27">
        <f>_xlfn.LET(_xlpm.maxVal,_xlfn.MAXIFS($K:$K,$A:$A,A141),IF(AND(_xlpm.maxVal=K141,P141&lt;&gt;0),_xlpm.maxVal,""))</f>
        <v>0.098</v>
      </c>
      <c r="Z141" s="27">
        <f>_xlfn.LET(_xlpm.maxVal,_xlfn.MAXIFS($K:$K,$A:$A,A141),IF(AND(_xlpm.maxVal=K141,Q141&lt;&gt;0),_xlpm.maxVal,""))</f>
        <v>0.098</v>
      </c>
      <c r="AA141" s="27">
        <f>_xlfn.LET(_xlpm.maxVal,_xlfn.MAXIFS($K:$K,$A:$A,A141),IF(AND(_xlpm.maxVal=K141,R141&lt;&gt;0),_xlpm.maxVal,""))</f>
        <v>0.098</v>
      </c>
      <c r="AB141" s="27">
        <f>_xlfn.LET(_xlpm.maxVal,_xlfn.MAXIFS($K:$K,$A:$A,A141),IF(AND(_xlpm.maxVal=K141,S141&lt;&gt;0),_xlpm.maxVal,""))</f>
        <v>0.098</v>
      </c>
      <c r="AC141" s="27">
        <f>_xlfn.LET(_xlpm.maxVal,_xlfn.MAXIFS($K:$K,$A:$A,A141),IF(AND(_xlpm.maxVal=K141,T141&lt;&gt;0),_xlpm.maxVal,""))</f>
        <v>0.098</v>
      </c>
      <c r="AD141" s="27">
        <f>$K141*L141*负载统计!$K$3/60</f>
        <v>0</v>
      </c>
      <c r="AE141" s="27">
        <f>$K141*L141*负载统计!$K$4/60</f>
        <v>0</v>
      </c>
      <c r="AF141" s="27">
        <f>$K141*N141*负载统计!$K$5/60</f>
        <v>0.00163333333333333</v>
      </c>
      <c r="AG141" s="27">
        <f>$K141*O141*负载统计!$K$6/60</f>
        <v>0.0049</v>
      </c>
      <c r="AH141" s="27">
        <f>$K141*P141*负载统计!$K$7/60</f>
        <v>0.0110576666666667</v>
      </c>
      <c r="AI141" s="27">
        <f>$K141*Q141*负载统计!$K$8/60</f>
        <v>0.0712133333333333</v>
      </c>
      <c r="AJ141" s="27">
        <f>$K141*R141*负载统计!$K$9/60</f>
        <v>0.0226216666666667</v>
      </c>
      <c r="AK141" s="27">
        <f>$K141*S141*负载统计!$K$10/60</f>
        <v>0.000816666666666667</v>
      </c>
      <c r="AL141" s="27">
        <f>$K141*T141*负载统计!$K$11/60</f>
        <v>0.00653333333333333</v>
      </c>
    </row>
    <row r="142" spans="1:38">
      <c r="A142" s="1">
        <v>63</v>
      </c>
      <c r="B142" s="24" t="s">
        <v>1406</v>
      </c>
      <c r="C142" s="24" t="s">
        <v>1398</v>
      </c>
      <c r="D142" s="24" t="s">
        <v>1405</v>
      </c>
      <c r="E142" s="24" t="s">
        <v>557</v>
      </c>
      <c r="F142" s="24" t="s">
        <v>558</v>
      </c>
      <c r="G142" s="25">
        <f>VLOOKUP(A142,负载电气特性!A:G,7,FALSE)</f>
        <v>28</v>
      </c>
      <c r="H142" s="26" t="s">
        <v>66</v>
      </c>
      <c r="I142" s="25" t="s">
        <v>1706</v>
      </c>
      <c r="J142" s="25" t="s">
        <v>1712</v>
      </c>
      <c r="K142" s="25">
        <v>0.008</v>
      </c>
      <c r="L142" s="25">
        <v>0</v>
      </c>
      <c r="M142" s="25">
        <v>0</v>
      </c>
      <c r="N142" s="25">
        <v>0</v>
      </c>
      <c r="O142" s="25">
        <v>0</v>
      </c>
      <c r="P142" s="25">
        <v>0</v>
      </c>
      <c r="Q142" s="25">
        <v>0</v>
      </c>
      <c r="R142" s="25">
        <v>0</v>
      </c>
      <c r="S142" s="25">
        <v>0</v>
      </c>
      <c r="T142" s="25">
        <v>0</v>
      </c>
      <c r="U142" s="27" t="str">
        <f>_xlfn.LET(_xlpm.maxVal,_xlfn.MAXIFS($K:$K,$A:$A,A142),IF(AND(_xlpm.maxVal=K142,L142&lt;&gt;0),_xlpm.maxVal,""))</f>
        <v/>
      </c>
      <c r="V142" s="27" t="str">
        <f>_xlfn.LET(_xlpm.maxVal,_xlfn.MAXIFS($K:$K,$A:$A,A142),IF(AND(_xlpm.maxVal=K142,M142&lt;&gt;0),_xlpm.maxVal,""))</f>
        <v/>
      </c>
      <c r="W142" s="27" t="str">
        <f>_xlfn.LET(_xlpm.maxVal,_xlfn.MAXIFS($K:$K,$A:$A,A142),IF(AND(_xlpm.maxVal=K142,N142&lt;&gt;0),_xlpm.maxVal,""))</f>
        <v/>
      </c>
      <c r="X142" s="27" t="str">
        <f>_xlfn.LET(_xlpm.maxVal,_xlfn.MAXIFS($K:$K,$A:$A,A142),IF(AND(_xlpm.maxVal=K142,O142&lt;&gt;0),_xlpm.maxVal,""))</f>
        <v/>
      </c>
      <c r="Y142" s="27" t="str">
        <f>_xlfn.LET(_xlpm.maxVal,_xlfn.MAXIFS($K:$K,$A:$A,A142),IF(AND(_xlpm.maxVal=K142,P142&lt;&gt;0),_xlpm.maxVal,""))</f>
        <v/>
      </c>
      <c r="Z142" s="27" t="str">
        <f>_xlfn.LET(_xlpm.maxVal,_xlfn.MAXIFS($K:$K,$A:$A,A142),IF(AND(_xlpm.maxVal=K142,Q142&lt;&gt;0),_xlpm.maxVal,""))</f>
        <v/>
      </c>
      <c r="AA142" s="27" t="str">
        <f>_xlfn.LET(_xlpm.maxVal,_xlfn.MAXIFS($K:$K,$A:$A,A142),IF(AND(_xlpm.maxVal=K142,R142&lt;&gt;0),_xlpm.maxVal,""))</f>
        <v/>
      </c>
      <c r="AB142" s="27" t="str">
        <f>_xlfn.LET(_xlpm.maxVal,_xlfn.MAXIFS($K:$K,$A:$A,A142),IF(AND(_xlpm.maxVal=K142,S142&lt;&gt;0),_xlpm.maxVal,""))</f>
        <v/>
      </c>
      <c r="AC142" s="27" t="str">
        <f>_xlfn.LET(_xlpm.maxVal,_xlfn.MAXIFS($K:$K,$A:$A,A142),IF(AND(_xlpm.maxVal=K142,T142&lt;&gt;0),_xlpm.maxVal,""))</f>
        <v/>
      </c>
      <c r="AD142" s="27">
        <f>$K142*L142*负载统计!$K$3/60</f>
        <v>0</v>
      </c>
      <c r="AE142" s="27">
        <f>$K142*L142*负载统计!$K$4/60</f>
        <v>0</v>
      </c>
      <c r="AF142" s="27">
        <f>$K142*N142*负载统计!$K$5/60</f>
        <v>0</v>
      </c>
      <c r="AG142" s="27">
        <f>$K142*O142*负载统计!$K$6/60</f>
        <v>0</v>
      </c>
      <c r="AH142" s="27">
        <f>$K142*P142*负载统计!$K$7/60</f>
        <v>0</v>
      </c>
      <c r="AI142" s="27">
        <f>$K142*Q142*负载统计!$K$8/60</f>
        <v>0</v>
      </c>
      <c r="AJ142" s="27">
        <f>$K142*R142*负载统计!$K$9/60</f>
        <v>0</v>
      </c>
      <c r="AK142" s="27">
        <f>$K142*S142*负载统计!$K$10/60</f>
        <v>0</v>
      </c>
      <c r="AL142" s="27">
        <f>$K142*T142*负载统计!$K$11/60</f>
        <v>0</v>
      </c>
    </row>
    <row r="143" spans="1:38">
      <c r="A143" s="1">
        <v>63</v>
      </c>
      <c r="B143" s="24" t="s">
        <v>1406</v>
      </c>
      <c r="C143" s="24" t="s">
        <v>1398</v>
      </c>
      <c r="D143" s="24" t="s">
        <v>1405</v>
      </c>
      <c r="E143" s="24" t="s">
        <v>557</v>
      </c>
      <c r="F143" s="24" t="s">
        <v>558</v>
      </c>
      <c r="G143" s="25">
        <f>VLOOKUP(A143,负载电气特性!A:G,7,FALSE)</f>
        <v>28</v>
      </c>
      <c r="H143" s="26" t="s">
        <v>66</v>
      </c>
      <c r="I143" s="25" t="s">
        <v>1706</v>
      </c>
      <c r="J143" s="25" t="s">
        <v>1708</v>
      </c>
      <c r="K143" s="25">
        <v>0</v>
      </c>
      <c r="L143" s="25">
        <v>0</v>
      </c>
      <c r="M143" s="25">
        <v>0</v>
      </c>
      <c r="N143" s="25">
        <v>0</v>
      </c>
      <c r="O143" s="25">
        <v>0</v>
      </c>
      <c r="P143" s="25">
        <v>0</v>
      </c>
      <c r="Q143" s="25">
        <v>0</v>
      </c>
      <c r="R143" s="25">
        <v>0</v>
      </c>
      <c r="S143" s="25">
        <v>0</v>
      </c>
      <c r="T143" s="25">
        <v>0</v>
      </c>
      <c r="U143" s="27" t="str">
        <f>_xlfn.LET(_xlpm.maxVal,_xlfn.MAXIFS($K:$K,$A:$A,A143),IF(AND(_xlpm.maxVal=K143,L143&lt;&gt;0),_xlpm.maxVal,""))</f>
        <v/>
      </c>
      <c r="V143" s="27" t="str">
        <f>_xlfn.LET(_xlpm.maxVal,_xlfn.MAXIFS($K:$K,$A:$A,A143),IF(AND(_xlpm.maxVal=K143,M143&lt;&gt;0),_xlpm.maxVal,""))</f>
        <v/>
      </c>
      <c r="W143" s="27" t="str">
        <f>_xlfn.LET(_xlpm.maxVal,_xlfn.MAXIFS($K:$K,$A:$A,A143),IF(AND(_xlpm.maxVal=K143,N143&lt;&gt;0),_xlpm.maxVal,""))</f>
        <v/>
      </c>
      <c r="X143" s="27" t="str">
        <f>_xlfn.LET(_xlpm.maxVal,_xlfn.MAXIFS($K:$K,$A:$A,A143),IF(AND(_xlpm.maxVal=K143,O143&lt;&gt;0),_xlpm.maxVal,""))</f>
        <v/>
      </c>
      <c r="Y143" s="27" t="str">
        <f>_xlfn.LET(_xlpm.maxVal,_xlfn.MAXIFS($K:$K,$A:$A,A143),IF(AND(_xlpm.maxVal=K143,P143&lt;&gt;0),_xlpm.maxVal,""))</f>
        <v/>
      </c>
      <c r="Z143" s="27" t="str">
        <f>_xlfn.LET(_xlpm.maxVal,_xlfn.MAXIFS($K:$K,$A:$A,A143),IF(AND(_xlpm.maxVal=K143,Q143&lt;&gt;0),_xlpm.maxVal,""))</f>
        <v/>
      </c>
      <c r="AA143" s="27" t="str">
        <f>_xlfn.LET(_xlpm.maxVal,_xlfn.MAXIFS($K:$K,$A:$A,A143),IF(AND(_xlpm.maxVal=K143,R143&lt;&gt;0),_xlpm.maxVal,""))</f>
        <v/>
      </c>
      <c r="AB143" s="27" t="str">
        <f>_xlfn.LET(_xlpm.maxVal,_xlfn.MAXIFS($K:$K,$A:$A,A143),IF(AND(_xlpm.maxVal=K143,S143&lt;&gt;0),_xlpm.maxVal,""))</f>
        <v/>
      </c>
      <c r="AC143" s="27" t="str">
        <f>_xlfn.LET(_xlpm.maxVal,_xlfn.MAXIFS($K:$K,$A:$A,A143),IF(AND(_xlpm.maxVal=K143,T143&lt;&gt;0),_xlpm.maxVal,""))</f>
        <v/>
      </c>
      <c r="AD143" s="27">
        <f>$K143*L143*负载统计!$K$3/60</f>
        <v>0</v>
      </c>
      <c r="AE143" s="27">
        <f>$K143*L143*负载统计!$K$4/60</f>
        <v>0</v>
      </c>
      <c r="AF143" s="27">
        <f>$K143*N143*负载统计!$K$5/60</f>
        <v>0</v>
      </c>
      <c r="AG143" s="27">
        <f>$K143*O143*负载统计!$K$6/60</f>
        <v>0</v>
      </c>
      <c r="AH143" s="27">
        <f>$K143*P143*负载统计!$K$7/60</f>
        <v>0</v>
      </c>
      <c r="AI143" s="27">
        <f>$K143*Q143*负载统计!$K$8/60</f>
        <v>0</v>
      </c>
      <c r="AJ143" s="27">
        <f>$K143*R143*负载统计!$K$9/60</f>
        <v>0</v>
      </c>
      <c r="AK143" s="27">
        <f>$K143*S143*负载统计!$K$10/60</f>
        <v>0</v>
      </c>
      <c r="AL143" s="27">
        <f>$K143*T143*负载统计!$K$11/60</f>
        <v>0</v>
      </c>
    </row>
    <row r="144" spans="1:38">
      <c r="A144" s="1">
        <v>64</v>
      </c>
      <c r="B144" s="24" t="s">
        <v>1407</v>
      </c>
      <c r="C144" s="24" t="s">
        <v>1398</v>
      </c>
      <c r="D144" s="24" t="s">
        <v>584</v>
      </c>
      <c r="E144" s="24" t="s">
        <v>585</v>
      </c>
      <c r="F144" s="24" t="s">
        <v>586</v>
      </c>
      <c r="G144" s="25">
        <f>VLOOKUP(A144,负载电气特性!A:G,7,FALSE)</f>
        <v>28</v>
      </c>
      <c r="H144" s="26" t="s">
        <v>66</v>
      </c>
      <c r="I144" s="25" t="s">
        <v>1706</v>
      </c>
      <c r="J144" s="25" t="s">
        <v>1716</v>
      </c>
      <c r="K144" s="25">
        <v>0.04</v>
      </c>
      <c r="L144" s="25">
        <v>1</v>
      </c>
      <c r="M144" s="25">
        <v>1</v>
      </c>
      <c r="N144" s="25">
        <v>1</v>
      </c>
      <c r="O144" s="25">
        <v>1</v>
      </c>
      <c r="P144" s="25">
        <v>1</v>
      </c>
      <c r="Q144" s="25">
        <v>1</v>
      </c>
      <c r="R144" s="25">
        <v>1</v>
      </c>
      <c r="S144" s="25">
        <v>1</v>
      </c>
      <c r="T144" s="25">
        <v>1</v>
      </c>
      <c r="U144" s="27">
        <f>_xlfn.LET(_xlpm.maxVal,_xlfn.MAXIFS($K:$K,$A:$A,A144),IF(AND(_xlpm.maxVal=K144,L144&lt;&gt;0),_xlpm.maxVal,""))</f>
        <v>0.04</v>
      </c>
      <c r="V144" s="27">
        <f>_xlfn.LET(_xlpm.maxVal,_xlfn.MAXIFS($K:$K,$A:$A,A144),IF(AND(_xlpm.maxVal=K144,M144&lt;&gt;0),_xlpm.maxVal,""))</f>
        <v>0.04</v>
      </c>
      <c r="W144" s="27">
        <f>_xlfn.LET(_xlpm.maxVal,_xlfn.MAXIFS($K:$K,$A:$A,A144),IF(AND(_xlpm.maxVal=K144,N144&lt;&gt;0),_xlpm.maxVal,""))</f>
        <v>0.04</v>
      </c>
      <c r="X144" s="27">
        <f>_xlfn.LET(_xlpm.maxVal,_xlfn.MAXIFS($K:$K,$A:$A,A144),IF(AND(_xlpm.maxVal=K144,O144&lt;&gt;0),_xlpm.maxVal,""))</f>
        <v>0.04</v>
      </c>
      <c r="Y144" s="27">
        <f>_xlfn.LET(_xlpm.maxVal,_xlfn.MAXIFS($K:$K,$A:$A,A144),IF(AND(_xlpm.maxVal=K144,P144&lt;&gt;0),_xlpm.maxVal,""))</f>
        <v>0.04</v>
      </c>
      <c r="Z144" s="27">
        <f>_xlfn.LET(_xlpm.maxVal,_xlfn.MAXIFS($K:$K,$A:$A,A144),IF(AND(_xlpm.maxVal=K144,Q144&lt;&gt;0),_xlpm.maxVal,""))</f>
        <v>0.04</v>
      </c>
      <c r="AA144" s="27">
        <f>_xlfn.LET(_xlpm.maxVal,_xlfn.MAXIFS($K:$K,$A:$A,A144),IF(AND(_xlpm.maxVal=K144,R144&lt;&gt;0),_xlpm.maxVal,""))</f>
        <v>0.04</v>
      </c>
      <c r="AB144" s="27">
        <f>_xlfn.LET(_xlpm.maxVal,_xlfn.MAXIFS($K:$K,$A:$A,A144),IF(AND(_xlpm.maxVal=K144,S144&lt;&gt;0),_xlpm.maxVal,""))</f>
        <v>0.04</v>
      </c>
      <c r="AC144" s="27">
        <f>_xlfn.LET(_xlpm.maxVal,_xlfn.MAXIFS($K:$K,$A:$A,A144),IF(AND(_xlpm.maxVal=K144,T144&lt;&gt;0),_xlpm.maxVal,""))</f>
        <v>0.04</v>
      </c>
      <c r="AD144" s="27">
        <f>$K144*L144*负载统计!$K$3/60</f>
        <v>0</v>
      </c>
      <c r="AE144" s="27">
        <f>$K144*L144*负载统计!$K$4/60</f>
        <v>0</v>
      </c>
      <c r="AF144" s="27">
        <f>$K144*N144*负载统计!$K$5/60</f>
        <v>0.000666666666666667</v>
      </c>
      <c r="AG144" s="27">
        <f>$K144*O144*负载统计!$K$6/60</f>
        <v>0.002</v>
      </c>
      <c r="AH144" s="27">
        <f>$K144*P144*负载统计!$K$7/60</f>
        <v>0.00451333333333333</v>
      </c>
      <c r="AI144" s="27">
        <f>$K144*Q144*负载统计!$K$8/60</f>
        <v>0.0290666666666667</v>
      </c>
      <c r="AJ144" s="27">
        <f>$K144*R144*负载统计!$K$9/60</f>
        <v>0.00923333333333333</v>
      </c>
      <c r="AK144" s="27">
        <f>$K144*S144*负载统计!$K$10/60</f>
        <v>0.000333333333333333</v>
      </c>
      <c r="AL144" s="27">
        <f>$K144*T144*负载统计!$K$11/60</f>
        <v>0.00266666666666667</v>
      </c>
    </row>
    <row r="145" spans="1:38">
      <c r="A145" s="1">
        <v>64</v>
      </c>
      <c r="B145" s="24" t="s">
        <v>1407</v>
      </c>
      <c r="C145" s="24" t="s">
        <v>1398</v>
      </c>
      <c r="D145" s="24" t="s">
        <v>584</v>
      </c>
      <c r="E145" s="24" t="s">
        <v>585</v>
      </c>
      <c r="F145" s="24" t="s">
        <v>586</v>
      </c>
      <c r="G145" s="25">
        <f>VLOOKUP(A145,负载电气特性!A:G,7,FALSE)</f>
        <v>28</v>
      </c>
      <c r="H145" s="26" t="s">
        <v>66</v>
      </c>
      <c r="I145" s="25" t="s">
        <v>1706</v>
      </c>
      <c r="J145" s="25" t="s">
        <v>1712</v>
      </c>
      <c r="K145" s="25">
        <v>0.0054</v>
      </c>
      <c r="L145" s="25">
        <v>0</v>
      </c>
      <c r="M145" s="25">
        <v>0</v>
      </c>
      <c r="N145" s="25">
        <v>0</v>
      </c>
      <c r="O145" s="25">
        <v>0</v>
      </c>
      <c r="P145" s="25">
        <v>0</v>
      </c>
      <c r="Q145" s="25">
        <v>0</v>
      </c>
      <c r="R145" s="25">
        <v>0</v>
      </c>
      <c r="S145" s="25">
        <v>0</v>
      </c>
      <c r="T145" s="25">
        <v>0</v>
      </c>
      <c r="U145" s="27" t="str">
        <f>_xlfn.LET(_xlpm.maxVal,_xlfn.MAXIFS($K:$K,$A:$A,A145),IF(AND(_xlpm.maxVal=K145,L145&lt;&gt;0),_xlpm.maxVal,""))</f>
        <v/>
      </c>
      <c r="V145" s="27" t="str">
        <f>_xlfn.LET(_xlpm.maxVal,_xlfn.MAXIFS($K:$K,$A:$A,A145),IF(AND(_xlpm.maxVal=K145,M145&lt;&gt;0),_xlpm.maxVal,""))</f>
        <v/>
      </c>
      <c r="W145" s="27" t="str">
        <f>_xlfn.LET(_xlpm.maxVal,_xlfn.MAXIFS($K:$K,$A:$A,A145),IF(AND(_xlpm.maxVal=K145,N145&lt;&gt;0),_xlpm.maxVal,""))</f>
        <v/>
      </c>
      <c r="X145" s="27" t="str">
        <f>_xlfn.LET(_xlpm.maxVal,_xlfn.MAXIFS($K:$K,$A:$A,A145),IF(AND(_xlpm.maxVal=K145,O145&lt;&gt;0),_xlpm.maxVal,""))</f>
        <v/>
      </c>
      <c r="Y145" s="27" t="str">
        <f>_xlfn.LET(_xlpm.maxVal,_xlfn.MAXIFS($K:$K,$A:$A,A145),IF(AND(_xlpm.maxVal=K145,P145&lt;&gt;0),_xlpm.maxVal,""))</f>
        <v/>
      </c>
      <c r="Z145" s="27" t="str">
        <f>_xlfn.LET(_xlpm.maxVal,_xlfn.MAXIFS($K:$K,$A:$A,A145),IF(AND(_xlpm.maxVal=K145,Q145&lt;&gt;0),_xlpm.maxVal,""))</f>
        <v/>
      </c>
      <c r="AA145" s="27" t="str">
        <f>_xlfn.LET(_xlpm.maxVal,_xlfn.MAXIFS($K:$K,$A:$A,A145),IF(AND(_xlpm.maxVal=K145,R145&lt;&gt;0),_xlpm.maxVal,""))</f>
        <v/>
      </c>
      <c r="AB145" s="27" t="str">
        <f>_xlfn.LET(_xlpm.maxVal,_xlfn.MAXIFS($K:$K,$A:$A,A145),IF(AND(_xlpm.maxVal=K145,S145&lt;&gt;0),_xlpm.maxVal,""))</f>
        <v/>
      </c>
      <c r="AC145" s="27" t="str">
        <f>_xlfn.LET(_xlpm.maxVal,_xlfn.MAXIFS($K:$K,$A:$A,A145),IF(AND(_xlpm.maxVal=K145,T145&lt;&gt;0),_xlpm.maxVal,""))</f>
        <v/>
      </c>
      <c r="AD145" s="27">
        <f>$K145*L145*负载统计!$K$3/60</f>
        <v>0</v>
      </c>
      <c r="AE145" s="27">
        <f>$K145*L145*负载统计!$K$4/60</f>
        <v>0</v>
      </c>
      <c r="AF145" s="27">
        <f>$K145*N145*负载统计!$K$5/60</f>
        <v>0</v>
      </c>
      <c r="AG145" s="27">
        <f>$K145*O145*负载统计!$K$6/60</f>
        <v>0</v>
      </c>
      <c r="AH145" s="27">
        <f>$K145*P145*负载统计!$K$7/60</f>
        <v>0</v>
      </c>
      <c r="AI145" s="27">
        <f>$K145*Q145*负载统计!$K$8/60</f>
        <v>0</v>
      </c>
      <c r="AJ145" s="27">
        <f>$K145*R145*负载统计!$K$9/60</f>
        <v>0</v>
      </c>
      <c r="AK145" s="27">
        <f>$K145*S145*负载统计!$K$10/60</f>
        <v>0</v>
      </c>
      <c r="AL145" s="27">
        <f>$K145*T145*负载统计!$K$11/60</f>
        <v>0</v>
      </c>
    </row>
    <row r="146" spans="1:38">
      <c r="A146" s="1">
        <v>64</v>
      </c>
      <c r="B146" s="24" t="s">
        <v>1407</v>
      </c>
      <c r="C146" s="24" t="s">
        <v>1398</v>
      </c>
      <c r="D146" s="24" t="s">
        <v>584</v>
      </c>
      <c r="E146" s="24" t="s">
        <v>585</v>
      </c>
      <c r="F146" s="24" t="s">
        <v>586</v>
      </c>
      <c r="G146" s="25">
        <f>VLOOKUP(A146,负载电气特性!A:G,7,FALSE)</f>
        <v>28</v>
      </c>
      <c r="H146" s="26" t="s">
        <v>66</v>
      </c>
      <c r="I146" s="25" t="s">
        <v>1706</v>
      </c>
      <c r="J146" s="25" t="s">
        <v>1717</v>
      </c>
      <c r="K146" s="25">
        <v>0</v>
      </c>
      <c r="L146" s="25">
        <v>0</v>
      </c>
      <c r="M146" s="25">
        <v>0</v>
      </c>
      <c r="N146" s="25">
        <v>0</v>
      </c>
      <c r="O146" s="25">
        <v>0</v>
      </c>
      <c r="P146" s="25">
        <v>0</v>
      </c>
      <c r="Q146" s="25">
        <v>0</v>
      </c>
      <c r="R146" s="25">
        <v>0</v>
      </c>
      <c r="S146" s="25">
        <v>0</v>
      </c>
      <c r="T146" s="25">
        <v>0</v>
      </c>
      <c r="U146" s="27" t="str">
        <f>_xlfn.LET(_xlpm.maxVal,_xlfn.MAXIFS($K:$K,$A:$A,A146),IF(AND(_xlpm.maxVal=K146,L146&lt;&gt;0),_xlpm.maxVal,""))</f>
        <v/>
      </c>
      <c r="V146" s="27" t="str">
        <f>_xlfn.LET(_xlpm.maxVal,_xlfn.MAXIFS($K:$K,$A:$A,A146),IF(AND(_xlpm.maxVal=K146,M146&lt;&gt;0),_xlpm.maxVal,""))</f>
        <v/>
      </c>
      <c r="W146" s="27" t="str">
        <f>_xlfn.LET(_xlpm.maxVal,_xlfn.MAXIFS($K:$K,$A:$A,A146),IF(AND(_xlpm.maxVal=K146,N146&lt;&gt;0),_xlpm.maxVal,""))</f>
        <v/>
      </c>
      <c r="X146" s="27" t="str">
        <f>_xlfn.LET(_xlpm.maxVal,_xlfn.MAXIFS($K:$K,$A:$A,A146),IF(AND(_xlpm.maxVal=K146,O146&lt;&gt;0),_xlpm.maxVal,""))</f>
        <v/>
      </c>
      <c r="Y146" s="27" t="str">
        <f>_xlfn.LET(_xlpm.maxVal,_xlfn.MAXIFS($K:$K,$A:$A,A146),IF(AND(_xlpm.maxVal=K146,P146&lt;&gt;0),_xlpm.maxVal,""))</f>
        <v/>
      </c>
      <c r="Z146" s="27" t="str">
        <f>_xlfn.LET(_xlpm.maxVal,_xlfn.MAXIFS($K:$K,$A:$A,A146),IF(AND(_xlpm.maxVal=K146,Q146&lt;&gt;0),_xlpm.maxVal,""))</f>
        <v/>
      </c>
      <c r="AA146" s="27" t="str">
        <f>_xlfn.LET(_xlpm.maxVal,_xlfn.MAXIFS($K:$K,$A:$A,A146),IF(AND(_xlpm.maxVal=K146,R146&lt;&gt;0),_xlpm.maxVal,""))</f>
        <v/>
      </c>
      <c r="AB146" s="27" t="str">
        <f>_xlfn.LET(_xlpm.maxVal,_xlfn.MAXIFS($K:$K,$A:$A,A146),IF(AND(_xlpm.maxVal=K146,S146&lt;&gt;0),_xlpm.maxVal,""))</f>
        <v/>
      </c>
      <c r="AC146" s="27" t="str">
        <f>_xlfn.LET(_xlpm.maxVal,_xlfn.MAXIFS($K:$K,$A:$A,A146),IF(AND(_xlpm.maxVal=K146,T146&lt;&gt;0),_xlpm.maxVal,""))</f>
        <v/>
      </c>
      <c r="AD146" s="27">
        <f>$K146*L146*负载统计!$K$3/60</f>
        <v>0</v>
      </c>
      <c r="AE146" s="27">
        <f>$K146*L146*负载统计!$K$4/60</f>
        <v>0</v>
      </c>
      <c r="AF146" s="27">
        <f>$K146*N146*负载统计!$K$5/60</f>
        <v>0</v>
      </c>
      <c r="AG146" s="27">
        <f>$K146*O146*负载统计!$K$6/60</f>
        <v>0</v>
      </c>
      <c r="AH146" s="27">
        <f>$K146*P146*负载统计!$K$7/60</f>
        <v>0</v>
      </c>
      <c r="AI146" s="27">
        <f>$K146*Q146*负载统计!$K$8/60</f>
        <v>0</v>
      </c>
      <c r="AJ146" s="27">
        <f>$K146*R146*负载统计!$K$9/60</f>
        <v>0</v>
      </c>
      <c r="AK146" s="27">
        <f>$K146*S146*负载统计!$K$10/60</f>
        <v>0</v>
      </c>
      <c r="AL146" s="27">
        <f>$K146*T146*负载统计!$K$11/60</f>
        <v>0</v>
      </c>
    </row>
    <row r="147" spans="1:38">
      <c r="A147" s="1">
        <v>65</v>
      </c>
      <c r="B147" s="24" t="s">
        <v>1408</v>
      </c>
      <c r="C147" s="24" t="s">
        <v>1398</v>
      </c>
      <c r="D147" s="24" t="s">
        <v>587</v>
      </c>
      <c r="E147" s="24" t="s">
        <v>588</v>
      </c>
      <c r="F147" s="24" t="s">
        <v>589</v>
      </c>
      <c r="G147" s="25">
        <f>VLOOKUP(A147,负载电气特性!A:G,7,FALSE)</f>
        <v>28</v>
      </c>
      <c r="H147" s="26" t="s">
        <v>66</v>
      </c>
      <c r="I147" s="25" t="s">
        <v>1706</v>
      </c>
      <c r="J147" s="25" t="s">
        <v>1716</v>
      </c>
      <c r="K147" s="25">
        <v>0.022</v>
      </c>
      <c r="L147" s="25">
        <v>1</v>
      </c>
      <c r="M147" s="25">
        <v>1</v>
      </c>
      <c r="N147" s="25">
        <v>1</v>
      </c>
      <c r="O147" s="25">
        <v>1</v>
      </c>
      <c r="P147" s="25">
        <v>1</v>
      </c>
      <c r="Q147" s="25">
        <v>1</v>
      </c>
      <c r="R147" s="25">
        <v>1</v>
      </c>
      <c r="S147" s="25">
        <v>1</v>
      </c>
      <c r="T147" s="25">
        <v>1</v>
      </c>
      <c r="U147" s="27">
        <f>_xlfn.LET(_xlpm.maxVal,_xlfn.MAXIFS($K:$K,$A:$A,A147),IF(AND(_xlpm.maxVal=K147,L147&lt;&gt;0),_xlpm.maxVal,""))</f>
        <v>0.022</v>
      </c>
      <c r="V147" s="27">
        <f>_xlfn.LET(_xlpm.maxVal,_xlfn.MAXIFS($K:$K,$A:$A,A147),IF(AND(_xlpm.maxVal=K147,M147&lt;&gt;0),_xlpm.maxVal,""))</f>
        <v>0.022</v>
      </c>
      <c r="W147" s="27">
        <f>_xlfn.LET(_xlpm.maxVal,_xlfn.MAXIFS($K:$K,$A:$A,A147),IF(AND(_xlpm.maxVal=K147,N147&lt;&gt;0),_xlpm.maxVal,""))</f>
        <v>0.022</v>
      </c>
      <c r="X147" s="27">
        <f>_xlfn.LET(_xlpm.maxVal,_xlfn.MAXIFS($K:$K,$A:$A,A147),IF(AND(_xlpm.maxVal=K147,O147&lt;&gt;0),_xlpm.maxVal,""))</f>
        <v>0.022</v>
      </c>
      <c r="Y147" s="27">
        <f>_xlfn.LET(_xlpm.maxVal,_xlfn.MAXIFS($K:$K,$A:$A,A147),IF(AND(_xlpm.maxVal=K147,P147&lt;&gt;0),_xlpm.maxVal,""))</f>
        <v>0.022</v>
      </c>
      <c r="Z147" s="27">
        <f>_xlfn.LET(_xlpm.maxVal,_xlfn.MAXIFS($K:$K,$A:$A,A147),IF(AND(_xlpm.maxVal=K147,Q147&lt;&gt;0),_xlpm.maxVal,""))</f>
        <v>0.022</v>
      </c>
      <c r="AA147" s="27">
        <f>_xlfn.LET(_xlpm.maxVal,_xlfn.MAXIFS($K:$K,$A:$A,A147),IF(AND(_xlpm.maxVal=K147,R147&lt;&gt;0),_xlpm.maxVal,""))</f>
        <v>0.022</v>
      </c>
      <c r="AB147" s="27">
        <f>_xlfn.LET(_xlpm.maxVal,_xlfn.MAXIFS($K:$K,$A:$A,A147),IF(AND(_xlpm.maxVal=K147,S147&lt;&gt;0),_xlpm.maxVal,""))</f>
        <v>0.022</v>
      </c>
      <c r="AC147" s="27">
        <f>_xlfn.LET(_xlpm.maxVal,_xlfn.MAXIFS($K:$K,$A:$A,A147),IF(AND(_xlpm.maxVal=K147,T147&lt;&gt;0),_xlpm.maxVal,""))</f>
        <v>0.022</v>
      </c>
      <c r="AD147" s="27">
        <f>$K147*L147*负载统计!$K$3/60</f>
        <v>0</v>
      </c>
      <c r="AE147" s="27">
        <f>$K147*L147*负载统计!$K$4/60</f>
        <v>0</v>
      </c>
      <c r="AF147" s="27">
        <f>$K147*N147*负载统计!$K$5/60</f>
        <v>0.000366666666666667</v>
      </c>
      <c r="AG147" s="27">
        <f>$K147*O147*负载统计!$K$6/60</f>
        <v>0.0011</v>
      </c>
      <c r="AH147" s="27">
        <f>$K147*P147*负载统计!$K$7/60</f>
        <v>0.00248233333333333</v>
      </c>
      <c r="AI147" s="27">
        <f>$K147*Q147*负载统计!$K$8/60</f>
        <v>0.0159866666666667</v>
      </c>
      <c r="AJ147" s="27">
        <f>$K147*R147*负载统计!$K$9/60</f>
        <v>0.00507833333333333</v>
      </c>
      <c r="AK147" s="27">
        <f>$K147*S147*负载统计!$K$10/60</f>
        <v>0.000183333333333333</v>
      </c>
      <c r="AL147" s="27">
        <f>$K147*T147*负载统计!$K$11/60</f>
        <v>0.00146666666666667</v>
      </c>
    </row>
    <row r="148" spans="1:38">
      <c r="A148" s="1">
        <v>65</v>
      </c>
      <c r="B148" s="24" t="s">
        <v>1408</v>
      </c>
      <c r="C148" s="24" t="s">
        <v>1398</v>
      </c>
      <c r="D148" s="24" t="s">
        <v>587</v>
      </c>
      <c r="E148" s="24" t="s">
        <v>588</v>
      </c>
      <c r="F148" s="24" t="s">
        <v>589</v>
      </c>
      <c r="G148" s="25">
        <f>VLOOKUP(A148,负载电气特性!A:G,7,FALSE)</f>
        <v>28</v>
      </c>
      <c r="H148" s="26" t="s">
        <v>66</v>
      </c>
      <c r="I148" s="25" t="s">
        <v>1706</v>
      </c>
      <c r="J148" s="25" t="s">
        <v>1712</v>
      </c>
      <c r="K148" s="25">
        <v>0.0044</v>
      </c>
      <c r="L148" s="25">
        <v>0</v>
      </c>
      <c r="M148" s="25">
        <v>0</v>
      </c>
      <c r="N148" s="25">
        <v>0</v>
      </c>
      <c r="O148" s="25">
        <v>0</v>
      </c>
      <c r="P148" s="25">
        <v>0</v>
      </c>
      <c r="Q148" s="25">
        <v>0</v>
      </c>
      <c r="R148" s="25">
        <v>0</v>
      </c>
      <c r="S148" s="25">
        <v>0</v>
      </c>
      <c r="T148" s="25">
        <v>0</v>
      </c>
      <c r="U148" s="27" t="str">
        <f>_xlfn.LET(_xlpm.maxVal,_xlfn.MAXIFS($K:$K,$A:$A,A148),IF(AND(_xlpm.maxVal=K148,L148&lt;&gt;0),_xlpm.maxVal,""))</f>
        <v/>
      </c>
      <c r="V148" s="27" t="str">
        <f>_xlfn.LET(_xlpm.maxVal,_xlfn.MAXIFS($K:$K,$A:$A,A148),IF(AND(_xlpm.maxVal=K148,M148&lt;&gt;0),_xlpm.maxVal,""))</f>
        <v/>
      </c>
      <c r="W148" s="27" t="str">
        <f>_xlfn.LET(_xlpm.maxVal,_xlfn.MAXIFS($K:$K,$A:$A,A148),IF(AND(_xlpm.maxVal=K148,N148&lt;&gt;0),_xlpm.maxVal,""))</f>
        <v/>
      </c>
      <c r="X148" s="27" t="str">
        <f>_xlfn.LET(_xlpm.maxVal,_xlfn.MAXIFS($K:$K,$A:$A,A148),IF(AND(_xlpm.maxVal=K148,O148&lt;&gt;0),_xlpm.maxVal,""))</f>
        <v/>
      </c>
      <c r="Y148" s="27" t="str">
        <f>_xlfn.LET(_xlpm.maxVal,_xlfn.MAXIFS($K:$K,$A:$A,A148),IF(AND(_xlpm.maxVal=K148,P148&lt;&gt;0),_xlpm.maxVal,""))</f>
        <v/>
      </c>
      <c r="Z148" s="27" t="str">
        <f>_xlfn.LET(_xlpm.maxVal,_xlfn.MAXIFS($K:$K,$A:$A,A148),IF(AND(_xlpm.maxVal=K148,Q148&lt;&gt;0),_xlpm.maxVal,""))</f>
        <v/>
      </c>
      <c r="AA148" s="27" t="str">
        <f>_xlfn.LET(_xlpm.maxVal,_xlfn.MAXIFS($K:$K,$A:$A,A148),IF(AND(_xlpm.maxVal=K148,R148&lt;&gt;0),_xlpm.maxVal,""))</f>
        <v/>
      </c>
      <c r="AB148" s="27" t="str">
        <f>_xlfn.LET(_xlpm.maxVal,_xlfn.MAXIFS($K:$K,$A:$A,A148),IF(AND(_xlpm.maxVal=K148,S148&lt;&gt;0),_xlpm.maxVal,""))</f>
        <v/>
      </c>
      <c r="AC148" s="27" t="str">
        <f>_xlfn.LET(_xlpm.maxVal,_xlfn.MAXIFS($K:$K,$A:$A,A148),IF(AND(_xlpm.maxVal=K148,T148&lt;&gt;0),_xlpm.maxVal,""))</f>
        <v/>
      </c>
      <c r="AD148" s="27">
        <f>$K148*L148*负载统计!$K$3/60</f>
        <v>0</v>
      </c>
      <c r="AE148" s="27">
        <f>$K148*L148*负载统计!$K$4/60</f>
        <v>0</v>
      </c>
      <c r="AF148" s="27">
        <f>$K148*N148*负载统计!$K$5/60</f>
        <v>0</v>
      </c>
      <c r="AG148" s="27">
        <f>$K148*O148*负载统计!$K$6/60</f>
        <v>0</v>
      </c>
      <c r="AH148" s="27">
        <f>$K148*P148*负载统计!$K$7/60</f>
        <v>0</v>
      </c>
      <c r="AI148" s="27">
        <f>$K148*Q148*负载统计!$K$8/60</f>
        <v>0</v>
      </c>
      <c r="AJ148" s="27">
        <f>$K148*R148*负载统计!$K$9/60</f>
        <v>0</v>
      </c>
      <c r="AK148" s="27">
        <f>$K148*S148*负载统计!$K$10/60</f>
        <v>0</v>
      </c>
      <c r="AL148" s="27">
        <f>$K148*T148*负载统计!$K$11/60</f>
        <v>0</v>
      </c>
    </row>
    <row r="149" spans="1:38">
      <c r="A149" s="1">
        <v>65</v>
      </c>
      <c r="B149" s="24" t="s">
        <v>1408</v>
      </c>
      <c r="C149" s="24" t="s">
        <v>1398</v>
      </c>
      <c r="D149" s="24" t="s">
        <v>587</v>
      </c>
      <c r="E149" s="24" t="s">
        <v>588</v>
      </c>
      <c r="F149" s="24" t="s">
        <v>589</v>
      </c>
      <c r="G149" s="25">
        <f>VLOOKUP(A149,负载电气特性!A:G,7,FALSE)</f>
        <v>28</v>
      </c>
      <c r="H149" s="26" t="s">
        <v>66</v>
      </c>
      <c r="I149" s="25" t="s">
        <v>1706</v>
      </c>
      <c r="J149" s="25" t="s">
        <v>1717</v>
      </c>
      <c r="K149" s="25">
        <v>0</v>
      </c>
      <c r="L149" s="25">
        <v>0</v>
      </c>
      <c r="M149" s="25">
        <v>0</v>
      </c>
      <c r="N149" s="25">
        <v>0</v>
      </c>
      <c r="O149" s="25">
        <v>0</v>
      </c>
      <c r="P149" s="25">
        <v>0</v>
      </c>
      <c r="Q149" s="25">
        <v>0</v>
      </c>
      <c r="R149" s="25">
        <v>0</v>
      </c>
      <c r="S149" s="25">
        <v>0</v>
      </c>
      <c r="T149" s="25">
        <v>0</v>
      </c>
      <c r="U149" s="27" t="str">
        <f>_xlfn.LET(_xlpm.maxVal,_xlfn.MAXIFS($K:$K,$A:$A,A149),IF(AND(_xlpm.maxVal=K149,L149&lt;&gt;0),_xlpm.maxVal,""))</f>
        <v/>
      </c>
      <c r="V149" s="27" t="str">
        <f>_xlfn.LET(_xlpm.maxVal,_xlfn.MAXIFS($K:$K,$A:$A,A149),IF(AND(_xlpm.maxVal=K149,M149&lt;&gt;0),_xlpm.maxVal,""))</f>
        <v/>
      </c>
      <c r="W149" s="27" t="str">
        <f>_xlfn.LET(_xlpm.maxVal,_xlfn.MAXIFS($K:$K,$A:$A,A149),IF(AND(_xlpm.maxVal=K149,N149&lt;&gt;0),_xlpm.maxVal,""))</f>
        <v/>
      </c>
      <c r="X149" s="27" t="str">
        <f>_xlfn.LET(_xlpm.maxVal,_xlfn.MAXIFS($K:$K,$A:$A,A149),IF(AND(_xlpm.maxVal=K149,O149&lt;&gt;0),_xlpm.maxVal,""))</f>
        <v/>
      </c>
      <c r="Y149" s="27" t="str">
        <f>_xlfn.LET(_xlpm.maxVal,_xlfn.MAXIFS($K:$K,$A:$A,A149),IF(AND(_xlpm.maxVal=K149,P149&lt;&gt;0),_xlpm.maxVal,""))</f>
        <v/>
      </c>
      <c r="Z149" s="27" t="str">
        <f>_xlfn.LET(_xlpm.maxVal,_xlfn.MAXIFS($K:$K,$A:$A,A149),IF(AND(_xlpm.maxVal=K149,Q149&lt;&gt;0),_xlpm.maxVal,""))</f>
        <v/>
      </c>
      <c r="AA149" s="27" t="str">
        <f>_xlfn.LET(_xlpm.maxVal,_xlfn.MAXIFS($K:$K,$A:$A,A149),IF(AND(_xlpm.maxVal=K149,R149&lt;&gt;0),_xlpm.maxVal,""))</f>
        <v/>
      </c>
      <c r="AB149" s="27" t="str">
        <f>_xlfn.LET(_xlpm.maxVal,_xlfn.MAXIFS($K:$K,$A:$A,A149),IF(AND(_xlpm.maxVal=K149,S149&lt;&gt;0),_xlpm.maxVal,""))</f>
        <v/>
      </c>
      <c r="AC149" s="27" t="str">
        <f>_xlfn.LET(_xlpm.maxVal,_xlfn.MAXIFS($K:$K,$A:$A,A149),IF(AND(_xlpm.maxVal=K149,T149&lt;&gt;0),_xlpm.maxVal,""))</f>
        <v/>
      </c>
      <c r="AD149" s="27">
        <f>$K149*L149*负载统计!$K$3/60</f>
        <v>0</v>
      </c>
      <c r="AE149" s="27">
        <f>$K149*L149*负载统计!$K$4/60</f>
        <v>0</v>
      </c>
      <c r="AF149" s="27">
        <f>$K149*N149*负载统计!$K$5/60</f>
        <v>0</v>
      </c>
      <c r="AG149" s="27">
        <f>$K149*O149*负载统计!$K$6/60</f>
        <v>0</v>
      </c>
      <c r="AH149" s="27">
        <f>$K149*P149*负载统计!$K$7/60</f>
        <v>0</v>
      </c>
      <c r="AI149" s="27">
        <f>$K149*Q149*负载统计!$K$8/60</f>
        <v>0</v>
      </c>
      <c r="AJ149" s="27">
        <f>$K149*R149*负载统计!$K$9/60</f>
        <v>0</v>
      </c>
      <c r="AK149" s="27">
        <f>$K149*S149*负载统计!$K$10/60</f>
        <v>0</v>
      </c>
      <c r="AL149" s="27">
        <f>$K149*T149*负载统计!$K$11/60</f>
        <v>0</v>
      </c>
    </row>
    <row r="150" spans="1:38">
      <c r="A150" s="1">
        <v>66</v>
      </c>
      <c r="B150" s="24" t="s">
        <v>1409</v>
      </c>
      <c r="C150" s="24" t="s">
        <v>1398</v>
      </c>
      <c r="D150" s="24" t="s">
        <v>1410</v>
      </c>
      <c r="E150" s="24" t="s">
        <v>591</v>
      </c>
      <c r="F150" s="24" t="s">
        <v>592</v>
      </c>
      <c r="G150" s="25">
        <f>VLOOKUP(A150,负载电气特性!A:G,7,FALSE)</f>
        <v>270</v>
      </c>
      <c r="H150" s="26" t="s">
        <v>66</v>
      </c>
      <c r="I150" s="24" t="s">
        <v>1709</v>
      </c>
      <c r="J150" s="24" t="s">
        <v>1707</v>
      </c>
      <c r="K150" s="25">
        <v>1.2</v>
      </c>
      <c r="L150" s="25">
        <v>0</v>
      </c>
      <c r="M150" s="25">
        <v>0</v>
      </c>
      <c r="N150" s="25">
        <v>0</v>
      </c>
      <c r="O150" s="25">
        <v>0.2</v>
      </c>
      <c r="P150" s="25">
        <v>0</v>
      </c>
      <c r="Q150" s="25">
        <v>0</v>
      </c>
      <c r="R150" s="25">
        <v>0</v>
      </c>
      <c r="S150" s="25">
        <v>0.5</v>
      </c>
      <c r="T150" s="25">
        <v>0.2</v>
      </c>
      <c r="U150" s="27" t="str">
        <f>_xlfn.LET(_xlpm.maxVal,_xlfn.MAXIFS($K:$K,$A:$A,A150),IF(AND(_xlpm.maxVal=K150,L150&lt;&gt;0),_xlpm.maxVal,""))</f>
        <v/>
      </c>
      <c r="V150" s="27" t="str">
        <f>_xlfn.LET(_xlpm.maxVal,_xlfn.MAXIFS($K:$K,$A:$A,A150),IF(AND(_xlpm.maxVal=K150,M150&lt;&gt;0),_xlpm.maxVal,""))</f>
        <v/>
      </c>
      <c r="W150" s="27" t="str">
        <f>_xlfn.LET(_xlpm.maxVal,_xlfn.MAXIFS($K:$K,$A:$A,A150),IF(AND(_xlpm.maxVal=K150,N150&lt;&gt;0),_xlpm.maxVal,""))</f>
        <v/>
      </c>
      <c r="X150" s="27">
        <f>_xlfn.LET(_xlpm.maxVal,_xlfn.MAXIFS($K:$K,$A:$A,A150),IF(AND(_xlpm.maxVal=K150,O150&lt;&gt;0),_xlpm.maxVal,""))</f>
        <v>1.2</v>
      </c>
      <c r="Y150" s="27" t="str">
        <f>_xlfn.LET(_xlpm.maxVal,_xlfn.MAXIFS($K:$K,$A:$A,A150),IF(AND(_xlpm.maxVal=K150,P150&lt;&gt;0),_xlpm.maxVal,""))</f>
        <v/>
      </c>
      <c r="Z150" s="27" t="str">
        <f>_xlfn.LET(_xlpm.maxVal,_xlfn.MAXIFS($K:$K,$A:$A,A150),IF(AND(_xlpm.maxVal=K150,Q150&lt;&gt;0),_xlpm.maxVal,""))</f>
        <v/>
      </c>
      <c r="AA150" s="27" t="str">
        <f>_xlfn.LET(_xlpm.maxVal,_xlfn.MAXIFS($K:$K,$A:$A,A150),IF(AND(_xlpm.maxVal=K150,R150&lt;&gt;0),_xlpm.maxVal,""))</f>
        <v/>
      </c>
      <c r="AB150" s="27">
        <f>_xlfn.LET(_xlpm.maxVal,_xlfn.MAXIFS($K:$K,$A:$A,A150),IF(AND(_xlpm.maxVal=K150,S150&lt;&gt;0),_xlpm.maxVal,""))</f>
        <v>1.2</v>
      </c>
      <c r="AC150" s="27">
        <f>_xlfn.LET(_xlpm.maxVal,_xlfn.MAXIFS($K:$K,$A:$A,A150),IF(AND(_xlpm.maxVal=K150,T150&lt;&gt;0),_xlpm.maxVal,""))</f>
        <v>1.2</v>
      </c>
      <c r="AD150" s="27">
        <f>$K150*L150*负载统计!$K$3/60</f>
        <v>0</v>
      </c>
      <c r="AE150" s="27">
        <f>$K150*L150*负载统计!$K$4/60</f>
        <v>0</v>
      </c>
      <c r="AF150" s="27">
        <f>$K150*N150*负载统计!$K$5/60</f>
        <v>0</v>
      </c>
      <c r="AG150" s="27">
        <f>$K150*O150*负载统计!$K$6/60</f>
        <v>0.012</v>
      </c>
      <c r="AH150" s="27">
        <f>$K150*P150*负载统计!$K$7/60</f>
        <v>0</v>
      </c>
      <c r="AI150" s="27">
        <f>$K150*Q150*负载统计!$K$8/60</f>
        <v>0</v>
      </c>
      <c r="AJ150" s="27">
        <f>$K150*R150*负载统计!$K$9/60</f>
        <v>0</v>
      </c>
      <c r="AK150" s="27">
        <f>$K150*S150*负载统计!$K$10/60</f>
        <v>0.005</v>
      </c>
      <c r="AL150" s="27">
        <f>$K150*T150*负载统计!$K$11/60</f>
        <v>0.016</v>
      </c>
    </row>
    <row r="151" spans="1:38">
      <c r="A151" s="1">
        <v>66</v>
      </c>
      <c r="B151" s="24" t="s">
        <v>1409</v>
      </c>
      <c r="C151" s="24" t="s">
        <v>1398</v>
      </c>
      <c r="D151" s="24" t="s">
        <v>1410</v>
      </c>
      <c r="E151" s="24" t="s">
        <v>591</v>
      </c>
      <c r="F151" s="24" t="s">
        <v>592</v>
      </c>
      <c r="G151" s="25">
        <f>VLOOKUP(A151,负载电气特性!A:G,7,FALSE)</f>
        <v>270</v>
      </c>
      <c r="H151" s="26" t="s">
        <v>66</v>
      </c>
      <c r="I151" s="24" t="s">
        <v>1709</v>
      </c>
      <c r="J151" s="25" t="s">
        <v>1708</v>
      </c>
      <c r="K151" s="25">
        <v>0</v>
      </c>
      <c r="L151" s="25">
        <v>1</v>
      </c>
      <c r="M151" s="25">
        <v>1</v>
      </c>
      <c r="N151" s="25">
        <v>1</v>
      </c>
      <c r="O151" s="25">
        <v>0.8</v>
      </c>
      <c r="P151" s="25">
        <v>1</v>
      </c>
      <c r="Q151" s="25">
        <v>1</v>
      </c>
      <c r="R151" s="25">
        <v>1</v>
      </c>
      <c r="S151" s="25">
        <v>0.5</v>
      </c>
      <c r="T151" s="25">
        <v>0.8</v>
      </c>
      <c r="U151" s="27" t="str">
        <f>_xlfn.LET(_xlpm.maxVal,_xlfn.MAXIFS($K:$K,$A:$A,A151),IF(AND(_xlpm.maxVal=K151,L151&lt;&gt;0),_xlpm.maxVal,""))</f>
        <v/>
      </c>
      <c r="V151" s="27" t="str">
        <f>_xlfn.LET(_xlpm.maxVal,_xlfn.MAXIFS($K:$K,$A:$A,A151),IF(AND(_xlpm.maxVal=K151,M151&lt;&gt;0),_xlpm.maxVal,""))</f>
        <v/>
      </c>
      <c r="W151" s="27" t="str">
        <f>_xlfn.LET(_xlpm.maxVal,_xlfn.MAXIFS($K:$K,$A:$A,A151),IF(AND(_xlpm.maxVal=K151,N151&lt;&gt;0),_xlpm.maxVal,""))</f>
        <v/>
      </c>
      <c r="X151" s="27" t="str">
        <f>_xlfn.LET(_xlpm.maxVal,_xlfn.MAXIFS($K:$K,$A:$A,A151),IF(AND(_xlpm.maxVal=K151,O151&lt;&gt;0),_xlpm.maxVal,""))</f>
        <v/>
      </c>
      <c r="Y151" s="27" t="str">
        <f>_xlfn.LET(_xlpm.maxVal,_xlfn.MAXIFS($K:$K,$A:$A,A151),IF(AND(_xlpm.maxVal=K151,P151&lt;&gt;0),_xlpm.maxVal,""))</f>
        <v/>
      </c>
      <c r="Z151" s="27" t="str">
        <f>_xlfn.LET(_xlpm.maxVal,_xlfn.MAXIFS($K:$K,$A:$A,A151),IF(AND(_xlpm.maxVal=K151,Q151&lt;&gt;0),_xlpm.maxVal,""))</f>
        <v/>
      </c>
      <c r="AA151" s="27" t="str">
        <f>_xlfn.LET(_xlpm.maxVal,_xlfn.MAXIFS($K:$K,$A:$A,A151),IF(AND(_xlpm.maxVal=K151,R151&lt;&gt;0),_xlpm.maxVal,""))</f>
        <v/>
      </c>
      <c r="AB151" s="27" t="str">
        <f>_xlfn.LET(_xlpm.maxVal,_xlfn.MAXIFS($K:$K,$A:$A,A151),IF(AND(_xlpm.maxVal=K151,S151&lt;&gt;0),_xlpm.maxVal,""))</f>
        <v/>
      </c>
      <c r="AC151" s="27" t="str">
        <f>_xlfn.LET(_xlpm.maxVal,_xlfn.MAXIFS($K:$K,$A:$A,A151),IF(AND(_xlpm.maxVal=K151,T151&lt;&gt;0),_xlpm.maxVal,""))</f>
        <v/>
      </c>
      <c r="AD151" s="27">
        <f>$K151*L151*负载统计!$K$3/60</f>
        <v>0</v>
      </c>
      <c r="AE151" s="27">
        <f>$K151*L151*负载统计!$K$4/60</f>
        <v>0</v>
      </c>
      <c r="AF151" s="27">
        <f>$K151*N151*负载统计!$K$5/60</f>
        <v>0</v>
      </c>
      <c r="AG151" s="27">
        <f>$K151*O151*负载统计!$K$6/60</f>
        <v>0</v>
      </c>
      <c r="AH151" s="27">
        <f>$K151*P151*负载统计!$K$7/60</f>
        <v>0</v>
      </c>
      <c r="AI151" s="27">
        <f>$K151*Q151*负载统计!$K$8/60</f>
        <v>0</v>
      </c>
      <c r="AJ151" s="27">
        <f>$K151*R151*负载统计!$K$9/60</f>
        <v>0</v>
      </c>
      <c r="AK151" s="27">
        <f>$K151*S151*负载统计!$K$10/60</f>
        <v>0</v>
      </c>
      <c r="AL151" s="27">
        <f>$K151*T151*负载统计!$K$11/60</f>
        <v>0</v>
      </c>
    </row>
    <row r="152" spans="1:38">
      <c r="A152" s="1">
        <v>67</v>
      </c>
      <c r="B152" s="24" t="s">
        <v>1411</v>
      </c>
      <c r="C152" s="24" t="s">
        <v>1398</v>
      </c>
      <c r="D152" s="24" t="s">
        <v>1410</v>
      </c>
      <c r="E152" s="24" t="s">
        <v>591</v>
      </c>
      <c r="F152" s="24" t="s">
        <v>592</v>
      </c>
      <c r="G152" s="25">
        <f>VLOOKUP(A152,负载电气特性!A:G,7,FALSE)</f>
        <v>28</v>
      </c>
      <c r="H152" s="26" t="s">
        <v>66</v>
      </c>
      <c r="I152" s="25" t="s">
        <v>1706</v>
      </c>
      <c r="J152" s="24" t="s">
        <v>1707</v>
      </c>
      <c r="K152" s="25">
        <v>0.042</v>
      </c>
      <c r="L152" s="25">
        <v>1</v>
      </c>
      <c r="M152" s="25">
        <v>1</v>
      </c>
      <c r="N152" s="25">
        <v>1</v>
      </c>
      <c r="O152" s="25">
        <v>1</v>
      </c>
      <c r="P152" s="25">
        <v>1</v>
      </c>
      <c r="Q152" s="25">
        <v>1</v>
      </c>
      <c r="R152" s="25">
        <v>1</v>
      </c>
      <c r="S152" s="25">
        <v>1</v>
      </c>
      <c r="T152" s="25">
        <v>1</v>
      </c>
      <c r="U152" s="27">
        <f>_xlfn.LET(_xlpm.maxVal,_xlfn.MAXIFS($K:$K,$A:$A,A152),IF(AND(_xlpm.maxVal=K152,L152&lt;&gt;0),_xlpm.maxVal,""))</f>
        <v>0.042</v>
      </c>
      <c r="V152" s="27">
        <f>_xlfn.LET(_xlpm.maxVal,_xlfn.MAXIFS($K:$K,$A:$A,A152),IF(AND(_xlpm.maxVal=K152,M152&lt;&gt;0),_xlpm.maxVal,""))</f>
        <v>0.042</v>
      </c>
      <c r="W152" s="27">
        <f>_xlfn.LET(_xlpm.maxVal,_xlfn.MAXIFS($K:$K,$A:$A,A152),IF(AND(_xlpm.maxVal=K152,N152&lt;&gt;0),_xlpm.maxVal,""))</f>
        <v>0.042</v>
      </c>
      <c r="X152" s="27">
        <f>_xlfn.LET(_xlpm.maxVal,_xlfn.MAXIFS($K:$K,$A:$A,A152),IF(AND(_xlpm.maxVal=K152,O152&lt;&gt;0),_xlpm.maxVal,""))</f>
        <v>0.042</v>
      </c>
      <c r="Y152" s="27">
        <f>_xlfn.LET(_xlpm.maxVal,_xlfn.MAXIFS($K:$K,$A:$A,A152),IF(AND(_xlpm.maxVal=K152,P152&lt;&gt;0),_xlpm.maxVal,""))</f>
        <v>0.042</v>
      </c>
      <c r="Z152" s="27">
        <f>_xlfn.LET(_xlpm.maxVal,_xlfn.MAXIFS($K:$K,$A:$A,A152),IF(AND(_xlpm.maxVal=K152,Q152&lt;&gt;0),_xlpm.maxVal,""))</f>
        <v>0.042</v>
      </c>
      <c r="AA152" s="27">
        <f>_xlfn.LET(_xlpm.maxVal,_xlfn.MAXIFS($K:$K,$A:$A,A152),IF(AND(_xlpm.maxVal=K152,R152&lt;&gt;0),_xlpm.maxVal,""))</f>
        <v>0.042</v>
      </c>
      <c r="AB152" s="27">
        <f>_xlfn.LET(_xlpm.maxVal,_xlfn.MAXIFS($K:$K,$A:$A,A152),IF(AND(_xlpm.maxVal=K152,S152&lt;&gt;0),_xlpm.maxVal,""))</f>
        <v>0.042</v>
      </c>
      <c r="AC152" s="27">
        <f>_xlfn.LET(_xlpm.maxVal,_xlfn.MAXIFS($K:$K,$A:$A,A152),IF(AND(_xlpm.maxVal=K152,T152&lt;&gt;0),_xlpm.maxVal,""))</f>
        <v>0.042</v>
      </c>
      <c r="AD152" s="27">
        <f>$K152*L152*负载统计!$K$3/60</f>
        <v>0</v>
      </c>
      <c r="AE152" s="27">
        <f>$K152*L152*负载统计!$K$4/60</f>
        <v>0</v>
      </c>
      <c r="AF152" s="27">
        <f>$K152*N152*负载统计!$K$5/60</f>
        <v>0.0007</v>
      </c>
      <c r="AG152" s="27">
        <f>$K152*O152*负载统计!$K$6/60</f>
        <v>0.0021</v>
      </c>
      <c r="AH152" s="27">
        <f>$K152*P152*负载统计!$K$7/60</f>
        <v>0.004739</v>
      </c>
      <c r="AI152" s="27">
        <f>$K152*Q152*负载统计!$K$8/60</f>
        <v>0.03052</v>
      </c>
      <c r="AJ152" s="27">
        <f>$K152*R152*负载统计!$K$9/60</f>
        <v>0.009695</v>
      </c>
      <c r="AK152" s="27">
        <f>$K152*S152*负载统计!$K$10/60</f>
        <v>0.00035</v>
      </c>
      <c r="AL152" s="27">
        <f>$K152*T152*负载统计!$K$11/60</f>
        <v>0.0028</v>
      </c>
    </row>
    <row r="153" spans="1:38">
      <c r="A153" s="1">
        <v>67</v>
      </c>
      <c r="B153" s="24" t="s">
        <v>1411</v>
      </c>
      <c r="C153" s="24" t="s">
        <v>1398</v>
      </c>
      <c r="D153" s="24" t="s">
        <v>1410</v>
      </c>
      <c r="E153" s="24" t="s">
        <v>591</v>
      </c>
      <c r="F153" s="24" t="s">
        <v>592</v>
      </c>
      <c r="G153" s="25">
        <f>VLOOKUP(A153,负载电气特性!A:G,7,FALSE)</f>
        <v>28</v>
      </c>
      <c r="H153" s="26" t="s">
        <v>66</v>
      </c>
      <c r="I153" s="25" t="s">
        <v>1706</v>
      </c>
      <c r="J153" s="25" t="s">
        <v>1712</v>
      </c>
      <c r="K153" s="25">
        <v>0.008</v>
      </c>
      <c r="L153" s="25">
        <v>0</v>
      </c>
      <c r="M153" s="25">
        <v>0</v>
      </c>
      <c r="N153" s="25">
        <v>0</v>
      </c>
      <c r="O153" s="25">
        <v>0</v>
      </c>
      <c r="P153" s="25">
        <v>0</v>
      </c>
      <c r="Q153" s="25">
        <v>0</v>
      </c>
      <c r="R153" s="25">
        <v>0</v>
      </c>
      <c r="S153" s="25">
        <v>0</v>
      </c>
      <c r="T153" s="25">
        <v>0</v>
      </c>
      <c r="U153" s="27" t="str">
        <f>_xlfn.LET(_xlpm.maxVal,_xlfn.MAXIFS($K:$K,$A:$A,A153),IF(AND(_xlpm.maxVal=K153,L153&lt;&gt;0),_xlpm.maxVal,""))</f>
        <v/>
      </c>
      <c r="V153" s="27" t="str">
        <f>_xlfn.LET(_xlpm.maxVal,_xlfn.MAXIFS($K:$K,$A:$A,A153),IF(AND(_xlpm.maxVal=K153,M153&lt;&gt;0),_xlpm.maxVal,""))</f>
        <v/>
      </c>
      <c r="W153" s="27" t="str">
        <f>_xlfn.LET(_xlpm.maxVal,_xlfn.MAXIFS($K:$K,$A:$A,A153),IF(AND(_xlpm.maxVal=K153,N153&lt;&gt;0),_xlpm.maxVal,""))</f>
        <v/>
      </c>
      <c r="X153" s="27" t="str">
        <f>_xlfn.LET(_xlpm.maxVal,_xlfn.MAXIFS($K:$K,$A:$A,A153),IF(AND(_xlpm.maxVal=K153,O153&lt;&gt;0),_xlpm.maxVal,""))</f>
        <v/>
      </c>
      <c r="Y153" s="27" t="str">
        <f>_xlfn.LET(_xlpm.maxVal,_xlfn.MAXIFS($K:$K,$A:$A,A153),IF(AND(_xlpm.maxVal=K153,P153&lt;&gt;0),_xlpm.maxVal,""))</f>
        <v/>
      </c>
      <c r="Z153" s="27" t="str">
        <f>_xlfn.LET(_xlpm.maxVal,_xlfn.MAXIFS($K:$K,$A:$A,A153),IF(AND(_xlpm.maxVal=K153,Q153&lt;&gt;0),_xlpm.maxVal,""))</f>
        <v/>
      </c>
      <c r="AA153" s="27" t="str">
        <f>_xlfn.LET(_xlpm.maxVal,_xlfn.MAXIFS($K:$K,$A:$A,A153),IF(AND(_xlpm.maxVal=K153,R153&lt;&gt;0),_xlpm.maxVal,""))</f>
        <v/>
      </c>
      <c r="AB153" s="27" t="str">
        <f>_xlfn.LET(_xlpm.maxVal,_xlfn.MAXIFS($K:$K,$A:$A,A153),IF(AND(_xlpm.maxVal=K153,S153&lt;&gt;0),_xlpm.maxVal,""))</f>
        <v/>
      </c>
      <c r="AC153" s="27" t="str">
        <f>_xlfn.LET(_xlpm.maxVal,_xlfn.MAXIFS($K:$K,$A:$A,A153),IF(AND(_xlpm.maxVal=K153,T153&lt;&gt;0),_xlpm.maxVal,""))</f>
        <v/>
      </c>
      <c r="AD153" s="27">
        <f>$K153*L153*负载统计!$K$3/60</f>
        <v>0</v>
      </c>
      <c r="AE153" s="27">
        <f>$K153*L153*负载统计!$K$4/60</f>
        <v>0</v>
      </c>
      <c r="AF153" s="27">
        <f>$K153*N153*负载统计!$K$5/60</f>
        <v>0</v>
      </c>
      <c r="AG153" s="27">
        <f>$K153*O153*负载统计!$K$6/60</f>
        <v>0</v>
      </c>
      <c r="AH153" s="27">
        <f>$K153*P153*负载统计!$K$7/60</f>
        <v>0</v>
      </c>
      <c r="AI153" s="27">
        <f>$K153*Q153*负载统计!$K$8/60</f>
        <v>0</v>
      </c>
      <c r="AJ153" s="27">
        <f>$K153*R153*负载统计!$K$9/60</f>
        <v>0</v>
      </c>
      <c r="AK153" s="27">
        <f>$K153*S153*负载统计!$K$10/60</f>
        <v>0</v>
      </c>
      <c r="AL153" s="27">
        <f>$K153*T153*负载统计!$K$11/60</f>
        <v>0</v>
      </c>
    </row>
    <row r="154" spans="1:38">
      <c r="A154" s="1">
        <v>67</v>
      </c>
      <c r="B154" s="24" t="s">
        <v>1411</v>
      </c>
      <c r="C154" s="24" t="s">
        <v>1398</v>
      </c>
      <c r="D154" s="24" t="s">
        <v>1410</v>
      </c>
      <c r="E154" s="24" t="s">
        <v>591</v>
      </c>
      <c r="F154" s="24" t="s">
        <v>592</v>
      </c>
      <c r="G154" s="25">
        <f>VLOOKUP(A154,负载电气特性!A:G,7,FALSE)</f>
        <v>28</v>
      </c>
      <c r="H154" s="26" t="s">
        <v>66</v>
      </c>
      <c r="I154" s="25" t="s">
        <v>1706</v>
      </c>
      <c r="J154" s="25" t="s">
        <v>1708</v>
      </c>
      <c r="K154" s="25">
        <v>0</v>
      </c>
      <c r="L154" s="25">
        <v>0</v>
      </c>
      <c r="M154" s="25">
        <v>0</v>
      </c>
      <c r="N154" s="25">
        <v>0</v>
      </c>
      <c r="O154" s="25">
        <v>0</v>
      </c>
      <c r="P154" s="25">
        <v>0</v>
      </c>
      <c r="Q154" s="25">
        <v>0</v>
      </c>
      <c r="R154" s="25">
        <v>0</v>
      </c>
      <c r="S154" s="25">
        <v>0</v>
      </c>
      <c r="T154" s="25">
        <v>0</v>
      </c>
      <c r="U154" s="27" t="str">
        <f>_xlfn.LET(_xlpm.maxVal,_xlfn.MAXIFS($K:$K,$A:$A,A154),IF(AND(_xlpm.maxVal=K154,L154&lt;&gt;0),_xlpm.maxVal,""))</f>
        <v/>
      </c>
      <c r="V154" s="27" t="str">
        <f>_xlfn.LET(_xlpm.maxVal,_xlfn.MAXIFS($K:$K,$A:$A,A154),IF(AND(_xlpm.maxVal=K154,M154&lt;&gt;0),_xlpm.maxVal,""))</f>
        <v/>
      </c>
      <c r="W154" s="27" t="str">
        <f>_xlfn.LET(_xlpm.maxVal,_xlfn.MAXIFS($K:$K,$A:$A,A154),IF(AND(_xlpm.maxVal=K154,N154&lt;&gt;0),_xlpm.maxVal,""))</f>
        <v/>
      </c>
      <c r="X154" s="27" t="str">
        <f>_xlfn.LET(_xlpm.maxVal,_xlfn.MAXIFS($K:$K,$A:$A,A154),IF(AND(_xlpm.maxVal=K154,O154&lt;&gt;0),_xlpm.maxVal,""))</f>
        <v/>
      </c>
      <c r="Y154" s="27" t="str">
        <f>_xlfn.LET(_xlpm.maxVal,_xlfn.MAXIFS($K:$K,$A:$A,A154),IF(AND(_xlpm.maxVal=K154,P154&lt;&gt;0),_xlpm.maxVal,""))</f>
        <v/>
      </c>
      <c r="Z154" s="27" t="str">
        <f>_xlfn.LET(_xlpm.maxVal,_xlfn.MAXIFS($K:$K,$A:$A,A154),IF(AND(_xlpm.maxVal=K154,Q154&lt;&gt;0),_xlpm.maxVal,""))</f>
        <v/>
      </c>
      <c r="AA154" s="27" t="str">
        <f>_xlfn.LET(_xlpm.maxVal,_xlfn.MAXIFS($K:$K,$A:$A,A154),IF(AND(_xlpm.maxVal=K154,R154&lt;&gt;0),_xlpm.maxVal,""))</f>
        <v/>
      </c>
      <c r="AB154" s="27" t="str">
        <f>_xlfn.LET(_xlpm.maxVal,_xlfn.MAXIFS($K:$K,$A:$A,A154),IF(AND(_xlpm.maxVal=K154,S154&lt;&gt;0),_xlpm.maxVal,""))</f>
        <v/>
      </c>
      <c r="AC154" s="27" t="str">
        <f>_xlfn.LET(_xlpm.maxVal,_xlfn.MAXIFS($K:$K,$A:$A,A154),IF(AND(_xlpm.maxVal=K154,T154&lt;&gt;0),_xlpm.maxVal,""))</f>
        <v/>
      </c>
      <c r="AD154" s="27">
        <f>$K154*L154*负载统计!$K$3/60</f>
        <v>0</v>
      </c>
      <c r="AE154" s="27">
        <f>$K154*L154*负载统计!$K$4/60</f>
        <v>0</v>
      </c>
      <c r="AF154" s="27">
        <f>$K154*N154*负载统计!$K$5/60</f>
        <v>0</v>
      </c>
      <c r="AG154" s="27">
        <f>$K154*O154*负载统计!$K$6/60</f>
        <v>0</v>
      </c>
      <c r="AH154" s="27">
        <f>$K154*P154*负载统计!$K$7/60</f>
        <v>0</v>
      </c>
      <c r="AI154" s="27">
        <f>$K154*Q154*负载统计!$K$8/60</f>
        <v>0</v>
      </c>
      <c r="AJ154" s="27">
        <f>$K154*R154*负载统计!$K$9/60</f>
        <v>0</v>
      </c>
      <c r="AK154" s="27">
        <f>$K154*S154*负载统计!$K$10/60</f>
        <v>0</v>
      </c>
      <c r="AL154" s="27">
        <f>$K154*T154*负载统计!$K$11/60</f>
        <v>0</v>
      </c>
    </row>
    <row r="155" spans="1:38">
      <c r="A155" s="1">
        <v>68</v>
      </c>
      <c r="B155" s="24" t="s">
        <v>1412</v>
      </c>
      <c r="C155" s="24" t="s">
        <v>1398</v>
      </c>
      <c r="D155" s="24" t="s">
        <v>1413</v>
      </c>
      <c r="E155" s="24" t="s">
        <v>591</v>
      </c>
      <c r="F155" s="24" t="s">
        <v>594</v>
      </c>
      <c r="G155" s="25">
        <f>VLOOKUP(A155,负载电气特性!A:G,7,FALSE)</f>
        <v>270</v>
      </c>
      <c r="H155" s="26" t="s">
        <v>66</v>
      </c>
      <c r="I155" s="24" t="s">
        <v>1709</v>
      </c>
      <c r="J155" s="24" t="s">
        <v>1707</v>
      </c>
      <c r="K155" s="25">
        <v>1.2</v>
      </c>
      <c r="L155" s="25">
        <v>0</v>
      </c>
      <c r="M155" s="25">
        <v>0</v>
      </c>
      <c r="N155" s="25">
        <v>0</v>
      </c>
      <c r="O155" s="25">
        <v>0.2</v>
      </c>
      <c r="P155" s="25">
        <v>0</v>
      </c>
      <c r="Q155" s="25">
        <v>0</v>
      </c>
      <c r="R155" s="25">
        <v>0</v>
      </c>
      <c r="S155" s="25">
        <v>0.5</v>
      </c>
      <c r="T155" s="25">
        <v>0.2</v>
      </c>
      <c r="U155" s="27" t="str">
        <f>_xlfn.LET(_xlpm.maxVal,_xlfn.MAXIFS($K:$K,$A:$A,A155),IF(AND(_xlpm.maxVal=K155,L155&lt;&gt;0),_xlpm.maxVal,""))</f>
        <v/>
      </c>
      <c r="V155" s="27" t="str">
        <f>_xlfn.LET(_xlpm.maxVal,_xlfn.MAXIFS($K:$K,$A:$A,A155),IF(AND(_xlpm.maxVal=K155,M155&lt;&gt;0),_xlpm.maxVal,""))</f>
        <v/>
      </c>
      <c r="W155" s="27" t="str">
        <f>_xlfn.LET(_xlpm.maxVal,_xlfn.MAXIFS($K:$K,$A:$A,A155),IF(AND(_xlpm.maxVal=K155,N155&lt;&gt;0),_xlpm.maxVal,""))</f>
        <v/>
      </c>
      <c r="X155" s="27">
        <f>_xlfn.LET(_xlpm.maxVal,_xlfn.MAXIFS($K:$K,$A:$A,A155),IF(AND(_xlpm.maxVal=K155,O155&lt;&gt;0),_xlpm.maxVal,""))</f>
        <v>1.2</v>
      </c>
      <c r="Y155" s="27" t="str">
        <f>_xlfn.LET(_xlpm.maxVal,_xlfn.MAXIFS($K:$K,$A:$A,A155),IF(AND(_xlpm.maxVal=K155,P155&lt;&gt;0),_xlpm.maxVal,""))</f>
        <v/>
      </c>
      <c r="Z155" s="27" t="str">
        <f>_xlfn.LET(_xlpm.maxVal,_xlfn.MAXIFS($K:$K,$A:$A,A155),IF(AND(_xlpm.maxVal=K155,Q155&lt;&gt;0),_xlpm.maxVal,""))</f>
        <v/>
      </c>
      <c r="AA155" s="27" t="str">
        <f>_xlfn.LET(_xlpm.maxVal,_xlfn.MAXIFS($K:$K,$A:$A,A155),IF(AND(_xlpm.maxVal=K155,R155&lt;&gt;0),_xlpm.maxVal,""))</f>
        <v/>
      </c>
      <c r="AB155" s="27">
        <f>_xlfn.LET(_xlpm.maxVal,_xlfn.MAXIFS($K:$K,$A:$A,A155),IF(AND(_xlpm.maxVal=K155,S155&lt;&gt;0),_xlpm.maxVal,""))</f>
        <v>1.2</v>
      </c>
      <c r="AC155" s="27">
        <f>_xlfn.LET(_xlpm.maxVal,_xlfn.MAXIFS($K:$K,$A:$A,A155),IF(AND(_xlpm.maxVal=K155,T155&lt;&gt;0),_xlpm.maxVal,""))</f>
        <v>1.2</v>
      </c>
      <c r="AD155" s="27">
        <f>$K155*L155*负载统计!$K$3/60</f>
        <v>0</v>
      </c>
      <c r="AE155" s="27">
        <f>$K155*L155*负载统计!$K$4/60</f>
        <v>0</v>
      </c>
      <c r="AF155" s="27">
        <f>$K155*N155*负载统计!$K$5/60</f>
        <v>0</v>
      </c>
      <c r="AG155" s="27">
        <f>$K155*O155*负载统计!$K$6/60</f>
        <v>0.012</v>
      </c>
      <c r="AH155" s="27">
        <f>$K155*P155*负载统计!$K$7/60</f>
        <v>0</v>
      </c>
      <c r="AI155" s="27">
        <f>$K155*Q155*负载统计!$K$8/60</f>
        <v>0</v>
      </c>
      <c r="AJ155" s="27">
        <f>$K155*R155*负载统计!$K$9/60</f>
        <v>0</v>
      </c>
      <c r="AK155" s="27">
        <f>$K155*S155*负载统计!$K$10/60</f>
        <v>0.005</v>
      </c>
      <c r="AL155" s="27">
        <f>$K155*T155*负载统计!$K$11/60</f>
        <v>0.016</v>
      </c>
    </row>
    <row r="156" spans="1:38">
      <c r="A156" s="1">
        <v>68</v>
      </c>
      <c r="B156" s="24" t="s">
        <v>1412</v>
      </c>
      <c r="C156" s="24" t="s">
        <v>1398</v>
      </c>
      <c r="D156" s="24" t="s">
        <v>1413</v>
      </c>
      <c r="E156" s="24" t="s">
        <v>591</v>
      </c>
      <c r="F156" s="24" t="s">
        <v>594</v>
      </c>
      <c r="G156" s="25">
        <f>VLOOKUP(A156,负载电气特性!A:G,7,FALSE)</f>
        <v>270</v>
      </c>
      <c r="H156" s="26" t="s">
        <v>66</v>
      </c>
      <c r="I156" s="24" t="s">
        <v>1709</v>
      </c>
      <c r="J156" s="25" t="s">
        <v>1708</v>
      </c>
      <c r="K156" s="25">
        <v>0</v>
      </c>
      <c r="L156" s="25">
        <v>1</v>
      </c>
      <c r="M156" s="25">
        <v>1</v>
      </c>
      <c r="N156" s="25">
        <v>1</v>
      </c>
      <c r="O156" s="25">
        <v>0.8</v>
      </c>
      <c r="P156" s="25">
        <v>1</v>
      </c>
      <c r="Q156" s="25">
        <v>1</v>
      </c>
      <c r="R156" s="25">
        <v>1</v>
      </c>
      <c r="S156" s="25">
        <v>0.5</v>
      </c>
      <c r="T156" s="25">
        <v>0.8</v>
      </c>
      <c r="U156" s="27" t="str">
        <f>_xlfn.LET(_xlpm.maxVal,_xlfn.MAXIFS($K:$K,$A:$A,A156),IF(AND(_xlpm.maxVal=K156,L156&lt;&gt;0),_xlpm.maxVal,""))</f>
        <v/>
      </c>
      <c r="V156" s="27" t="str">
        <f>_xlfn.LET(_xlpm.maxVal,_xlfn.MAXIFS($K:$K,$A:$A,A156),IF(AND(_xlpm.maxVal=K156,M156&lt;&gt;0),_xlpm.maxVal,""))</f>
        <v/>
      </c>
      <c r="W156" s="27" t="str">
        <f>_xlfn.LET(_xlpm.maxVal,_xlfn.MAXIFS($K:$K,$A:$A,A156),IF(AND(_xlpm.maxVal=K156,N156&lt;&gt;0),_xlpm.maxVal,""))</f>
        <v/>
      </c>
      <c r="X156" s="27" t="str">
        <f>_xlfn.LET(_xlpm.maxVal,_xlfn.MAXIFS($K:$K,$A:$A,A156),IF(AND(_xlpm.maxVal=K156,O156&lt;&gt;0),_xlpm.maxVal,""))</f>
        <v/>
      </c>
      <c r="Y156" s="27" t="str">
        <f>_xlfn.LET(_xlpm.maxVal,_xlfn.MAXIFS($K:$K,$A:$A,A156),IF(AND(_xlpm.maxVal=K156,P156&lt;&gt;0),_xlpm.maxVal,""))</f>
        <v/>
      </c>
      <c r="Z156" s="27" t="str">
        <f>_xlfn.LET(_xlpm.maxVal,_xlfn.MAXIFS($K:$K,$A:$A,A156),IF(AND(_xlpm.maxVal=K156,Q156&lt;&gt;0),_xlpm.maxVal,""))</f>
        <v/>
      </c>
      <c r="AA156" s="27" t="str">
        <f>_xlfn.LET(_xlpm.maxVal,_xlfn.MAXIFS($K:$K,$A:$A,A156),IF(AND(_xlpm.maxVal=K156,R156&lt;&gt;0),_xlpm.maxVal,""))</f>
        <v/>
      </c>
      <c r="AB156" s="27" t="str">
        <f>_xlfn.LET(_xlpm.maxVal,_xlfn.MAXIFS($K:$K,$A:$A,A156),IF(AND(_xlpm.maxVal=K156,S156&lt;&gt;0),_xlpm.maxVal,""))</f>
        <v/>
      </c>
      <c r="AC156" s="27" t="str">
        <f>_xlfn.LET(_xlpm.maxVal,_xlfn.MAXIFS($K:$K,$A:$A,A156),IF(AND(_xlpm.maxVal=K156,T156&lt;&gt;0),_xlpm.maxVal,""))</f>
        <v/>
      </c>
      <c r="AD156" s="27">
        <f>$K156*L156*负载统计!$K$3/60</f>
        <v>0</v>
      </c>
      <c r="AE156" s="27">
        <f>$K156*L156*负载统计!$K$4/60</f>
        <v>0</v>
      </c>
      <c r="AF156" s="27">
        <f>$K156*N156*负载统计!$K$5/60</f>
        <v>0</v>
      </c>
      <c r="AG156" s="27">
        <f>$K156*O156*负载统计!$K$6/60</f>
        <v>0</v>
      </c>
      <c r="AH156" s="27">
        <f>$K156*P156*负载统计!$K$7/60</f>
        <v>0</v>
      </c>
      <c r="AI156" s="27">
        <f>$K156*Q156*负载统计!$K$8/60</f>
        <v>0</v>
      </c>
      <c r="AJ156" s="27">
        <f>$K156*R156*负载统计!$K$9/60</f>
        <v>0</v>
      </c>
      <c r="AK156" s="27">
        <f>$K156*S156*负载统计!$K$10/60</f>
        <v>0</v>
      </c>
      <c r="AL156" s="27">
        <f>$K156*T156*负载统计!$K$11/60</f>
        <v>0</v>
      </c>
    </row>
    <row r="157" spans="1:38">
      <c r="A157" s="1">
        <v>69</v>
      </c>
      <c r="B157" s="24" t="s">
        <v>1414</v>
      </c>
      <c r="C157" s="24" t="s">
        <v>1398</v>
      </c>
      <c r="D157" s="24" t="s">
        <v>1413</v>
      </c>
      <c r="E157" s="24" t="s">
        <v>591</v>
      </c>
      <c r="F157" s="24" t="s">
        <v>594</v>
      </c>
      <c r="G157" s="25">
        <f>VLOOKUP(A157,负载电气特性!A:G,7,FALSE)</f>
        <v>28</v>
      </c>
      <c r="H157" s="26" t="s">
        <v>66</v>
      </c>
      <c r="I157" s="25" t="s">
        <v>1706</v>
      </c>
      <c r="J157" s="24" t="s">
        <v>1707</v>
      </c>
      <c r="K157" s="25">
        <v>0.042</v>
      </c>
      <c r="L157" s="25">
        <v>1</v>
      </c>
      <c r="M157" s="25">
        <v>1</v>
      </c>
      <c r="N157" s="25">
        <v>1</v>
      </c>
      <c r="O157" s="25">
        <v>1</v>
      </c>
      <c r="P157" s="25">
        <v>1</v>
      </c>
      <c r="Q157" s="25">
        <v>1</v>
      </c>
      <c r="R157" s="25">
        <v>1</v>
      </c>
      <c r="S157" s="25">
        <v>1</v>
      </c>
      <c r="T157" s="25">
        <v>1</v>
      </c>
      <c r="U157" s="27">
        <f>_xlfn.LET(_xlpm.maxVal,_xlfn.MAXIFS($K:$K,$A:$A,A157),IF(AND(_xlpm.maxVal=K157,L157&lt;&gt;0),_xlpm.maxVal,""))</f>
        <v>0.042</v>
      </c>
      <c r="V157" s="27">
        <f>_xlfn.LET(_xlpm.maxVal,_xlfn.MAXIFS($K:$K,$A:$A,A157),IF(AND(_xlpm.maxVal=K157,M157&lt;&gt;0),_xlpm.maxVal,""))</f>
        <v>0.042</v>
      </c>
      <c r="W157" s="27">
        <f>_xlfn.LET(_xlpm.maxVal,_xlfn.MAXIFS($K:$K,$A:$A,A157),IF(AND(_xlpm.maxVal=K157,N157&lt;&gt;0),_xlpm.maxVal,""))</f>
        <v>0.042</v>
      </c>
      <c r="X157" s="27">
        <f>_xlfn.LET(_xlpm.maxVal,_xlfn.MAXIFS($K:$K,$A:$A,A157),IF(AND(_xlpm.maxVal=K157,O157&lt;&gt;0),_xlpm.maxVal,""))</f>
        <v>0.042</v>
      </c>
      <c r="Y157" s="27">
        <f>_xlfn.LET(_xlpm.maxVal,_xlfn.MAXIFS($K:$K,$A:$A,A157),IF(AND(_xlpm.maxVal=K157,P157&lt;&gt;0),_xlpm.maxVal,""))</f>
        <v>0.042</v>
      </c>
      <c r="Z157" s="27">
        <f>_xlfn.LET(_xlpm.maxVal,_xlfn.MAXIFS($K:$K,$A:$A,A157),IF(AND(_xlpm.maxVal=K157,Q157&lt;&gt;0),_xlpm.maxVal,""))</f>
        <v>0.042</v>
      </c>
      <c r="AA157" s="27">
        <f>_xlfn.LET(_xlpm.maxVal,_xlfn.MAXIFS($K:$K,$A:$A,A157),IF(AND(_xlpm.maxVal=K157,R157&lt;&gt;0),_xlpm.maxVal,""))</f>
        <v>0.042</v>
      </c>
      <c r="AB157" s="27">
        <f>_xlfn.LET(_xlpm.maxVal,_xlfn.MAXIFS($K:$K,$A:$A,A157),IF(AND(_xlpm.maxVal=K157,S157&lt;&gt;0),_xlpm.maxVal,""))</f>
        <v>0.042</v>
      </c>
      <c r="AC157" s="27">
        <f>_xlfn.LET(_xlpm.maxVal,_xlfn.MAXIFS($K:$K,$A:$A,A157),IF(AND(_xlpm.maxVal=K157,T157&lt;&gt;0),_xlpm.maxVal,""))</f>
        <v>0.042</v>
      </c>
      <c r="AD157" s="27">
        <f>$K157*L157*负载统计!$K$3/60</f>
        <v>0</v>
      </c>
      <c r="AE157" s="27">
        <f>$K157*L157*负载统计!$K$4/60</f>
        <v>0</v>
      </c>
      <c r="AF157" s="27">
        <f>$K157*N157*负载统计!$K$5/60</f>
        <v>0.0007</v>
      </c>
      <c r="AG157" s="27">
        <f>$K157*O157*负载统计!$K$6/60</f>
        <v>0.0021</v>
      </c>
      <c r="AH157" s="27">
        <f>$K157*P157*负载统计!$K$7/60</f>
        <v>0.004739</v>
      </c>
      <c r="AI157" s="27">
        <f>$K157*Q157*负载统计!$K$8/60</f>
        <v>0.03052</v>
      </c>
      <c r="AJ157" s="27">
        <f>$K157*R157*负载统计!$K$9/60</f>
        <v>0.009695</v>
      </c>
      <c r="AK157" s="27">
        <f>$K157*S157*负载统计!$K$10/60</f>
        <v>0.00035</v>
      </c>
      <c r="AL157" s="27">
        <f>$K157*T157*负载统计!$K$11/60</f>
        <v>0.0028</v>
      </c>
    </row>
    <row r="158" spans="1:38">
      <c r="A158" s="1">
        <v>69</v>
      </c>
      <c r="B158" s="24" t="s">
        <v>1414</v>
      </c>
      <c r="C158" s="24" t="s">
        <v>1398</v>
      </c>
      <c r="D158" s="24" t="s">
        <v>1413</v>
      </c>
      <c r="E158" s="24" t="s">
        <v>591</v>
      </c>
      <c r="F158" s="24" t="s">
        <v>594</v>
      </c>
      <c r="G158" s="25">
        <f>VLOOKUP(A158,负载电气特性!A:G,7,FALSE)</f>
        <v>28</v>
      </c>
      <c r="H158" s="26" t="s">
        <v>66</v>
      </c>
      <c r="I158" s="25" t="s">
        <v>1706</v>
      </c>
      <c r="J158" s="25" t="s">
        <v>1712</v>
      </c>
      <c r="K158" s="25">
        <v>0.008</v>
      </c>
      <c r="L158" s="25">
        <v>0</v>
      </c>
      <c r="M158" s="25">
        <v>0</v>
      </c>
      <c r="N158" s="25">
        <v>0</v>
      </c>
      <c r="O158" s="25">
        <v>0</v>
      </c>
      <c r="P158" s="25">
        <v>0</v>
      </c>
      <c r="Q158" s="25">
        <v>0</v>
      </c>
      <c r="R158" s="25">
        <v>0</v>
      </c>
      <c r="S158" s="25">
        <v>0</v>
      </c>
      <c r="T158" s="25">
        <v>0</v>
      </c>
      <c r="U158" s="27" t="str">
        <f>_xlfn.LET(_xlpm.maxVal,_xlfn.MAXIFS($K:$K,$A:$A,A158),IF(AND(_xlpm.maxVal=K158,L158&lt;&gt;0),_xlpm.maxVal,""))</f>
        <v/>
      </c>
      <c r="V158" s="27" t="str">
        <f>_xlfn.LET(_xlpm.maxVal,_xlfn.MAXIFS($K:$K,$A:$A,A158),IF(AND(_xlpm.maxVal=K158,M158&lt;&gt;0),_xlpm.maxVal,""))</f>
        <v/>
      </c>
      <c r="W158" s="27" t="str">
        <f>_xlfn.LET(_xlpm.maxVal,_xlfn.MAXIFS($K:$K,$A:$A,A158),IF(AND(_xlpm.maxVal=K158,N158&lt;&gt;0),_xlpm.maxVal,""))</f>
        <v/>
      </c>
      <c r="X158" s="27" t="str">
        <f>_xlfn.LET(_xlpm.maxVal,_xlfn.MAXIFS($K:$K,$A:$A,A158),IF(AND(_xlpm.maxVal=K158,O158&lt;&gt;0),_xlpm.maxVal,""))</f>
        <v/>
      </c>
      <c r="Y158" s="27" t="str">
        <f>_xlfn.LET(_xlpm.maxVal,_xlfn.MAXIFS($K:$K,$A:$A,A158),IF(AND(_xlpm.maxVal=K158,P158&lt;&gt;0),_xlpm.maxVal,""))</f>
        <v/>
      </c>
      <c r="Z158" s="27" t="str">
        <f>_xlfn.LET(_xlpm.maxVal,_xlfn.MAXIFS($K:$K,$A:$A,A158),IF(AND(_xlpm.maxVal=K158,Q158&lt;&gt;0),_xlpm.maxVal,""))</f>
        <v/>
      </c>
      <c r="AA158" s="27" t="str">
        <f>_xlfn.LET(_xlpm.maxVal,_xlfn.MAXIFS($K:$K,$A:$A,A158),IF(AND(_xlpm.maxVal=K158,R158&lt;&gt;0),_xlpm.maxVal,""))</f>
        <v/>
      </c>
      <c r="AB158" s="27" t="str">
        <f>_xlfn.LET(_xlpm.maxVal,_xlfn.MAXIFS($K:$K,$A:$A,A158),IF(AND(_xlpm.maxVal=K158,S158&lt;&gt;0),_xlpm.maxVal,""))</f>
        <v/>
      </c>
      <c r="AC158" s="27" t="str">
        <f>_xlfn.LET(_xlpm.maxVal,_xlfn.MAXIFS($K:$K,$A:$A,A158),IF(AND(_xlpm.maxVal=K158,T158&lt;&gt;0),_xlpm.maxVal,""))</f>
        <v/>
      </c>
      <c r="AD158" s="27">
        <f>$K158*L158*负载统计!$K$3/60</f>
        <v>0</v>
      </c>
      <c r="AE158" s="27">
        <f>$K158*L158*负载统计!$K$4/60</f>
        <v>0</v>
      </c>
      <c r="AF158" s="27">
        <f>$K158*N158*负载统计!$K$5/60</f>
        <v>0</v>
      </c>
      <c r="AG158" s="27">
        <f>$K158*O158*负载统计!$K$6/60</f>
        <v>0</v>
      </c>
      <c r="AH158" s="27">
        <f>$K158*P158*负载统计!$K$7/60</f>
        <v>0</v>
      </c>
      <c r="AI158" s="27">
        <f>$K158*Q158*负载统计!$K$8/60</f>
        <v>0</v>
      </c>
      <c r="AJ158" s="27">
        <f>$K158*R158*负载统计!$K$9/60</f>
        <v>0</v>
      </c>
      <c r="AK158" s="27">
        <f>$K158*S158*负载统计!$K$10/60</f>
        <v>0</v>
      </c>
      <c r="AL158" s="27">
        <f>$K158*T158*负载统计!$K$11/60</f>
        <v>0</v>
      </c>
    </row>
    <row r="159" spans="1:38">
      <c r="A159" s="1">
        <v>69</v>
      </c>
      <c r="B159" s="24" t="s">
        <v>1414</v>
      </c>
      <c r="C159" s="24" t="s">
        <v>1398</v>
      </c>
      <c r="D159" s="24" t="s">
        <v>1413</v>
      </c>
      <c r="E159" s="24" t="s">
        <v>591</v>
      </c>
      <c r="F159" s="24" t="s">
        <v>594</v>
      </c>
      <c r="G159" s="25">
        <f>VLOOKUP(A159,负载电气特性!A:G,7,FALSE)</f>
        <v>28</v>
      </c>
      <c r="H159" s="26" t="s">
        <v>66</v>
      </c>
      <c r="I159" s="25" t="s">
        <v>1706</v>
      </c>
      <c r="J159" s="25" t="s">
        <v>1708</v>
      </c>
      <c r="K159" s="25">
        <v>0</v>
      </c>
      <c r="L159" s="25">
        <v>0</v>
      </c>
      <c r="M159" s="25">
        <v>0</v>
      </c>
      <c r="N159" s="25">
        <v>0</v>
      </c>
      <c r="O159" s="25">
        <v>0</v>
      </c>
      <c r="P159" s="25">
        <v>0</v>
      </c>
      <c r="Q159" s="25">
        <v>0</v>
      </c>
      <c r="R159" s="25">
        <v>0</v>
      </c>
      <c r="S159" s="25">
        <v>0</v>
      </c>
      <c r="T159" s="25">
        <v>0</v>
      </c>
      <c r="U159" s="27" t="str">
        <f>_xlfn.LET(_xlpm.maxVal,_xlfn.MAXIFS($K:$K,$A:$A,A159),IF(AND(_xlpm.maxVal=K159,L159&lt;&gt;0),_xlpm.maxVal,""))</f>
        <v/>
      </c>
      <c r="V159" s="27" t="str">
        <f>_xlfn.LET(_xlpm.maxVal,_xlfn.MAXIFS($K:$K,$A:$A,A159),IF(AND(_xlpm.maxVal=K159,M159&lt;&gt;0),_xlpm.maxVal,""))</f>
        <v/>
      </c>
      <c r="W159" s="27" t="str">
        <f>_xlfn.LET(_xlpm.maxVal,_xlfn.MAXIFS($K:$K,$A:$A,A159),IF(AND(_xlpm.maxVal=K159,N159&lt;&gt;0),_xlpm.maxVal,""))</f>
        <v/>
      </c>
      <c r="X159" s="27" t="str">
        <f>_xlfn.LET(_xlpm.maxVal,_xlfn.MAXIFS($K:$K,$A:$A,A159),IF(AND(_xlpm.maxVal=K159,O159&lt;&gt;0),_xlpm.maxVal,""))</f>
        <v/>
      </c>
      <c r="Y159" s="27" t="str">
        <f>_xlfn.LET(_xlpm.maxVal,_xlfn.MAXIFS($K:$K,$A:$A,A159),IF(AND(_xlpm.maxVal=K159,P159&lt;&gt;0),_xlpm.maxVal,""))</f>
        <v/>
      </c>
      <c r="Z159" s="27" t="str">
        <f>_xlfn.LET(_xlpm.maxVal,_xlfn.MAXIFS($K:$K,$A:$A,A159),IF(AND(_xlpm.maxVal=K159,Q159&lt;&gt;0),_xlpm.maxVal,""))</f>
        <v/>
      </c>
      <c r="AA159" s="27" t="str">
        <f>_xlfn.LET(_xlpm.maxVal,_xlfn.MAXIFS($K:$K,$A:$A,A159),IF(AND(_xlpm.maxVal=K159,R159&lt;&gt;0),_xlpm.maxVal,""))</f>
        <v/>
      </c>
      <c r="AB159" s="27" t="str">
        <f>_xlfn.LET(_xlpm.maxVal,_xlfn.MAXIFS($K:$K,$A:$A,A159),IF(AND(_xlpm.maxVal=K159,S159&lt;&gt;0),_xlpm.maxVal,""))</f>
        <v/>
      </c>
      <c r="AC159" s="27" t="str">
        <f>_xlfn.LET(_xlpm.maxVal,_xlfn.MAXIFS($K:$K,$A:$A,A159),IF(AND(_xlpm.maxVal=K159,T159&lt;&gt;0),_xlpm.maxVal,""))</f>
        <v/>
      </c>
      <c r="AD159" s="27">
        <f>$K159*L159*负载统计!$K$3/60</f>
        <v>0</v>
      </c>
      <c r="AE159" s="27">
        <f>$K159*L159*负载统计!$K$4/60</f>
        <v>0</v>
      </c>
      <c r="AF159" s="27">
        <f>$K159*N159*负载统计!$K$5/60</f>
        <v>0</v>
      </c>
      <c r="AG159" s="27">
        <f>$K159*O159*负载统计!$K$6/60</f>
        <v>0</v>
      </c>
      <c r="AH159" s="27">
        <f>$K159*P159*负载统计!$K$7/60</f>
        <v>0</v>
      </c>
      <c r="AI159" s="27">
        <f>$K159*Q159*负载统计!$K$8/60</f>
        <v>0</v>
      </c>
      <c r="AJ159" s="27">
        <f>$K159*R159*负载统计!$K$9/60</f>
        <v>0</v>
      </c>
      <c r="AK159" s="27">
        <f>$K159*S159*负载统计!$K$10/60</f>
        <v>0</v>
      </c>
      <c r="AL159" s="27">
        <f>$K159*T159*负载统计!$K$11/60</f>
        <v>0</v>
      </c>
    </row>
    <row r="160" spans="1:38">
      <c r="A160" s="1">
        <v>70</v>
      </c>
      <c r="B160" s="24" t="s">
        <v>1415</v>
      </c>
      <c r="C160" s="24" t="s">
        <v>1398</v>
      </c>
      <c r="D160" s="24" t="s">
        <v>1416</v>
      </c>
      <c r="E160" s="24" t="s">
        <v>591</v>
      </c>
      <c r="F160" s="24" t="s">
        <v>596</v>
      </c>
      <c r="G160" s="25">
        <f>VLOOKUP(A160,负载电气特性!A:G,7,FALSE)</f>
        <v>270</v>
      </c>
      <c r="H160" s="26" t="s">
        <v>66</v>
      </c>
      <c r="I160" s="24" t="s">
        <v>1709</v>
      </c>
      <c r="J160" s="24" t="s">
        <v>1707</v>
      </c>
      <c r="K160" s="25">
        <v>1.2</v>
      </c>
      <c r="L160" s="25">
        <v>0</v>
      </c>
      <c r="M160" s="25">
        <v>0</v>
      </c>
      <c r="N160" s="25">
        <v>0</v>
      </c>
      <c r="O160" s="25">
        <v>0.2</v>
      </c>
      <c r="P160" s="25">
        <v>0</v>
      </c>
      <c r="Q160" s="25">
        <v>0</v>
      </c>
      <c r="R160" s="25">
        <v>0</v>
      </c>
      <c r="S160" s="25">
        <v>0.5</v>
      </c>
      <c r="T160" s="25">
        <v>0.2</v>
      </c>
      <c r="U160" s="27" t="str">
        <f>_xlfn.LET(_xlpm.maxVal,_xlfn.MAXIFS($K:$K,$A:$A,A160),IF(AND(_xlpm.maxVal=K160,L160&lt;&gt;0),_xlpm.maxVal,""))</f>
        <v/>
      </c>
      <c r="V160" s="27" t="str">
        <f>_xlfn.LET(_xlpm.maxVal,_xlfn.MAXIFS($K:$K,$A:$A,A160),IF(AND(_xlpm.maxVal=K160,M160&lt;&gt;0),_xlpm.maxVal,""))</f>
        <v/>
      </c>
      <c r="W160" s="27" t="str">
        <f>_xlfn.LET(_xlpm.maxVal,_xlfn.MAXIFS($K:$K,$A:$A,A160),IF(AND(_xlpm.maxVal=K160,N160&lt;&gt;0),_xlpm.maxVal,""))</f>
        <v/>
      </c>
      <c r="X160" s="27">
        <f>_xlfn.LET(_xlpm.maxVal,_xlfn.MAXIFS($K:$K,$A:$A,A160),IF(AND(_xlpm.maxVal=K160,O160&lt;&gt;0),_xlpm.maxVal,""))</f>
        <v>1.2</v>
      </c>
      <c r="Y160" s="27" t="str">
        <f>_xlfn.LET(_xlpm.maxVal,_xlfn.MAXIFS($K:$K,$A:$A,A160),IF(AND(_xlpm.maxVal=K160,P160&lt;&gt;0),_xlpm.maxVal,""))</f>
        <v/>
      </c>
      <c r="Z160" s="27" t="str">
        <f>_xlfn.LET(_xlpm.maxVal,_xlfn.MAXIFS($K:$K,$A:$A,A160),IF(AND(_xlpm.maxVal=K160,Q160&lt;&gt;0),_xlpm.maxVal,""))</f>
        <v/>
      </c>
      <c r="AA160" s="27" t="str">
        <f>_xlfn.LET(_xlpm.maxVal,_xlfn.MAXIFS($K:$K,$A:$A,A160),IF(AND(_xlpm.maxVal=K160,R160&lt;&gt;0),_xlpm.maxVal,""))</f>
        <v/>
      </c>
      <c r="AB160" s="27">
        <f>_xlfn.LET(_xlpm.maxVal,_xlfn.MAXIFS($K:$K,$A:$A,A160),IF(AND(_xlpm.maxVal=K160,S160&lt;&gt;0),_xlpm.maxVal,""))</f>
        <v>1.2</v>
      </c>
      <c r="AC160" s="27">
        <f>_xlfn.LET(_xlpm.maxVal,_xlfn.MAXIFS($K:$K,$A:$A,A160),IF(AND(_xlpm.maxVal=K160,T160&lt;&gt;0),_xlpm.maxVal,""))</f>
        <v>1.2</v>
      </c>
      <c r="AD160" s="27">
        <f>$K160*L160*负载统计!$K$3/60</f>
        <v>0</v>
      </c>
      <c r="AE160" s="27">
        <f>$K160*L160*负载统计!$K$4/60</f>
        <v>0</v>
      </c>
      <c r="AF160" s="27">
        <f>$K160*N160*负载统计!$K$5/60</f>
        <v>0</v>
      </c>
      <c r="AG160" s="27">
        <f>$K160*O160*负载统计!$K$6/60</f>
        <v>0.012</v>
      </c>
      <c r="AH160" s="27">
        <f>$K160*P160*负载统计!$K$7/60</f>
        <v>0</v>
      </c>
      <c r="AI160" s="27">
        <f>$K160*Q160*负载统计!$K$8/60</f>
        <v>0</v>
      </c>
      <c r="AJ160" s="27">
        <f>$K160*R160*负载统计!$K$9/60</f>
        <v>0</v>
      </c>
      <c r="AK160" s="27">
        <f>$K160*S160*负载统计!$K$10/60</f>
        <v>0.005</v>
      </c>
      <c r="AL160" s="27">
        <f>$K160*T160*负载统计!$K$11/60</f>
        <v>0.016</v>
      </c>
    </row>
    <row r="161" spans="1:38">
      <c r="A161" s="1">
        <v>70</v>
      </c>
      <c r="B161" s="24" t="s">
        <v>1415</v>
      </c>
      <c r="C161" s="24" t="s">
        <v>1398</v>
      </c>
      <c r="D161" s="24" t="s">
        <v>1416</v>
      </c>
      <c r="E161" s="24" t="s">
        <v>591</v>
      </c>
      <c r="F161" s="24" t="s">
        <v>596</v>
      </c>
      <c r="G161" s="25">
        <f>VLOOKUP(A161,负载电气特性!A:G,7,FALSE)</f>
        <v>270</v>
      </c>
      <c r="H161" s="26" t="s">
        <v>66</v>
      </c>
      <c r="I161" s="24" t="s">
        <v>1709</v>
      </c>
      <c r="J161" s="25" t="s">
        <v>1708</v>
      </c>
      <c r="K161" s="25">
        <v>0</v>
      </c>
      <c r="L161" s="25">
        <v>1</v>
      </c>
      <c r="M161" s="25">
        <v>1</v>
      </c>
      <c r="N161" s="25">
        <v>1</v>
      </c>
      <c r="O161" s="25">
        <v>0.8</v>
      </c>
      <c r="P161" s="25">
        <v>1</v>
      </c>
      <c r="Q161" s="25">
        <v>1</v>
      </c>
      <c r="R161" s="25">
        <v>1</v>
      </c>
      <c r="S161" s="25">
        <v>0.5</v>
      </c>
      <c r="T161" s="25">
        <v>0.8</v>
      </c>
      <c r="U161" s="27" t="str">
        <f>_xlfn.LET(_xlpm.maxVal,_xlfn.MAXIFS($K:$K,$A:$A,A161),IF(AND(_xlpm.maxVal=K161,L161&lt;&gt;0),_xlpm.maxVal,""))</f>
        <v/>
      </c>
      <c r="V161" s="27" t="str">
        <f>_xlfn.LET(_xlpm.maxVal,_xlfn.MAXIFS($K:$K,$A:$A,A161),IF(AND(_xlpm.maxVal=K161,M161&lt;&gt;0),_xlpm.maxVal,""))</f>
        <v/>
      </c>
      <c r="W161" s="27" t="str">
        <f>_xlfn.LET(_xlpm.maxVal,_xlfn.MAXIFS($K:$K,$A:$A,A161),IF(AND(_xlpm.maxVal=K161,N161&lt;&gt;0),_xlpm.maxVal,""))</f>
        <v/>
      </c>
      <c r="X161" s="27" t="str">
        <f>_xlfn.LET(_xlpm.maxVal,_xlfn.MAXIFS($K:$K,$A:$A,A161),IF(AND(_xlpm.maxVal=K161,O161&lt;&gt;0),_xlpm.maxVal,""))</f>
        <v/>
      </c>
      <c r="Y161" s="27" t="str">
        <f>_xlfn.LET(_xlpm.maxVal,_xlfn.MAXIFS($K:$K,$A:$A,A161),IF(AND(_xlpm.maxVal=K161,P161&lt;&gt;0),_xlpm.maxVal,""))</f>
        <v/>
      </c>
      <c r="Z161" s="27" t="str">
        <f>_xlfn.LET(_xlpm.maxVal,_xlfn.MAXIFS($K:$K,$A:$A,A161),IF(AND(_xlpm.maxVal=K161,Q161&lt;&gt;0),_xlpm.maxVal,""))</f>
        <v/>
      </c>
      <c r="AA161" s="27" t="str">
        <f>_xlfn.LET(_xlpm.maxVal,_xlfn.MAXIFS($K:$K,$A:$A,A161),IF(AND(_xlpm.maxVal=K161,R161&lt;&gt;0),_xlpm.maxVal,""))</f>
        <v/>
      </c>
      <c r="AB161" s="27" t="str">
        <f>_xlfn.LET(_xlpm.maxVal,_xlfn.MAXIFS($K:$K,$A:$A,A161),IF(AND(_xlpm.maxVal=K161,S161&lt;&gt;0),_xlpm.maxVal,""))</f>
        <v/>
      </c>
      <c r="AC161" s="27" t="str">
        <f>_xlfn.LET(_xlpm.maxVal,_xlfn.MAXIFS($K:$K,$A:$A,A161),IF(AND(_xlpm.maxVal=K161,T161&lt;&gt;0),_xlpm.maxVal,""))</f>
        <v/>
      </c>
      <c r="AD161" s="27">
        <f>$K161*L161*负载统计!$K$3/60</f>
        <v>0</v>
      </c>
      <c r="AE161" s="27">
        <f>$K161*L161*负载统计!$K$4/60</f>
        <v>0</v>
      </c>
      <c r="AF161" s="27">
        <f>$K161*N161*负载统计!$K$5/60</f>
        <v>0</v>
      </c>
      <c r="AG161" s="27">
        <f>$K161*O161*负载统计!$K$6/60</f>
        <v>0</v>
      </c>
      <c r="AH161" s="27">
        <f>$K161*P161*负载统计!$K$7/60</f>
        <v>0</v>
      </c>
      <c r="AI161" s="27">
        <f>$K161*Q161*负载统计!$K$8/60</f>
        <v>0</v>
      </c>
      <c r="AJ161" s="27">
        <f>$K161*R161*负载统计!$K$9/60</f>
        <v>0</v>
      </c>
      <c r="AK161" s="27">
        <f>$K161*S161*负载统计!$K$10/60</f>
        <v>0</v>
      </c>
      <c r="AL161" s="27">
        <f>$K161*T161*负载统计!$K$11/60</f>
        <v>0</v>
      </c>
    </row>
    <row r="162" spans="1:38">
      <c r="A162" s="1">
        <v>71</v>
      </c>
      <c r="B162" s="24" t="s">
        <v>1417</v>
      </c>
      <c r="C162" s="24" t="s">
        <v>1398</v>
      </c>
      <c r="D162" s="24" t="s">
        <v>1416</v>
      </c>
      <c r="E162" s="24" t="s">
        <v>591</v>
      </c>
      <c r="F162" s="24" t="s">
        <v>596</v>
      </c>
      <c r="G162" s="25">
        <f>VLOOKUP(A162,负载电气特性!A:G,7,FALSE)</f>
        <v>28</v>
      </c>
      <c r="H162" s="26" t="s">
        <v>66</v>
      </c>
      <c r="I162" s="25" t="s">
        <v>1706</v>
      </c>
      <c r="J162" s="24" t="s">
        <v>1707</v>
      </c>
      <c r="K162" s="25">
        <v>0.042</v>
      </c>
      <c r="L162" s="25">
        <v>1</v>
      </c>
      <c r="M162" s="25">
        <v>1</v>
      </c>
      <c r="N162" s="25">
        <v>1</v>
      </c>
      <c r="O162" s="25">
        <v>1</v>
      </c>
      <c r="P162" s="25">
        <v>1</v>
      </c>
      <c r="Q162" s="25">
        <v>1</v>
      </c>
      <c r="R162" s="25">
        <v>1</v>
      </c>
      <c r="S162" s="25">
        <v>1</v>
      </c>
      <c r="T162" s="25">
        <v>1</v>
      </c>
      <c r="U162" s="27">
        <f>_xlfn.LET(_xlpm.maxVal,_xlfn.MAXIFS($K:$K,$A:$A,A162),IF(AND(_xlpm.maxVal=K162,L162&lt;&gt;0),_xlpm.maxVal,""))</f>
        <v>0.042</v>
      </c>
      <c r="V162" s="27">
        <f>_xlfn.LET(_xlpm.maxVal,_xlfn.MAXIFS($K:$K,$A:$A,A162),IF(AND(_xlpm.maxVal=K162,M162&lt;&gt;0),_xlpm.maxVal,""))</f>
        <v>0.042</v>
      </c>
      <c r="W162" s="27">
        <f>_xlfn.LET(_xlpm.maxVal,_xlfn.MAXIFS($K:$K,$A:$A,A162),IF(AND(_xlpm.maxVal=K162,N162&lt;&gt;0),_xlpm.maxVal,""))</f>
        <v>0.042</v>
      </c>
      <c r="X162" s="27">
        <f>_xlfn.LET(_xlpm.maxVal,_xlfn.MAXIFS($K:$K,$A:$A,A162),IF(AND(_xlpm.maxVal=K162,O162&lt;&gt;0),_xlpm.maxVal,""))</f>
        <v>0.042</v>
      </c>
      <c r="Y162" s="27">
        <f>_xlfn.LET(_xlpm.maxVal,_xlfn.MAXIFS($K:$K,$A:$A,A162),IF(AND(_xlpm.maxVal=K162,P162&lt;&gt;0),_xlpm.maxVal,""))</f>
        <v>0.042</v>
      </c>
      <c r="Z162" s="27">
        <f>_xlfn.LET(_xlpm.maxVal,_xlfn.MAXIFS($K:$K,$A:$A,A162),IF(AND(_xlpm.maxVal=K162,Q162&lt;&gt;0),_xlpm.maxVal,""))</f>
        <v>0.042</v>
      </c>
      <c r="AA162" s="27">
        <f>_xlfn.LET(_xlpm.maxVal,_xlfn.MAXIFS($K:$K,$A:$A,A162),IF(AND(_xlpm.maxVal=K162,R162&lt;&gt;0),_xlpm.maxVal,""))</f>
        <v>0.042</v>
      </c>
      <c r="AB162" s="27">
        <f>_xlfn.LET(_xlpm.maxVal,_xlfn.MAXIFS($K:$K,$A:$A,A162),IF(AND(_xlpm.maxVal=K162,S162&lt;&gt;0),_xlpm.maxVal,""))</f>
        <v>0.042</v>
      </c>
      <c r="AC162" s="27">
        <f>_xlfn.LET(_xlpm.maxVal,_xlfn.MAXIFS($K:$K,$A:$A,A162),IF(AND(_xlpm.maxVal=K162,T162&lt;&gt;0),_xlpm.maxVal,""))</f>
        <v>0.042</v>
      </c>
      <c r="AD162" s="27">
        <f>$K162*L162*负载统计!$K$3/60</f>
        <v>0</v>
      </c>
      <c r="AE162" s="27">
        <f>$K162*L162*负载统计!$K$4/60</f>
        <v>0</v>
      </c>
      <c r="AF162" s="27">
        <f>$K162*N162*负载统计!$K$5/60</f>
        <v>0.0007</v>
      </c>
      <c r="AG162" s="27">
        <f>$K162*O162*负载统计!$K$6/60</f>
        <v>0.0021</v>
      </c>
      <c r="AH162" s="27">
        <f>$K162*P162*负载统计!$K$7/60</f>
        <v>0.004739</v>
      </c>
      <c r="AI162" s="27">
        <f>$K162*Q162*负载统计!$K$8/60</f>
        <v>0.03052</v>
      </c>
      <c r="AJ162" s="27">
        <f>$K162*R162*负载统计!$K$9/60</f>
        <v>0.009695</v>
      </c>
      <c r="AK162" s="27">
        <f>$K162*S162*负载统计!$K$10/60</f>
        <v>0.00035</v>
      </c>
      <c r="AL162" s="27">
        <f>$K162*T162*负载统计!$K$11/60</f>
        <v>0.0028</v>
      </c>
    </row>
    <row r="163" spans="1:38">
      <c r="A163" s="1">
        <v>71</v>
      </c>
      <c r="B163" s="24" t="s">
        <v>1417</v>
      </c>
      <c r="C163" s="24" t="s">
        <v>1398</v>
      </c>
      <c r="D163" s="24" t="s">
        <v>1416</v>
      </c>
      <c r="E163" s="24" t="s">
        <v>591</v>
      </c>
      <c r="F163" s="24" t="s">
        <v>596</v>
      </c>
      <c r="G163" s="25">
        <f>VLOOKUP(A163,负载电气特性!A:G,7,FALSE)</f>
        <v>28</v>
      </c>
      <c r="H163" s="26" t="s">
        <v>66</v>
      </c>
      <c r="I163" s="25" t="s">
        <v>1706</v>
      </c>
      <c r="J163" s="25" t="s">
        <v>1712</v>
      </c>
      <c r="K163" s="25">
        <v>0.008</v>
      </c>
      <c r="L163" s="25">
        <v>0</v>
      </c>
      <c r="M163" s="25">
        <v>0</v>
      </c>
      <c r="N163" s="25">
        <v>0</v>
      </c>
      <c r="O163" s="25">
        <v>0</v>
      </c>
      <c r="P163" s="25">
        <v>0</v>
      </c>
      <c r="Q163" s="25">
        <v>0</v>
      </c>
      <c r="R163" s="25">
        <v>0</v>
      </c>
      <c r="S163" s="25">
        <v>0</v>
      </c>
      <c r="T163" s="25">
        <v>0</v>
      </c>
      <c r="U163" s="27" t="str">
        <f>_xlfn.LET(_xlpm.maxVal,_xlfn.MAXIFS($K:$K,$A:$A,A163),IF(AND(_xlpm.maxVal=K163,L163&lt;&gt;0),_xlpm.maxVal,""))</f>
        <v/>
      </c>
      <c r="V163" s="27" t="str">
        <f>_xlfn.LET(_xlpm.maxVal,_xlfn.MAXIFS($K:$K,$A:$A,A163),IF(AND(_xlpm.maxVal=K163,M163&lt;&gt;0),_xlpm.maxVal,""))</f>
        <v/>
      </c>
      <c r="W163" s="27" t="str">
        <f>_xlfn.LET(_xlpm.maxVal,_xlfn.MAXIFS($K:$K,$A:$A,A163),IF(AND(_xlpm.maxVal=K163,N163&lt;&gt;0),_xlpm.maxVal,""))</f>
        <v/>
      </c>
      <c r="X163" s="27" t="str">
        <f>_xlfn.LET(_xlpm.maxVal,_xlfn.MAXIFS($K:$K,$A:$A,A163),IF(AND(_xlpm.maxVal=K163,O163&lt;&gt;0),_xlpm.maxVal,""))</f>
        <v/>
      </c>
      <c r="Y163" s="27" t="str">
        <f>_xlfn.LET(_xlpm.maxVal,_xlfn.MAXIFS($K:$K,$A:$A,A163),IF(AND(_xlpm.maxVal=K163,P163&lt;&gt;0),_xlpm.maxVal,""))</f>
        <v/>
      </c>
      <c r="Z163" s="27" t="str">
        <f>_xlfn.LET(_xlpm.maxVal,_xlfn.MAXIFS($K:$K,$A:$A,A163),IF(AND(_xlpm.maxVal=K163,Q163&lt;&gt;0),_xlpm.maxVal,""))</f>
        <v/>
      </c>
      <c r="AA163" s="27" t="str">
        <f>_xlfn.LET(_xlpm.maxVal,_xlfn.MAXIFS($K:$K,$A:$A,A163),IF(AND(_xlpm.maxVal=K163,R163&lt;&gt;0),_xlpm.maxVal,""))</f>
        <v/>
      </c>
      <c r="AB163" s="27" t="str">
        <f>_xlfn.LET(_xlpm.maxVal,_xlfn.MAXIFS($K:$K,$A:$A,A163),IF(AND(_xlpm.maxVal=K163,S163&lt;&gt;0),_xlpm.maxVal,""))</f>
        <v/>
      </c>
      <c r="AC163" s="27" t="str">
        <f>_xlfn.LET(_xlpm.maxVal,_xlfn.MAXIFS($K:$K,$A:$A,A163),IF(AND(_xlpm.maxVal=K163,T163&lt;&gt;0),_xlpm.maxVal,""))</f>
        <v/>
      </c>
      <c r="AD163" s="27">
        <f>$K163*L163*负载统计!$K$3/60</f>
        <v>0</v>
      </c>
      <c r="AE163" s="27">
        <f>$K163*L163*负载统计!$K$4/60</f>
        <v>0</v>
      </c>
      <c r="AF163" s="27">
        <f>$K163*N163*负载统计!$K$5/60</f>
        <v>0</v>
      </c>
      <c r="AG163" s="27">
        <f>$K163*O163*负载统计!$K$6/60</f>
        <v>0</v>
      </c>
      <c r="AH163" s="27">
        <f>$K163*P163*负载统计!$K$7/60</f>
        <v>0</v>
      </c>
      <c r="AI163" s="27">
        <f>$K163*Q163*负载统计!$K$8/60</f>
        <v>0</v>
      </c>
      <c r="AJ163" s="27">
        <f>$K163*R163*负载统计!$K$9/60</f>
        <v>0</v>
      </c>
      <c r="AK163" s="27">
        <f>$K163*S163*负载统计!$K$10/60</f>
        <v>0</v>
      </c>
      <c r="AL163" s="27">
        <f>$K163*T163*负载统计!$K$11/60</f>
        <v>0</v>
      </c>
    </row>
    <row r="164" spans="1:38">
      <c r="A164" s="1">
        <v>71</v>
      </c>
      <c r="B164" s="24" t="s">
        <v>1417</v>
      </c>
      <c r="C164" s="24" t="s">
        <v>1398</v>
      </c>
      <c r="D164" s="24" t="s">
        <v>1416</v>
      </c>
      <c r="E164" s="24" t="s">
        <v>591</v>
      </c>
      <c r="F164" s="24" t="s">
        <v>596</v>
      </c>
      <c r="G164" s="25">
        <f>VLOOKUP(A164,负载电气特性!A:G,7,FALSE)</f>
        <v>28</v>
      </c>
      <c r="H164" s="26" t="s">
        <v>66</v>
      </c>
      <c r="I164" s="25" t="s">
        <v>1706</v>
      </c>
      <c r="J164" s="25" t="s">
        <v>1708</v>
      </c>
      <c r="K164" s="25">
        <v>0</v>
      </c>
      <c r="L164" s="25">
        <v>0</v>
      </c>
      <c r="M164" s="25">
        <v>0</v>
      </c>
      <c r="N164" s="25">
        <v>0</v>
      </c>
      <c r="O164" s="25">
        <v>0</v>
      </c>
      <c r="P164" s="25">
        <v>0</v>
      </c>
      <c r="Q164" s="25">
        <v>0</v>
      </c>
      <c r="R164" s="25">
        <v>0</v>
      </c>
      <c r="S164" s="25">
        <v>0</v>
      </c>
      <c r="T164" s="25">
        <v>0</v>
      </c>
      <c r="U164" s="27" t="str">
        <f>_xlfn.LET(_xlpm.maxVal,_xlfn.MAXIFS($K:$K,$A:$A,A164),IF(AND(_xlpm.maxVal=K164,L164&lt;&gt;0),_xlpm.maxVal,""))</f>
        <v/>
      </c>
      <c r="V164" s="27" t="str">
        <f>_xlfn.LET(_xlpm.maxVal,_xlfn.MAXIFS($K:$K,$A:$A,A164),IF(AND(_xlpm.maxVal=K164,M164&lt;&gt;0),_xlpm.maxVal,""))</f>
        <v/>
      </c>
      <c r="W164" s="27" t="str">
        <f>_xlfn.LET(_xlpm.maxVal,_xlfn.MAXIFS($K:$K,$A:$A,A164),IF(AND(_xlpm.maxVal=K164,N164&lt;&gt;0),_xlpm.maxVal,""))</f>
        <v/>
      </c>
      <c r="X164" s="27" t="str">
        <f>_xlfn.LET(_xlpm.maxVal,_xlfn.MAXIFS($K:$K,$A:$A,A164),IF(AND(_xlpm.maxVal=K164,O164&lt;&gt;0),_xlpm.maxVal,""))</f>
        <v/>
      </c>
      <c r="Y164" s="27" t="str">
        <f>_xlfn.LET(_xlpm.maxVal,_xlfn.MAXIFS($K:$K,$A:$A,A164),IF(AND(_xlpm.maxVal=K164,P164&lt;&gt;0),_xlpm.maxVal,""))</f>
        <v/>
      </c>
      <c r="Z164" s="27" t="str">
        <f>_xlfn.LET(_xlpm.maxVal,_xlfn.MAXIFS($K:$K,$A:$A,A164),IF(AND(_xlpm.maxVal=K164,Q164&lt;&gt;0),_xlpm.maxVal,""))</f>
        <v/>
      </c>
      <c r="AA164" s="27" t="str">
        <f>_xlfn.LET(_xlpm.maxVal,_xlfn.MAXIFS($K:$K,$A:$A,A164),IF(AND(_xlpm.maxVal=K164,R164&lt;&gt;0),_xlpm.maxVal,""))</f>
        <v/>
      </c>
      <c r="AB164" s="27" t="str">
        <f>_xlfn.LET(_xlpm.maxVal,_xlfn.MAXIFS($K:$K,$A:$A,A164),IF(AND(_xlpm.maxVal=K164,S164&lt;&gt;0),_xlpm.maxVal,""))</f>
        <v/>
      </c>
      <c r="AC164" s="27" t="str">
        <f>_xlfn.LET(_xlpm.maxVal,_xlfn.MAXIFS($K:$K,$A:$A,A164),IF(AND(_xlpm.maxVal=K164,T164&lt;&gt;0),_xlpm.maxVal,""))</f>
        <v/>
      </c>
      <c r="AD164" s="27">
        <f>$K164*L164*负载统计!$K$3/60</f>
        <v>0</v>
      </c>
      <c r="AE164" s="27">
        <f>$K164*L164*负载统计!$K$4/60</f>
        <v>0</v>
      </c>
      <c r="AF164" s="27">
        <f>$K164*N164*负载统计!$K$5/60</f>
        <v>0</v>
      </c>
      <c r="AG164" s="27">
        <f>$K164*O164*负载统计!$K$6/60</f>
        <v>0</v>
      </c>
      <c r="AH164" s="27">
        <f>$K164*P164*负载统计!$K$7/60</f>
        <v>0</v>
      </c>
      <c r="AI164" s="27">
        <f>$K164*Q164*负载统计!$K$8/60</f>
        <v>0</v>
      </c>
      <c r="AJ164" s="27">
        <f>$K164*R164*负载统计!$K$9/60</f>
        <v>0</v>
      </c>
      <c r="AK164" s="27">
        <f>$K164*S164*负载统计!$K$10/60</f>
        <v>0</v>
      </c>
      <c r="AL164" s="27">
        <f>$K164*T164*负载统计!$K$11/60</f>
        <v>0</v>
      </c>
    </row>
    <row r="165" spans="1:38">
      <c r="A165" s="1">
        <v>72</v>
      </c>
      <c r="B165" s="24" t="s">
        <v>1418</v>
      </c>
      <c r="C165" s="24" t="s">
        <v>1398</v>
      </c>
      <c r="D165" s="24" t="s">
        <v>1419</v>
      </c>
      <c r="E165" s="24" t="s">
        <v>591</v>
      </c>
      <c r="F165" s="24" t="s">
        <v>598</v>
      </c>
      <c r="G165" s="25">
        <f>VLOOKUP(A165,负载电气特性!A:G,7,FALSE)</f>
        <v>270</v>
      </c>
      <c r="H165" s="26" t="s">
        <v>66</v>
      </c>
      <c r="I165" s="24" t="s">
        <v>1709</v>
      </c>
      <c r="J165" s="24" t="s">
        <v>1707</v>
      </c>
      <c r="K165" s="25">
        <v>1.2</v>
      </c>
      <c r="L165" s="25">
        <v>0</v>
      </c>
      <c r="M165" s="25">
        <v>0</v>
      </c>
      <c r="N165" s="25">
        <v>0</v>
      </c>
      <c r="O165" s="25">
        <v>0.2</v>
      </c>
      <c r="P165" s="25">
        <v>0</v>
      </c>
      <c r="Q165" s="25">
        <v>0</v>
      </c>
      <c r="R165" s="25">
        <v>0</v>
      </c>
      <c r="S165" s="25">
        <v>0.5</v>
      </c>
      <c r="T165" s="25">
        <v>0.2</v>
      </c>
      <c r="U165" s="27" t="str">
        <f>_xlfn.LET(_xlpm.maxVal,_xlfn.MAXIFS($K:$K,$A:$A,A165),IF(AND(_xlpm.maxVal=K165,L165&lt;&gt;0),_xlpm.maxVal,""))</f>
        <v/>
      </c>
      <c r="V165" s="27" t="str">
        <f>_xlfn.LET(_xlpm.maxVal,_xlfn.MAXIFS($K:$K,$A:$A,A165),IF(AND(_xlpm.maxVal=K165,M165&lt;&gt;0),_xlpm.maxVal,""))</f>
        <v/>
      </c>
      <c r="W165" s="27" t="str">
        <f>_xlfn.LET(_xlpm.maxVal,_xlfn.MAXIFS($K:$K,$A:$A,A165),IF(AND(_xlpm.maxVal=K165,N165&lt;&gt;0),_xlpm.maxVal,""))</f>
        <v/>
      </c>
      <c r="X165" s="27">
        <f>_xlfn.LET(_xlpm.maxVal,_xlfn.MAXIFS($K:$K,$A:$A,A165),IF(AND(_xlpm.maxVal=K165,O165&lt;&gt;0),_xlpm.maxVal,""))</f>
        <v>1.2</v>
      </c>
      <c r="Y165" s="27" t="str">
        <f>_xlfn.LET(_xlpm.maxVal,_xlfn.MAXIFS($K:$K,$A:$A,A165),IF(AND(_xlpm.maxVal=K165,P165&lt;&gt;0),_xlpm.maxVal,""))</f>
        <v/>
      </c>
      <c r="Z165" s="27" t="str">
        <f>_xlfn.LET(_xlpm.maxVal,_xlfn.MAXIFS($K:$K,$A:$A,A165),IF(AND(_xlpm.maxVal=K165,Q165&lt;&gt;0),_xlpm.maxVal,""))</f>
        <v/>
      </c>
      <c r="AA165" s="27" t="str">
        <f>_xlfn.LET(_xlpm.maxVal,_xlfn.MAXIFS($K:$K,$A:$A,A165),IF(AND(_xlpm.maxVal=K165,R165&lt;&gt;0),_xlpm.maxVal,""))</f>
        <v/>
      </c>
      <c r="AB165" s="27">
        <f>_xlfn.LET(_xlpm.maxVal,_xlfn.MAXIFS($K:$K,$A:$A,A165),IF(AND(_xlpm.maxVal=K165,S165&lt;&gt;0),_xlpm.maxVal,""))</f>
        <v>1.2</v>
      </c>
      <c r="AC165" s="27">
        <f>_xlfn.LET(_xlpm.maxVal,_xlfn.MAXIFS($K:$K,$A:$A,A165),IF(AND(_xlpm.maxVal=K165,T165&lt;&gt;0),_xlpm.maxVal,""))</f>
        <v>1.2</v>
      </c>
      <c r="AD165" s="27">
        <f>$K165*L165*负载统计!$K$3/60</f>
        <v>0</v>
      </c>
      <c r="AE165" s="27">
        <f>$K165*L165*负载统计!$K$4/60</f>
        <v>0</v>
      </c>
      <c r="AF165" s="27">
        <f>$K165*N165*负载统计!$K$5/60</f>
        <v>0</v>
      </c>
      <c r="AG165" s="27">
        <f>$K165*O165*负载统计!$K$6/60</f>
        <v>0.012</v>
      </c>
      <c r="AH165" s="27">
        <f>$K165*P165*负载统计!$K$7/60</f>
        <v>0</v>
      </c>
      <c r="AI165" s="27">
        <f>$K165*Q165*负载统计!$K$8/60</f>
        <v>0</v>
      </c>
      <c r="AJ165" s="27">
        <f>$K165*R165*负载统计!$K$9/60</f>
        <v>0</v>
      </c>
      <c r="AK165" s="27">
        <f>$K165*S165*负载统计!$K$10/60</f>
        <v>0.005</v>
      </c>
      <c r="AL165" s="27">
        <f>$K165*T165*负载统计!$K$11/60</f>
        <v>0.016</v>
      </c>
    </row>
    <row r="166" spans="1:38">
      <c r="A166" s="1">
        <v>72</v>
      </c>
      <c r="B166" s="24" t="s">
        <v>1418</v>
      </c>
      <c r="C166" s="24" t="s">
        <v>1398</v>
      </c>
      <c r="D166" s="24" t="s">
        <v>1419</v>
      </c>
      <c r="E166" s="24" t="s">
        <v>591</v>
      </c>
      <c r="F166" s="24" t="s">
        <v>598</v>
      </c>
      <c r="G166" s="25">
        <f>VLOOKUP(A166,负载电气特性!A:G,7,FALSE)</f>
        <v>270</v>
      </c>
      <c r="H166" s="26" t="s">
        <v>66</v>
      </c>
      <c r="I166" s="24" t="s">
        <v>1709</v>
      </c>
      <c r="J166" s="25" t="s">
        <v>1708</v>
      </c>
      <c r="K166" s="25">
        <v>0</v>
      </c>
      <c r="L166" s="25">
        <v>1</v>
      </c>
      <c r="M166" s="25">
        <v>1</v>
      </c>
      <c r="N166" s="25">
        <v>1</v>
      </c>
      <c r="O166" s="25">
        <v>0.8</v>
      </c>
      <c r="P166" s="25">
        <v>1</v>
      </c>
      <c r="Q166" s="25">
        <v>1</v>
      </c>
      <c r="R166" s="25">
        <v>1</v>
      </c>
      <c r="S166" s="25">
        <v>0.5</v>
      </c>
      <c r="T166" s="25">
        <v>0.8</v>
      </c>
      <c r="U166" s="27" t="str">
        <f>_xlfn.LET(_xlpm.maxVal,_xlfn.MAXIFS($K:$K,$A:$A,A166),IF(AND(_xlpm.maxVal=K166,L166&lt;&gt;0),_xlpm.maxVal,""))</f>
        <v/>
      </c>
      <c r="V166" s="27" t="str">
        <f>_xlfn.LET(_xlpm.maxVal,_xlfn.MAXIFS($K:$K,$A:$A,A166),IF(AND(_xlpm.maxVal=K166,M166&lt;&gt;0),_xlpm.maxVal,""))</f>
        <v/>
      </c>
      <c r="W166" s="27" t="str">
        <f>_xlfn.LET(_xlpm.maxVal,_xlfn.MAXIFS($K:$K,$A:$A,A166),IF(AND(_xlpm.maxVal=K166,N166&lt;&gt;0),_xlpm.maxVal,""))</f>
        <v/>
      </c>
      <c r="X166" s="27" t="str">
        <f>_xlfn.LET(_xlpm.maxVal,_xlfn.MAXIFS($K:$K,$A:$A,A166),IF(AND(_xlpm.maxVal=K166,O166&lt;&gt;0),_xlpm.maxVal,""))</f>
        <v/>
      </c>
      <c r="Y166" s="27" t="str">
        <f>_xlfn.LET(_xlpm.maxVal,_xlfn.MAXIFS($K:$K,$A:$A,A166),IF(AND(_xlpm.maxVal=K166,P166&lt;&gt;0),_xlpm.maxVal,""))</f>
        <v/>
      </c>
      <c r="Z166" s="27" t="str">
        <f>_xlfn.LET(_xlpm.maxVal,_xlfn.MAXIFS($K:$K,$A:$A,A166),IF(AND(_xlpm.maxVal=K166,Q166&lt;&gt;0),_xlpm.maxVal,""))</f>
        <v/>
      </c>
      <c r="AA166" s="27" t="str">
        <f>_xlfn.LET(_xlpm.maxVal,_xlfn.MAXIFS($K:$K,$A:$A,A166),IF(AND(_xlpm.maxVal=K166,R166&lt;&gt;0),_xlpm.maxVal,""))</f>
        <v/>
      </c>
      <c r="AB166" s="27" t="str">
        <f>_xlfn.LET(_xlpm.maxVal,_xlfn.MAXIFS($K:$K,$A:$A,A166),IF(AND(_xlpm.maxVal=K166,S166&lt;&gt;0),_xlpm.maxVal,""))</f>
        <v/>
      </c>
      <c r="AC166" s="27" t="str">
        <f>_xlfn.LET(_xlpm.maxVal,_xlfn.MAXIFS($K:$K,$A:$A,A166),IF(AND(_xlpm.maxVal=K166,T166&lt;&gt;0),_xlpm.maxVal,""))</f>
        <v/>
      </c>
      <c r="AD166" s="27">
        <f>$K166*L166*负载统计!$K$3/60</f>
        <v>0</v>
      </c>
      <c r="AE166" s="27">
        <f>$K166*L166*负载统计!$K$4/60</f>
        <v>0</v>
      </c>
      <c r="AF166" s="27">
        <f>$K166*N166*负载统计!$K$5/60</f>
        <v>0</v>
      </c>
      <c r="AG166" s="27">
        <f>$K166*O166*负载统计!$K$6/60</f>
        <v>0</v>
      </c>
      <c r="AH166" s="27">
        <f>$K166*P166*负载统计!$K$7/60</f>
        <v>0</v>
      </c>
      <c r="AI166" s="27">
        <f>$K166*Q166*负载统计!$K$8/60</f>
        <v>0</v>
      </c>
      <c r="AJ166" s="27">
        <f>$K166*R166*负载统计!$K$9/60</f>
        <v>0</v>
      </c>
      <c r="AK166" s="27">
        <f>$K166*S166*负载统计!$K$10/60</f>
        <v>0</v>
      </c>
      <c r="AL166" s="27">
        <f>$K166*T166*负载统计!$K$11/60</f>
        <v>0</v>
      </c>
    </row>
    <row r="167" spans="1:38">
      <c r="A167" s="1">
        <v>73</v>
      </c>
      <c r="B167" s="24" t="s">
        <v>1420</v>
      </c>
      <c r="C167" s="24" t="s">
        <v>1398</v>
      </c>
      <c r="D167" s="24" t="s">
        <v>1419</v>
      </c>
      <c r="E167" s="24" t="s">
        <v>591</v>
      </c>
      <c r="F167" s="24" t="s">
        <v>598</v>
      </c>
      <c r="G167" s="25">
        <f>VLOOKUP(A167,负载电气特性!A:G,7,FALSE)</f>
        <v>28</v>
      </c>
      <c r="H167" s="26" t="s">
        <v>66</v>
      </c>
      <c r="I167" s="25" t="s">
        <v>1706</v>
      </c>
      <c r="J167" s="24" t="s">
        <v>1707</v>
      </c>
      <c r="K167" s="25">
        <v>0.042</v>
      </c>
      <c r="L167" s="25">
        <v>1</v>
      </c>
      <c r="M167" s="25">
        <v>1</v>
      </c>
      <c r="N167" s="25">
        <v>1</v>
      </c>
      <c r="O167" s="25">
        <v>1</v>
      </c>
      <c r="P167" s="25">
        <v>1</v>
      </c>
      <c r="Q167" s="25">
        <v>1</v>
      </c>
      <c r="R167" s="25">
        <v>1</v>
      </c>
      <c r="S167" s="25">
        <v>1</v>
      </c>
      <c r="T167" s="25">
        <v>1</v>
      </c>
      <c r="U167" s="27">
        <f>_xlfn.LET(_xlpm.maxVal,_xlfn.MAXIFS($K:$K,$A:$A,A167),IF(AND(_xlpm.maxVal=K167,L167&lt;&gt;0),_xlpm.maxVal,""))</f>
        <v>0.042</v>
      </c>
      <c r="V167" s="27">
        <f>_xlfn.LET(_xlpm.maxVal,_xlfn.MAXIFS($K:$K,$A:$A,A167),IF(AND(_xlpm.maxVal=K167,M167&lt;&gt;0),_xlpm.maxVal,""))</f>
        <v>0.042</v>
      </c>
      <c r="W167" s="27">
        <f>_xlfn.LET(_xlpm.maxVal,_xlfn.MAXIFS($K:$K,$A:$A,A167),IF(AND(_xlpm.maxVal=K167,N167&lt;&gt;0),_xlpm.maxVal,""))</f>
        <v>0.042</v>
      </c>
      <c r="X167" s="27">
        <f>_xlfn.LET(_xlpm.maxVal,_xlfn.MAXIFS($K:$K,$A:$A,A167),IF(AND(_xlpm.maxVal=K167,O167&lt;&gt;0),_xlpm.maxVal,""))</f>
        <v>0.042</v>
      </c>
      <c r="Y167" s="27">
        <f>_xlfn.LET(_xlpm.maxVal,_xlfn.MAXIFS($K:$K,$A:$A,A167),IF(AND(_xlpm.maxVal=K167,P167&lt;&gt;0),_xlpm.maxVal,""))</f>
        <v>0.042</v>
      </c>
      <c r="Z167" s="27">
        <f>_xlfn.LET(_xlpm.maxVal,_xlfn.MAXIFS($K:$K,$A:$A,A167),IF(AND(_xlpm.maxVal=K167,Q167&lt;&gt;0),_xlpm.maxVal,""))</f>
        <v>0.042</v>
      </c>
      <c r="AA167" s="27">
        <f>_xlfn.LET(_xlpm.maxVal,_xlfn.MAXIFS($K:$K,$A:$A,A167),IF(AND(_xlpm.maxVal=K167,R167&lt;&gt;0),_xlpm.maxVal,""))</f>
        <v>0.042</v>
      </c>
      <c r="AB167" s="27">
        <f>_xlfn.LET(_xlpm.maxVal,_xlfn.MAXIFS($K:$K,$A:$A,A167),IF(AND(_xlpm.maxVal=K167,S167&lt;&gt;0),_xlpm.maxVal,""))</f>
        <v>0.042</v>
      </c>
      <c r="AC167" s="27">
        <f>_xlfn.LET(_xlpm.maxVal,_xlfn.MAXIFS($K:$K,$A:$A,A167),IF(AND(_xlpm.maxVal=K167,T167&lt;&gt;0),_xlpm.maxVal,""))</f>
        <v>0.042</v>
      </c>
      <c r="AD167" s="27">
        <f>$K167*L167*负载统计!$K$3/60</f>
        <v>0</v>
      </c>
      <c r="AE167" s="27">
        <f>$K167*L167*负载统计!$K$4/60</f>
        <v>0</v>
      </c>
      <c r="AF167" s="27">
        <f>$K167*N167*负载统计!$K$5/60</f>
        <v>0.0007</v>
      </c>
      <c r="AG167" s="27">
        <f>$K167*O167*负载统计!$K$6/60</f>
        <v>0.0021</v>
      </c>
      <c r="AH167" s="27">
        <f>$K167*P167*负载统计!$K$7/60</f>
        <v>0.004739</v>
      </c>
      <c r="AI167" s="27">
        <f>$K167*Q167*负载统计!$K$8/60</f>
        <v>0.03052</v>
      </c>
      <c r="AJ167" s="27">
        <f>$K167*R167*负载统计!$K$9/60</f>
        <v>0.009695</v>
      </c>
      <c r="AK167" s="27">
        <f>$K167*S167*负载统计!$K$10/60</f>
        <v>0.00035</v>
      </c>
      <c r="AL167" s="27">
        <f>$K167*T167*负载统计!$K$11/60</f>
        <v>0.0028</v>
      </c>
    </row>
    <row r="168" spans="1:38">
      <c r="A168" s="1">
        <v>73</v>
      </c>
      <c r="B168" s="24" t="s">
        <v>1420</v>
      </c>
      <c r="C168" s="24" t="s">
        <v>1398</v>
      </c>
      <c r="D168" s="24" t="s">
        <v>1419</v>
      </c>
      <c r="E168" s="24" t="s">
        <v>591</v>
      </c>
      <c r="F168" s="24" t="s">
        <v>598</v>
      </c>
      <c r="G168" s="25">
        <f>VLOOKUP(A168,负载电气特性!A:G,7,FALSE)</f>
        <v>28</v>
      </c>
      <c r="H168" s="26" t="s">
        <v>66</v>
      </c>
      <c r="I168" s="25" t="s">
        <v>1706</v>
      </c>
      <c r="J168" s="25" t="s">
        <v>1712</v>
      </c>
      <c r="K168" s="25">
        <v>0.008</v>
      </c>
      <c r="L168" s="25">
        <v>0</v>
      </c>
      <c r="M168" s="25">
        <v>0</v>
      </c>
      <c r="N168" s="25">
        <v>0</v>
      </c>
      <c r="O168" s="25">
        <v>0</v>
      </c>
      <c r="P168" s="25">
        <v>0</v>
      </c>
      <c r="Q168" s="25">
        <v>0</v>
      </c>
      <c r="R168" s="25">
        <v>0</v>
      </c>
      <c r="S168" s="25">
        <v>0</v>
      </c>
      <c r="T168" s="25">
        <v>0</v>
      </c>
      <c r="U168" s="27" t="str">
        <f>_xlfn.LET(_xlpm.maxVal,_xlfn.MAXIFS($K:$K,$A:$A,A168),IF(AND(_xlpm.maxVal=K168,L168&lt;&gt;0),_xlpm.maxVal,""))</f>
        <v/>
      </c>
      <c r="V168" s="27" t="str">
        <f>_xlfn.LET(_xlpm.maxVal,_xlfn.MAXIFS($K:$K,$A:$A,A168),IF(AND(_xlpm.maxVal=K168,M168&lt;&gt;0),_xlpm.maxVal,""))</f>
        <v/>
      </c>
      <c r="W168" s="27" t="str">
        <f>_xlfn.LET(_xlpm.maxVal,_xlfn.MAXIFS($K:$K,$A:$A,A168),IF(AND(_xlpm.maxVal=K168,N168&lt;&gt;0),_xlpm.maxVal,""))</f>
        <v/>
      </c>
      <c r="X168" s="27" t="str">
        <f>_xlfn.LET(_xlpm.maxVal,_xlfn.MAXIFS($K:$K,$A:$A,A168),IF(AND(_xlpm.maxVal=K168,O168&lt;&gt;0),_xlpm.maxVal,""))</f>
        <v/>
      </c>
      <c r="Y168" s="27" t="str">
        <f>_xlfn.LET(_xlpm.maxVal,_xlfn.MAXIFS($K:$K,$A:$A,A168),IF(AND(_xlpm.maxVal=K168,P168&lt;&gt;0),_xlpm.maxVal,""))</f>
        <v/>
      </c>
      <c r="Z168" s="27" t="str">
        <f>_xlfn.LET(_xlpm.maxVal,_xlfn.MAXIFS($K:$K,$A:$A,A168),IF(AND(_xlpm.maxVal=K168,Q168&lt;&gt;0),_xlpm.maxVal,""))</f>
        <v/>
      </c>
      <c r="AA168" s="27" t="str">
        <f>_xlfn.LET(_xlpm.maxVal,_xlfn.MAXIFS($K:$K,$A:$A,A168),IF(AND(_xlpm.maxVal=K168,R168&lt;&gt;0),_xlpm.maxVal,""))</f>
        <v/>
      </c>
      <c r="AB168" s="27" t="str">
        <f>_xlfn.LET(_xlpm.maxVal,_xlfn.MAXIFS($K:$K,$A:$A,A168),IF(AND(_xlpm.maxVal=K168,S168&lt;&gt;0),_xlpm.maxVal,""))</f>
        <v/>
      </c>
      <c r="AC168" s="27" t="str">
        <f>_xlfn.LET(_xlpm.maxVal,_xlfn.MAXIFS($K:$K,$A:$A,A168),IF(AND(_xlpm.maxVal=K168,T168&lt;&gt;0),_xlpm.maxVal,""))</f>
        <v/>
      </c>
      <c r="AD168" s="27">
        <f>$K168*L168*负载统计!$K$3/60</f>
        <v>0</v>
      </c>
      <c r="AE168" s="27">
        <f>$K168*L168*负载统计!$K$4/60</f>
        <v>0</v>
      </c>
      <c r="AF168" s="27">
        <f>$K168*N168*负载统计!$K$5/60</f>
        <v>0</v>
      </c>
      <c r="AG168" s="27">
        <f>$K168*O168*负载统计!$K$6/60</f>
        <v>0</v>
      </c>
      <c r="AH168" s="27">
        <f>$K168*P168*负载统计!$K$7/60</f>
        <v>0</v>
      </c>
      <c r="AI168" s="27">
        <f>$K168*Q168*负载统计!$K$8/60</f>
        <v>0</v>
      </c>
      <c r="AJ168" s="27">
        <f>$K168*R168*负载统计!$K$9/60</f>
        <v>0</v>
      </c>
      <c r="AK168" s="27">
        <f>$K168*S168*负载统计!$K$10/60</f>
        <v>0</v>
      </c>
      <c r="AL168" s="27">
        <f>$K168*T168*负载统计!$K$11/60</f>
        <v>0</v>
      </c>
    </row>
    <row r="169" spans="1:38">
      <c r="A169" s="1">
        <v>73</v>
      </c>
      <c r="B169" s="24" t="s">
        <v>1420</v>
      </c>
      <c r="C169" s="24" t="s">
        <v>1398</v>
      </c>
      <c r="D169" s="24" t="s">
        <v>1419</v>
      </c>
      <c r="E169" s="24" t="s">
        <v>591</v>
      </c>
      <c r="F169" s="24" t="s">
        <v>598</v>
      </c>
      <c r="G169" s="25">
        <f>VLOOKUP(A169,负载电气特性!A:G,7,FALSE)</f>
        <v>28</v>
      </c>
      <c r="H169" s="26" t="s">
        <v>66</v>
      </c>
      <c r="I169" s="25" t="s">
        <v>1706</v>
      </c>
      <c r="J169" s="25" t="s">
        <v>1708</v>
      </c>
      <c r="K169" s="25">
        <v>0</v>
      </c>
      <c r="L169" s="25">
        <v>0</v>
      </c>
      <c r="M169" s="25">
        <v>0</v>
      </c>
      <c r="N169" s="25">
        <v>0</v>
      </c>
      <c r="O169" s="25">
        <v>0</v>
      </c>
      <c r="P169" s="25">
        <v>0</v>
      </c>
      <c r="Q169" s="25">
        <v>0</v>
      </c>
      <c r="R169" s="25">
        <v>0</v>
      </c>
      <c r="S169" s="25">
        <v>0</v>
      </c>
      <c r="T169" s="25">
        <v>0</v>
      </c>
      <c r="U169" s="27" t="str">
        <f>_xlfn.LET(_xlpm.maxVal,_xlfn.MAXIFS($K:$K,$A:$A,A169),IF(AND(_xlpm.maxVal=K169,L169&lt;&gt;0),_xlpm.maxVal,""))</f>
        <v/>
      </c>
      <c r="V169" s="27" t="str">
        <f>_xlfn.LET(_xlpm.maxVal,_xlfn.MAXIFS($K:$K,$A:$A,A169),IF(AND(_xlpm.maxVal=K169,M169&lt;&gt;0),_xlpm.maxVal,""))</f>
        <v/>
      </c>
      <c r="W169" s="27" t="str">
        <f>_xlfn.LET(_xlpm.maxVal,_xlfn.MAXIFS($K:$K,$A:$A,A169),IF(AND(_xlpm.maxVal=K169,N169&lt;&gt;0),_xlpm.maxVal,""))</f>
        <v/>
      </c>
      <c r="X169" s="27" t="str">
        <f>_xlfn.LET(_xlpm.maxVal,_xlfn.MAXIFS($K:$K,$A:$A,A169),IF(AND(_xlpm.maxVal=K169,O169&lt;&gt;0),_xlpm.maxVal,""))</f>
        <v/>
      </c>
      <c r="Y169" s="27" t="str">
        <f>_xlfn.LET(_xlpm.maxVal,_xlfn.MAXIFS($K:$K,$A:$A,A169),IF(AND(_xlpm.maxVal=K169,P169&lt;&gt;0),_xlpm.maxVal,""))</f>
        <v/>
      </c>
      <c r="Z169" s="27" t="str">
        <f>_xlfn.LET(_xlpm.maxVal,_xlfn.MAXIFS($K:$K,$A:$A,A169),IF(AND(_xlpm.maxVal=K169,Q169&lt;&gt;0),_xlpm.maxVal,""))</f>
        <v/>
      </c>
      <c r="AA169" s="27" t="str">
        <f>_xlfn.LET(_xlpm.maxVal,_xlfn.MAXIFS($K:$K,$A:$A,A169),IF(AND(_xlpm.maxVal=K169,R169&lt;&gt;0),_xlpm.maxVal,""))</f>
        <v/>
      </c>
      <c r="AB169" s="27" t="str">
        <f>_xlfn.LET(_xlpm.maxVal,_xlfn.MAXIFS($K:$K,$A:$A,A169),IF(AND(_xlpm.maxVal=K169,S169&lt;&gt;0),_xlpm.maxVal,""))</f>
        <v/>
      </c>
      <c r="AC169" s="27" t="str">
        <f>_xlfn.LET(_xlpm.maxVal,_xlfn.MAXIFS($K:$K,$A:$A,A169),IF(AND(_xlpm.maxVal=K169,T169&lt;&gt;0),_xlpm.maxVal,""))</f>
        <v/>
      </c>
      <c r="AD169" s="27">
        <f>$K169*L169*负载统计!$K$3/60</f>
        <v>0</v>
      </c>
      <c r="AE169" s="27">
        <f>$K169*L169*负载统计!$K$4/60</f>
        <v>0</v>
      </c>
      <c r="AF169" s="27">
        <f>$K169*N169*负载统计!$K$5/60</f>
        <v>0</v>
      </c>
      <c r="AG169" s="27">
        <f>$K169*O169*负载统计!$K$6/60</f>
        <v>0</v>
      </c>
      <c r="AH169" s="27">
        <f>$K169*P169*负载统计!$K$7/60</f>
        <v>0</v>
      </c>
      <c r="AI169" s="27">
        <f>$K169*Q169*负载统计!$K$8/60</f>
        <v>0</v>
      </c>
      <c r="AJ169" s="27">
        <f>$K169*R169*负载统计!$K$9/60</f>
        <v>0</v>
      </c>
      <c r="AK169" s="27">
        <f>$K169*S169*负载统计!$K$10/60</f>
        <v>0</v>
      </c>
      <c r="AL169" s="27">
        <f>$K169*T169*负载统计!$K$11/60</f>
        <v>0</v>
      </c>
    </row>
    <row r="170" spans="1:38">
      <c r="A170" s="1">
        <v>74</v>
      </c>
      <c r="B170" s="24" t="s">
        <v>1421</v>
      </c>
      <c r="C170" s="24" t="s">
        <v>1398</v>
      </c>
      <c r="D170" s="24" t="s">
        <v>669</v>
      </c>
      <c r="E170" s="24" t="s">
        <v>670</v>
      </c>
      <c r="F170" s="24" t="s">
        <v>671</v>
      </c>
      <c r="G170" s="25">
        <f>VLOOKUP(A170,负载电气特性!A:G,7,FALSE)</f>
        <v>270</v>
      </c>
      <c r="H170" s="26" t="s">
        <v>66</v>
      </c>
      <c r="I170" s="24" t="s">
        <v>1709</v>
      </c>
      <c r="J170" s="24" t="s">
        <v>1707</v>
      </c>
      <c r="K170" s="25">
        <v>0.58</v>
      </c>
      <c r="L170" s="25">
        <v>0</v>
      </c>
      <c r="M170" s="25">
        <v>0</v>
      </c>
      <c r="N170" s="25">
        <v>0.3</v>
      </c>
      <c r="O170" s="25">
        <v>0.25</v>
      </c>
      <c r="P170" s="25">
        <v>0</v>
      </c>
      <c r="Q170" s="25">
        <v>0</v>
      </c>
      <c r="R170" s="25">
        <v>0</v>
      </c>
      <c r="S170" s="25">
        <v>0</v>
      </c>
      <c r="T170" s="25">
        <v>0.3</v>
      </c>
      <c r="U170" s="27" t="str">
        <f>_xlfn.LET(_xlpm.maxVal,_xlfn.MAXIFS($K:$K,$A:$A,A170),IF(AND(_xlpm.maxVal=K170,L170&lt;&gt;0),_xlpm.maxVal,""))</f>
        <v/>
      </c>
      <c r="V170" s="27" t="str">
        <f>_xlfn.LET(_xlpm.maxVal,_xlfn.MAXIFS($K:$K,$A:$A,A170),IF(AND(_xlpm.maxVal=K170,M170&lt;&gt;0),_xlpm.maxVal,""))</f>
        <v/>
      </c>
      <c r="W170" s="27">
        <f>_xlfn.LET(_xlpm.maxVal,_xlfn.MAXIFS($K:$K,$A:$A,A170),IF(AND(_xlpm.maxVal=K170,N170&lt;&gt;0),_xlpm.maxVal,""))</f>
        <v>0.58</v>
      </c>
      <c r="X170" s="27">
        <f>_xlfn.LET(_xlpm.maxVal,_xlfn.MAXIFS($K:$K,$A:$A,A170),IF(AND(_xlpm.maxVal=K170,O170&lt;&gt;0),_xlpm.maxVal,""))</f>
        <v>0.58</v>
      </c>
      <c r="Y170" s="27" t="str">
        <f>_xlfn.LET(_xlpm.maxVal,_xlfn.MAXIFS($K:$K,$A:$A,A170),IF(AND(_xlpm.maxVal=K170,P170&lt;&gt;0),_xlpm.maxVal,""))</f>
        <v/>
      </c>
      <c r="Z170" s="27" t="str">
        <f>_xlfn.LET(_xlpm.maxVal,_xlfn.MAXIFS($K:$K,$A:$A,A170),IF(AND(_xlpm.maxVal=K170,Q170&lt;&gt;0),_xlpm.maxVal,""))</f>
        <v/>
      </c>
      <c r="AA170" s="27" t="str">
        <f>_xlfn.LET(_xlpm.maxVal,_xlfn.MAXIFS($K:$K,$A:$A,A170),IF(AND(_xlpm.maxVal=K170,R170&lt;&gt;0),_xlpm.maxVal,""))</f>
        <v/>
      </c>
      <c r="AB170" s="27" t="str">
        <f>_xlfn.LET(_xlpm.maxVal,_xlfn.MAXIFS($K:$K,$A:$A,A170),IF(AND(_xlpm.maxVal=K170,S170&lt;&gt;0),_xlpm.maxVal,""))</f>
        <v/>
      </c>
      <c r="AC170" s="27">
        <f>_xlfn.LET(_xlpm.maxVal,_xlfn.MAXIFS($K:$K,$A:$A,A170),IF(AND(_xlpm.maxVal=K170,T170&lt;&gt;0),_xlpm.maxVal,""))</f>
        <v>0.58</v>
      </c>
      <c r="AD170" s="27">
        <f>$K170*L170*负载统计!$K$3/60</f>
        <v>0</v>
      </c>
      <c r="AE170" s="27">
        <f>$K170*L170*负载统计!$K$4/60</f>
        <v>0</v>
      </c>
      <c r="AF170" s="27">
        <f>$K170*N170*负载统计!$K$5/60</f>
        <v>0.0029</v>
      </c>
      <c r="AG170" s="27">
        <f>$K170*O170*负载统计!$K$6/60</f>
        <v>0.00725</v>
      </c>
      <c r="AH170" s="27">
        <f>$K170*P170*负载统计!$K$7/60</f>
        <v>0</v>
      </c>
      <c r="AI170" s="27">
        <f>$K170*Q170*负载统计!$K$8/60</f>
        <v>0</v>
      </c>
      <c r="AJ170" s="27">
        <f>$K170*R170*负载统计!$K$9/60</f>
        <v>0</v>
      </c>
      <c r="AK170" s="27">
        <f>$K170*S170*负载统计!$K$10/60</f>
        <v>0</v>
      </c>
      <c r="AL170" s="27">
        <f>$K170*T170*负载统计!$K$11/60</f>
        <v>0.0116</v>
      </c>
    </row>
    <row r="171" spans="1:38">
      <c r="A171" s="1">
        <v>74</v>
      </c>
      <c r="B171" s="24" t="s">
        <v>1421</v>
      </c>
      <c r="C171" s="24" t="s">
        <v>1398</v>
      </c>
      <c r="D171" s="24" t="s">
        <v>669</v>
      </c>
      <c r="E171" s="24" t="s">
        <v>670</v>
      </c>
      <c r="F171" s="24" t="s">
        <v>671</v>
      </c>
      <c r="G171" s="25">
        <f>VLOOKUP(A171,负载电气特性!A:G,7,FALSE)</f>
        <v>270</v>
      </c>
      <c r="H171" s="26" t="s">
        <v>66</v>
      </c>
      <c r="I171" s="24" t="s">
        <v>1709</v>
      </c>
      <c r="J171" s="25" t="s">
        <v>1708</v>
      </c>
      <c r="K171" s="25">
        <v>0</v>
      </c>
      <c r="L171" s="25">
        <v>1</v>
      </c>
      <c r="M171" s="25">
        <v>1</v>
      </c>
      <c r="N171" s="25">
        <v>0.7</v>
      </c>
      <c r="O171" s="25">
        <v>0.75</v>
      </c>
      <c r="P171" s="25">
        <v>1</v>
      </c>
      <c r="Q171" s="25">
        <v>1</v>
      </c>
      <c r="R171" s="25">
        <v>1</v>
      </c>
      <c r="S171" s="25">
        <v>1</v>
      </c>
      <c r="T171" s="25">
        <v>0.7</v>
      </c>
      <c r="U171" s="27" t="str">
        <f>_xlfn.LET(_xlpm.maxVal,_xlfn.MAXIFS($K:$K,$A:$A,A171),IF(AND(_xlpm.maxVal=K171,L171&lt;&gt;0),_xlpm.maxVal,""))</f>
        <v/>
      </c>
      <c r="V171" s="27" t="str">
        <f>_xlfn.LET(_xlpm.maxVal,_xlfn.MAXIFS($K:$K,$A:$A,A171),IF(AND(_xlpm.maxVal=K171,M171&lt;&gt;0),_xlpm.maxVal,""))</f>
        <v/>
      </c>
      <c r="W171" s="27" t="str">
        <f>_xlfn.LET(_xlpm.maxVal,_xlfn.MAXIFS($K:$K,$A:$A,A171),IF(AND(_xlpm.maxVal=K171,N171&lt;&gt;0),_xlpm.maxVal,""))</f>
        <v/>
      </c>
      <c r="X171" s="27" t="str">
        <f>_xlfn.LET(_xlpm.maxVal,_xlfn.MAXIFS($K:$K,$A:$A,A171),IF(AND(_xlpm.maxVal=K171,O171&lt;&gt;0),_xlpm.maxVal,""))</f>
        <v/>
      </c>
      <c r="Y171" s="27" t="str">
        <f>_xlfn.LET(_xlpm.maxVal,_xlfn.MAXIFS($K:$K,$A:$A,A171),IF(AND(_xlpm.maxVal=K171,P171&lt;&gt;0),_xlpm.maxVal,""))</f>
        <v/>
      </c>
      <c r="Z171" s="27" t="str">
        <f>_xlfn.LET(_xlpm.maxVal,_xlfn.MAXIFS($K:$K,$A:$A,A171),IF(AND(_xlpm.maxVal=K171,Q171&lt;&gt;0),_xlpm.maxVal,""))</f>
        <v/>
      </c>
      <c r="AA171" s="27" t="str">
        <f>_xlfn.LET(_xlpm.maxVal,_xlfn.MAXIFS($K:$K,$A:$A,A171),IF(AND(_xlpm.maxVal=K171,R171&lt;&gt;0),_xlpm.maxVal,""))</f>
        <v/>
      </c>
      <c r="AB171" s="27" t="str">
        <f>_xlfn.LET(_xlpm.maxVal,_xlfn.MAXIFS($K:$K,$A:$A,A171),IF(AND(_xlpm.maxVal=K171,S171&lt;&gt;0),_xlpm.maxVal,""))</f>
        <v/>
      </c>
      <c r="AC171" s="27" t="str">
        <f>_xlfn.LET(_xlpm.maxVal,_xlfn.MAXIFS($K:$K,$A:$A,A171),IF(AND(_xlpm.maxVal=K171,T171&lt;&gt;0),_xlpm.maxVal,""))</f>
        <v/>
      </c>
      <c r="AD171" s="27">
        <f>$K171*L171*负载统计!$K$3/60</f>
        <v>0</v>
      </c>
      <c r="AE171" s="27">
        <f>$K171*L171*负载统计!$K$4/60</f>
        <v>0</v>
      </c>
      <c r="AF171" s="27">
        <f>$K171*N171*负载统计!$K$5/60</f>
        <v>0</v>
      </c>
      <c r="AG171" s="27">
        <f>$K171*O171*负载统计!$K$6/60</f>
        <v>0</v>
      </c>
      <c r="AH171" s="27">
        <f>$K171*P171*负载统计!$K$7/60</f>
        <v>0</v>
      </c>
      <c r="AI171" s="27">
        <f>$K171*Q171*负载统计!$K$8/60</f>
        <v>0</v>
      </c>
      <c r="AJ171" s="27">
        <f>$K171*R171*负载统计!$K$9/60</f>
        <v>0</v>
      </c>
      <c r="AK171" s="27">
        <f>$K171*S171*负载统计!$K$10/60</f>
        <v>0</v>
      </c>
      <c r="AL171" s="27">
        <f>$K171*T171*负载统计!$K$11/60</f>
        <v>0</v>
      </c>
    </row>
    <row r="172" spans="1:38">
      <c r="A172" s="1">
        <v>75</v>
      </c>
      <c r="B172" s="24" t="s">
        <v>1422</v>
      </c>
      <c r="C172" s="24" t="s">
        <v>1398</v>
      </c>
      <c r="D172" s="24" t="s">
        <v>669</v>
      </c>
      <c r="E172" s="24" t="s">
        <v>670</v>
      </c>
      <c r="F172" s="24" t="s">
        <v>671</v>
      </c>
      <c r="G172" s="25">
        <f>VLOOKUP(A172,负载电气特性!A:G,7,FALSE)</f>
        <v>28</v>
      </c>
      <c r="H172" s="26" t="s">
        <v>66</v>
      </c>
      <c r="I172" s="25" t="s">
        <v>1706</v>
      </c>
      <c r="J172" s="24" t="s">
        <v>1707</v>
      </c>
      <c r="K172" s="25">
        <v>0.04</v>
      </c>
      <c r="L172" s="25">
        <v>0</v>
      </c>
      <c r="M172" s="25">
        <v>0</v>
      </c>
      <c r="N172" s="25">
        <v>0</v>
      </c>
      <c r="O172" s="25">
        <v>1</v>
      </c>
      <c r="P172" s="25">
        <v>0</v>
      </c>
      <c r="Q172" s="25">
        <v>0</v>
      </c>
      <c r="R172" s="25">
        <v>0</v>
      </c>
      <c r="S172" s="25">
        <v>1</v>
      </c>
      <c r="T172" s="25">
        <v>1</v>
      </c>
      <c r="U172" s="27" t="str">
        <f>_xlfn.LET(_xlpm.maxVal,_xlfn.MAXIFS($K:$K,$A:$A,A172),IF(AND(_xlpm.maxVal=K172,L172&lt;&gt;0),_xlpm.maxVal,""))</f>
        <v/>
      </c>
      <c r="V172" s="27" t="str">
        <f>_xlfn.LET(_xlpm.maxVal,_xlfn.MAXIFS($K:$K,$A:$A,A172),IF(AND(_xlpm.maxVal=K172,M172&lt;&gt;0),_xlpm.maxVal,""))</f>
        <v/>
      </c>
      <c r="W172" s="27" t="str">
        <f>_xlfn.LET(_xlpm.maxVal,_xlfn.MAXIFS($K:$K,$A:$A,A172),IF(AND(_xlpm.maxVal=K172,N172&lt;&gt;0),_xlpm.maxVal,""))</f>
        <v/>
      </c>
      <c r="X172" s="27">
        <f>_xlfn.LET(_xlpm.maxVal,_xlfn.MAXIFS($K:$K,$A:$A,A172),IF(AND(_xlpm.maxVal=K172,O172&lt;&gt;0),_xlpm.maxVal,""))</f>
        <v>0.04</v>
      </c>
      <c r="Y172" s="27" t="str">
        <f>_xlfn.LET(_xlpm.maxVal,_xlfn.MAXIFS($K:$K,$A:$A,A172),IF(AND(_xlpm.maxVal=K172,P172&lt;&gt;0),_xlpm.maxVal,""))</f>
        <v/>
      </c>
      <c r="Z172" s="27" t="str">
        <f>_xlfn.LET(_xlpm.maxVal,_xlfn.MAXIFS($K:$K,$A:$A,A172),IF(AND(_xlpm.maxVal=K172,Q172&lt;&gt;0),_xlpm.maxVal,""))</f>
        <v/>
      </c>
      <c r="AA172" s="27" t="str">
        <f>_xlfn.LET(_xlpm.maxVal,_xlfn.MAXIFS($K:$K,$A:$A,A172),IF(AND(_xlpm.maxVal=K172,R172&lt;&gt;0),_xlpm.maxVal,""))</f>
        <v/>
      </c>
      <c r="AB172" s="27">
        <f>_xlfn.LET(_xlpm.maxVal,_xlfn.MAXIFS($K:$K,$A:$A,A172),IF(AND(_xlpm.maxVal=K172,S172&lt;&gt;0),_xlpm.maxVal,""))</f>
        <v>0.04</v>
      </c>
      <c r="AC172" s="27">
        <f>_xlfn.LET(_xlpm.maxVal,_xlfn.MAXIFS($K:$K,$A:$A,A172),IF(AND(_xlpm.maxVal=K172,T172&lt;&gt;0),_xlpm.maxVal,""))</f>
        <v>0.04</v>
      </c>
      <c r="AD172" s="27">
        <f>$K172*L172*负载统计!$K$3/60</f>
        <v>0</v>
      </c>
      <c r="AE172" s="27">
        <f>$K172*L172*负载统计!$K$4/60</f>
        <v>0</v>
      </c>
      <c r="AF172" s="27">
        <f>$K172*N172*负载统计!$K$5/60</f>
        <v>0</v>
      </c>
      <c r="AG172" s="27">
        <f>$K172*O172*负载统计!$K$6/60</f>
        <v>0.002</v>
      </c>
      <c r="AH172" s="27">
        <f>$K172*P172*负载统计!$K$7/60</f>
        <v>0</v>
      </c>
      <c r="AI172" s="27">
        <f>$K172*Q172*负载统计!$K$8/60</f>
        <v>0</v>
      </c>
      <c r="AJ172" s="27">
        <f>$K172*R172*负载统计!$K$9/60</f>
        <v>0</v>
      </c>
      <c r="AK172" s="27">
        <f>$K172*S172*负载统计!$K$10/60</f>
        <v>0.000333333333333333</v>
      </c>
      <c r="AL172" s="27">
        <f>$K172*T172*负载统计!$K$11/60</f>
        <v>0.00266666666666667</v>
      </c>
    </row>
    <row r="173" spans="1:38">
      <c r="A173" s="1">
        <v>75</v>
      </c>
      <c r="B173" s="24" t="s">
        <v>1422</v>
      </c>
      <c r="C173" s="24" t="s">
        <v>1398</v>
      </c>
      <c r="D173" s="24" t="s">
        <v>669</v>
      </c>
      <c r="E173" s="24" t="s">
        <v>670</v>
      </c>
      <c r="F173" s="24" t="s">
        <v>671</v>
      </c>
      <c r="G173" s="25">
        <f>VLOOKUP(A173,负载电气特性!A:G,7,FALSE)</f>
        <v>28</v>
      </c>
      <c r="H173" s="26" t="s">
        <v>66</v>
      </c>
      <c r="I173" s="25" t="s">
        <v>1706</v>
      </c>
      <c r="J173" s="25" t="s">
        <v>1712</v>
      </c>
      <c r="K173" s="25">
        <v>0.0168</v>
      </c>
      <c r="L173" s="25">
        <v>1</v>
      </c>
      <c r="M173" s="25">
        <v>1</v>
      </c>
      <c r="N173" s="25">
        <v>1</v>
      </c>
      <c r="O173" s="25">
        <v>0</v>
      </c>
      <c r="P173" s="25">
        <v>1</v>
      </c>
      <c r="Q173" s="25">
        <v>1</v>
      </c>
      <c r="R173" s="25">
        <v>1</v>
      </c>
      <c r="S173" s="25">
        <v>0</v>
      </c>
      <c r="T173" s="25">
        <v>0</v>
      </c>
      <c r="U173" s="27" t="str">
        <f>_xlfn.LET(_xlpm.maxVal,_xlfn.MAXIFS($K:$K,$A:$A,A173),IF(AND(_xlpm.maxVal=K173,L173&lt;&gt;0),_xlpm.maxVal,""))</f>
        <v/>
      </c>
      <c r="V173" s="27" t="str">
        <f>_xlfn.LET(_xlpm.maxVal,_xlfn.MAXIFS($K:$K,$A:$A,A173),IF(AND(_xlpm.maxVal=K173,M173&lt;&gt;0),_xlpm.maxVal,""))</f>
        <v/>
      </c>
      <c r="W173" s="27" t="str">
        <f>_xlfn.LET(_xlpm.maxVal,_xlfn.MAXIFS($K:$K,$A:$A,A173),IF(AND(_xlpm.maxVal=K173,N173&lt;&gt;0),_xlpm.maxVal,""))</f>
        <v/>
      </c>
      <c r="X173" s="27" t="str">
        <f>_xlfn.LET(_xlpm.maxVal,_xlfn.MAXIFS($K:$K,$A:$A,A173),IF(AND(_xlpm.maxVal=K173,O173&lt;&gt;0),_xlpm.maxVal,""))</f>
        <v/>
      </c>
      <c r="Y173" s="27" t="str">
        <f>_xlfn.LET(_xlpm.maxVal,_xlfn.MAXIFS($K:$K,$A:$A,A173),IF(AND(_xlpm.maxVal=K173,P173&lt;&gt;0),_xlpm.maxVal,""))</f>
        <v/>
      </c>
      <c r="Z173" s="27" t="str">
        <f>_xlfn.LET(_xlpm.maxVal,_xlfn.MAXIFS($K:$K,$A:$A,A173),IF(AND(_xlpm.maxVal=K173,Q173&lt;&gt;0),_xlpm.maxVal,""))</f>
        <v/>
      </c>
      <c r="AA173" s="27" t="str">
        <f>_xlfn.LET(_xlpm.maxVal,_xlfn.MAXIFS($K:$K,$A:$A,A173),IF(AND(_xlpm.maxVal=K173,R173&lt;&gt;0),_xlpm.maxVal,""))</f>
        <v/>
      </c>
      <c r="AB173" s="27" t="str">
        <f>_xlfn.LET(_xlpm.maxVal,_xlfn.MAXIFS($K:$K,$A:$A,A173),IF(AND(_xlpm.maxVal=K173,S173&lt;&gt;0),_xlpm.maxVal,""))</f>
        <v/>
      </c>
      <c r="AC173" s="27" t="str">
        <f>_xlfn.LET(_xlpm.maxVal,_xlfn.MAXIFS($K:$K,$A:$A,A173),IF(AND(_xlpm.maxVal=K173,T173&lt;&gt;0),_xlpm.maxVal,""))</f>
        <v/>
      </c>
      <c r="AD173" s="27">
        <f>$K173*L173*负载统计!$K$3/60</f>
        <v>0</v>
      </c>
      <c r="AE173" s="27">
        <f>$K173*L173*负载统计!$K$4/60</f>
        <v>0</v>
      </c>
      <c r="AF173" s="27">
        <f>$K173*N173*负载统计!$K$5/60</f>
        <v>0.00028</v>
      </c>
      <c r="AG173" s="27">
        <f>$K173*O173*负载统计!$K$6/60</f>
        <v>0</v>
      </c>
      <c r="AH173" s="27">
        <f>$K173*P173*负载统计!$K$7/60</f>
        <v>0.0018956</v>
      </c>
      <c r="AI173" s="27">
        <f>$K173*Q173*负载统计!$K$8/60</f>
        <v>0.012208</v>
      </c>
      <c r="AJ173" s="27">
        <f>$K173*R173*负载统计!$K$9/60</f>
        <v>0.003878</v>
      </c>
      <c r="AK173" s="27">
        <f>$K173*S173*负载统计!$K$10/60</f>
        <v>0</v>
      </c>
      <c r="AL173" s="27">
        <f>$K173*T173*负载统计!$K$11/60</f>
        <v>0</v>
      </c>
    </row>
    <row r="174" spans="1:38">
      <c r="A174" s="1">
        <v>75</v>
      </c>
      <c r="B174" s="24" t="s">
        <v>1422</v>
      </c>
      <c r="C174" s="24" t="s">
        <v>1398</v>
      </c>
      <c r="D174" s="24" t="s">
        <v>669</v>
      </c>
      <c r="E174" s="24" t="s">
        <v>670</v>
      </c>
      <c r="F174" s="24" t="s">
        <v>671</v>
      </c>
      <c r="G174" s="25">
        <f>VLOOKUP(A174,负载电气特性!A:G,7,FALSE)</f>
        <v>28</v>
      </c>
      <c r="H174" s="26" t="s">
        <v>66</v>
      </c>
      <c r="I174" s="25" t="s">
        <v>1706</v>
      </c>
      <c r="J174" s="25" t="s">
        <v>1708</v>
      </c>
      <c r="K174" s="25">
        <v>0</v>
      </c>
      <c r="L174" s="25">
        <v>0</v>
      </c>
      <c r="M174" s="25">
        <v>0</v>
      </c>
      <c r="N174" s="25">
        <v>0</v>
      </c>
      <c r="O174" s="25">
        <v>0</v>
      </c>
      <c r="P174" s="25">
        <v>0</v>
      </c>
      <c r="Q174" s="25">
        <v>0</v>
      </c>
      <c r="R174" s="25">
        <v>0</v>
      </c>
      <c r="S174" s="25">
        <v>0</v>
      </c>
      <c r="T174" s="25">
        <v>0</v>
      </c>
      <c r="U174" s="27" t="str">
        <f>_xlfn.LET(_xlpm.maxVal,_xlfn.MAXIFS($K:$K,$A:$A,A174),IF(AND(_xlpm.maxVal=K174,L174&lt;&gt;0),_xlpm.maxVal,""))</f>
        <v/>
      </c>
      <c r="V174" s="27" t="str">
        <f>_xlfn.LET(_xlpm.maxVal,_xlfn.MAXIFS($K:$K,$A:$A,A174),IF(AND(_xlpm.maxVal=K174,M174&lt;&gt;0),_xlpm.maxVal,""))</f>
        <v/>
      </c>
      <c r="W174" s="27" t="str">
        <f>_xlfn.LET(_xlpm.maxVal,_xlfn.MAXIFS($K:$K,$A:$A,A174),IF(AND(_xlpm.maxVal=K174,N174&lt;&gt;0),_xlpm.maxVal,""))</f>
        <v/>
      </c>
      <c r="X174" s="27" t="str">
        <f>_xlfn.LET(_xlpm.maxVal,_xlfn.MAXIFS($K:$K,$A:$A,A174),IF(AND(_xlpm.maxVal=K174,O174&lt;&gt;0),_xlpm.maxVal,""))</f>
        <v/>
      </c>
      <c r="Y174" s="27" t="str">
        <f>_xlfn.LET(_xlpm.maxVal,_xlfn.MAXIFS($K:$K,$A:$A,A174),IF(AND(_xlpm.maxVal=K174,P174&lt;&gt;0),_xlpm.maxVal,""))</f>
        <v/>
      </c>
      <c r="Z174" s="27" t="str">
        <f>_xlfn.LET(_xlpm.maxVal,_xlfn.MAXIFS($K:$K,$A:$A,A174),IF(AND(_xlpm.maxVal=K174,Q174&lt;&gt;0),_xlpm.maxVal,""))</f>
        <v/>
      </c>
      <c r="AA174" s="27" t="str">
        <f>_xlfn.LET(_xlpm.maxVal,_xlfn.MAXIFS($K:$K,$A:$A,A174),IF(AND(_xlpm.maxVal=K174,R174&lt;&gt;0),_xlpm.maxVal,""))</f>
        <v/>
      </c>
      <c r="AB174" s="27" t="str">
        <f>_xlfn.LET(_xlpm.maxVal,_xlfn.MAXIFS($K:$K,$A:$A,A174),IF(AND(_xlpm.maxVal=K174,S174&lt;&gt;0),_xlpm.maxVal,""))</f>
        <v/>
      </c>
      <c r="AC174" s="27" t="str">
        <f>_xlfn.LET(_xlpm.maxVal,_xlfn.MAXIFS($K:$K,$A:$A,A174),IF(AND(_xlpm.maxVal=K174,T174&lt;&gt;0),_xlpm.maxVal,""))</f>
        <v/>
      </c>
      <c r="AD174" s="27">
        <f>$K174*L174*负载统计!$K$3/60</f>
        <v>0</v>
      </c>
      <c r="AE174" s="27">
        <f>$K174*L174*负载统计!$K$4/60</f>
        <v>0</v>
      </c>
      <c r="AF174" s="27">
        <f>$K174*N174*负载统计!$K$5/60</f>
        <v>0</v>
      </c>
      <c r="AG174" s="27">
        <f>$K174*O174*负载统计!$K$6/60</f>
        <v>0</v>
      </c>
      <c r="AH174" s="27">
        <f>$K174*P174*负载统计!$K$7/60</f>
        <v>0</v>
      </c>
      <c r="AI174" s="27">
        <f>$K174*Q174*负载统计!$K$8/60</f>
        <v>0</v>
      </c>
      <c r="AJ174" s="27">
        <f>$K174*R174*负载统计!$K$9/60</f>
        <v>0</v>
      </c>
      <c r="AK174" s="27">
        <f>$K174*S174*负载统计!$K$10/60</f>
        <v>0</v>
      </c>
      <c r="AL174" s="27">
        <f>$K174*T174*负载统计!$K$11/60</f>
        <v>0</v>
      </c>
    </row>
    <row r="175" spans="1:38">
      <c r="A175" s="1">
        <v>76</v>
      </c>
      <c r="B175" s="24" t="s">
        <v>1423</v>
      </c>
      <c r="C175" s="24" t="s">
        <v>1398</v>
      </c>
      <c r="D175" s="24" t="s">
        <v>1424</v>
      </c>
      <c r="E175" s="24" t="s">
        <v>684</v>
      </c>
      <c r="F175" s="24" t="s">
        <v>685</v>
      </c>
      <c r="G175" s="25">
        <f>VLOOKUP(A175,负载电气特性!A:G,7,FALSE)</f>
        <v>28</v>
      </c>
      <c r="H175" s="26" t="s">
        <v>66</v>
      </c>
      <c r="I175" s="25" t="s">
        <v>1706</v>
      </c>
      <c r="J175" s="24" t="s">
        <v>1707</v>
      </c>
      <c r="K175" s="25">
        <v>0.04</v>
      </c>
      <c r="L175" s="25">
        <v>0</v>
      </c>
      <c r="M175" s="25">
        <v>1</v>
      </c>
      <c r="N175" s="25">
        <v>1</v>
      </c>
      <c r="O175" s="25">
        <v>1</v>
      </c>
      <c r="P175" s="25">
        <v>1</v>
      </c>
      <c r="Q175" s="25">
        <v>1</v>
      </c>
      <c r="R175" s="25">
        <v>1</v>
      </c>
      <c r="S175" s="25">
        <v>1</v>
      </c>
      <c r="T175" s="25">
        <v>1</v>
      </c>
      <c r="U175" s="27" t="str">
        <f>_xlfn.LET(_xlpm.maxVal,_xlfn.MAXIFS($K:$K,$A:$A,A175),IF(AND(_xlpm.maxVal=K175,L175&lt;&gt;0),_xlpm.maxVal,""))</f>
        <v/>
      </c>
      <c r="V175" s="27">
        <f>_xlfn.LET(_xlpm.maxVal,_xlfn.MAXIFS($K:$K,$A:$A,A175),IF(AND(_xlpm.maxVal=K175,M175&lt;&gt;0),_xlpm.maxVal,""))</f>
        <v>0.04</v>
      </c>
      <c r="W175" s="27">
        <f>_xlfn.LET(_xlpm.maxVal,_xlfn.MAXIFS($K:$K,$A:$A,A175),IF(AND(_xlpm.maxVal=K175,N175&lt;&gt;0),_xlpm.maxVal,""))</f>
        <v>0.04</v>
      </c>
      <c r="X175" s="27">
        <f>_xlfn.LET(_xlpm.maxVal,_xlfn.MAXIFS($K:$K,$A:$A,A175),IF(AND(_xlpm.maxVal=K175,O175&lt;&gt;0),_xlpm.maxVal,""))</f>
        <v>0.04</v>
      </c>
      <c r="Y175" s="27">
        <f>_xlfn.LET(_xlpm.maxVal,_xlfn.MAXIFS($K:$K,$A:$A,A175),IF(AND(_xlpm.maxVal=K175,P175&lt;&gt;0),_xlpm.maxVal,""))</f>
        <v>0.04</v>
      </c>
      <c r="Z175" s="27">
        <f>_xlfn.LET(_xlpm.maxVal,_xlfn.MAXIFS($K:$K,$A:$A,A175),IF(AND(_xlpm.maxVal=K175,Q175&lt;&gt;0),_xlpm.maxVal,""))</f>
        <v>0.04</v>
      </c>
      <c r="AA175" s="27">
        <f>_xlfn.LET(_xlpm.maxVal,_xlfn.MAXIFS($K:$K,$A:$A,A175),IF(AND(_xlpm.maxVal=K175,R175&lt;&gt;0),_xlpm.maxVal,""))</f>
        <v>0.04</v>
      </c>
      <c r="AB175" s="27">
        <f>_xlfn.LET(_xlpm.maxVal,_xlfn.MAXIFS($K:$K,$A:$A,A175),IF(AND(_xlpm.maxVal=K175,S175&lt;&gt;0),_xlpm.maxVal,""))</f>
        <v>0.04</v>
      </c>
      <c r="AC175" s="27">
        <f>_xlfn.LET(_xlpm.maxVal,_xlfn.MAXIFS($K:$K,$A:$A,A175),IF(AND(_xlpm.maxVal=K175,T175&lt;&gt;0),_xlpm.maxVal,""))</f>
        <v>0.04</v>
      </c>
      <c r="AD175" s="27">
        <f>$K175*L175*负载统计!$K$3/60</f>
        <v>0</v>
      </c>
      <c r="AE175" s="27">
        <f>$K175*L175*负载统计!$K$4/60</f>
        <v>0</v>
      </c>
      <c r="AF175" s="27">
        <f>$K175*N175*负载统计!$K$5/60</f>
        <v>0.000666666666666667</v>
      </c>
      <c r="AG175" s="27">
        <f>$K175*O175*负载统计!$K$6/60</f>
        <v>0.002</v>
      </c>
      <c r="AH175" s="27">
        <f>$K175*P175*负载统计!$K$7/60</f>
        <v>0.00451333333333333</v>
      </c>
      <c r="AI175" s="27">
        <f>$K175*Q175*负载统计!$K$8/60</f>
        <v>0.0290666666666667</v>
      </c>
      <c r="AJ175" s="27">
        <f>$K175*R175*负载统计!$K$9/60</f>
        <v>0.00923333333333333</v>
      </c>
      <c r="AK175" s="27">
        <f>$K175*S175*负载统计!$K$10/60</f>
        <v>0.000333333333333333</v>
      </c>
      <c r="AL175" s="27">
        <f>$K175*T175*负载统计!$K$11/60</f>
        <v>0.00266666666666667</v>
      </c>
    </row>
    <row r="176" spans="1:38">
      <c r="A176" s="1">
        <v>76</v>
      </c>
      <c r="B176" s="24" t="s">
        <v>1423</v>
      </c>
      <c r="C176" s="24" t="s">
        <v>1398</v>
      </c>
      <c r="D176" s="24" t="s">
        <v>1424</v>
      </c>
      <c r="E176" s="24" t="s">
        <v>684</v>
      </c>
      <c r="F176" s="24" t="s">
        <v>685</v>
      </c>
      <c r="G176" s="25">
        <f>VLOOKUP(A176,负载电气特性!A:G,7,FALSE)</f>
        <v>28</v>
      </c>
      <c r="H176" s="26" t="s">
        <v>66</v>
      </c>
      <c r="I176" s="25" t="s">
        <v>1706</v>
      </c>
      <c r="J176" s="25" t="s">
        <v>1708</v>
      </c>
      <c r="K176" s="25">
        <v>0</v>
      </c>
      <c r="L176" s="25">
        <v>1</v>
      </c>
      <c r="M176" s="25">
        <v>0</v>
      </c>
      <c r="N176" s="25">
        <v>0</v>
      </c>
      <c r="O176" s="25">
        <v>0</v>
      </c>
      <c r="P176" s="25">
        <v>0</v>
      </c>
      <c r="Q176" s="25">
        <v>0</v>
      </c>
      <c r="R176" s="25">
        <v>0</v>
      </c>
      <c r="S176" s="25">
        <v>0</v>
      </c>
      <c r="T176" s="25">
        <v>0</v>
      </c>
      <c r="U176" s="27" t="str">
        <f>_xlfn.LET(_xlpm.maxVal,_xlfn.MAXIFS($K:$K,$A:$A,A176),IF(AND(_xlpm.maxVal=K176,L176&lt;&gt;0),_xlpm.maxVal,""))</f>
        <v/>
      </c>
      <c r="V176" s="27" t="str">
        <f>_xlfn.LET(_xlpm.maxVal,_xlfn.MAXIFS($K:$K,$A:$A,A176),IF(AND(_xlpm.maxVal=K176,M176&lt;&gt;0),_xlpm.maxVal,""))</f>
        <v/>
      </c>
      <c r="W176" s="27" t="str">
        <f>_xlfn.LET(_xlpm.maxVal,_xlfn.MAXIFS($K:$K,$A:$A,A176),IF(AND(_xlpm.maxVal=K176,N176&lt;&gt;0),_xlpm.maxVal,""))</f>
        <v/>
      </c>
      <c r="X176" s="27" t="str">
        <f>_xlfn.LET(_xlpm.maxVal,_xlfn.MAXIFS($K:$K,$A:$A,A176),IF(AND(_xlpm.maxVal=K176,O176&lt;&gt;0),_xlpm.maxVal,""))</f>
        <v/>
      </c>
      <c r="Y176" s="27" t="str">
        <f>_xlfn.LET(_xlpm.maxVal,_xlfn.MAXIFS($K:$K,$A:$A,A176),IF(AND(_xlpm.maxVal=K176,P176&lt;&gt;0),_xlpm.maxVal,""))</f>
        <v/>
      </c>
      <c r="Z176" s="27" t="str">
        <f>_xlfn.LET(_xlpm.maxVal,_xlfn.MAXIFS($K:$K,$A:$A,A176),IF(AND(_xlpm.maxVal=K176,Q176&lt;&gt;0),_xlpm.maxVal,""))</f>
        <v/>
      </c>
      <c r="AA176" s="27" t="str">
        <f>_xlfn.LET(_xlpm.maxVal,_xlfn.MAXIFS($K:$K,$A:$A,A176),IF(AND(_xlpm.maxVal=K176,R176&lt;&gt;0),_xlpm.maxVal,""))</f>
        <v/>
      </c>
      <c r="AB176" s="27" t="str">
        <f>_xlfn.LET(_xlpm.maxVal,_xlfn.MAXIFS($K:$K,$A:$A,A176),IF(AND(_xlpm.maxVal=K176,S176&lt;&gt;0),_xlpm.maxVal,""))</f>
        <v/>
      </c>
      <c r="AC176" s="27" t="str">
        <f>_xlfn.LET(_xlpm.maxVal,_xlfn.MAXIFS($K:$K,$A:$A,A176),IF(AND(_xlpm.maxVal=K176,T176&lt;&gt;0),_xlpm.maxVal,""))</f>
        <v/>
      </c>
      <c r="AD176" s="27">
        <f>$K176*L176*负载统计!$K$3/60</f>
        <v>0</v>
      </c>
      <c r="AE176" s="27">
        <f>$K176*L176*负载统计!$K$4/60</f>
        <v>0</v>
      </c>
      <c r="AF176" s="27">
        <f>$K176*N176*负载统计!$K$5/60</f>
        <v>0</v>
      </c>
      <c r="AG176" s="27">
        <f>$K176*O176*负载统计!$K$6/60</f>
        <v>0</v>
      </c>
      <c r="AH176" s="27">
        <f>$K176*P176*负载统计!$K$7/60</f>
        <v>0</v>
      </c>
      <c r="AI176" s="27">
        <f>$K176*Q176*负载统计!$K$8/60</f>
        <v>0</v>
      </c>
      <c r="AJ176" s="27">
        <f>$K176*R176*负载统计!$K$9/60</f>
        <v>0</v>
      </c>
      <c r="AK176" s="27">
        <f>$K176*S176*负载统计!$K$10/60</f>
        <v>0</v>
      </c>
      <c r="AL176" s="27">
        <f>$K176*T176*负载统计!$K$11/60</f>
        <v>0</v>
      </c>
    </row>
    <row r="177" spans="1:38">
      <c r="A177" s="1">
        <v>77</v>
      </c>
      <c r="B177" s="24" t="s">
        <v>1425</v>
      </c>
      <c r="C177" s="24" t="s">
        <v>1398</v>
      </c>
      <c r="D177" s="24" t="s">
        <v>1426</v>
      </c>
      <c r="E177" s="24" t="s">
        <v>684</v>
      </c>
      <c r="F177" s="24" t="s">
        <v>687</v>
      </c>
      <c r="G177" s="25">
        <f>VLOOKUP(A177,负载电气特性!A:G,7,FALSE)</f>
        <v>28</v>
      </c>
      <c r="H177" s="26" t="s">
        <v>66</v>
      </c>
      <c r="I177" s="25" t="s">
        <v>1706</v>
      </c>
      <c r="J177" s="24" t="s">
        <v>1707</v>
      </c>
      <c r="K177" s="25">
        <v>0.04</v>
      </c>
      <c r="L177" s="25">
        <v>0</v>
      </c>
      <c r="M177" s="25">
        <v>1</v>
      </c>
      <c r="N177" s="25">
        <v>1</v>
      </c>
      <c r="O177" s="25">
        <v>1</v>
      </c>
      <c r="P177" s="25">
        <v>1</v>
      </c>
      <c r="Q177" s="25">
        <v>1</v>
      </c>
      <c r="R177" s="25">
        <v>1</v>
      </c>
      <c r="S177" s="25">
        <v>1</v>
      </c>
      <c r="T177" s="25">
        <v>1</v>
      </c>
      <c r="U177" s="27" t="str">
        <f>_xlfn.LET(_xlpm.maxVal,_xlfn.MAXIFS($K:$K,$A:$A,A177),IF(AND(_xlpm.maxVal=K177,L177&lt;&gt;0),_xlpm.maxVal,""))</f>
        <v/>
      </c>
      <c r="V177" s="27">
        <f>_xlfn.LET(_xlpm.maxVal,_xlfn.MAXIFS($K:$K,$A:$A,A177),IF(AND(_xlpm.maxVal=K177,M177&lt;&gt;0),_xlpm.maxVal,""))</f>
        <v>0.04</v>
      </c>
      <c r="W177" s="27">
        <f>_xlfn.LET(_xlpm.maxVal,_xlfn.MAXIFS($K:$K,$A:$A,A177),IF(AND(_xlpm.maxVal=K177,N177&lt;&gt;0),_xlpm.maxVal,""))</f>
        <v>0.04</v>
      </c>
      <c r="X177" s="27">
        <f>_xlfn.LET(_xlpm.maxVal,_xlfn.MAXIFS($K:$K,$A:$A,A177),IF(AND(_xlpm.maxVal=K177,O177&lt;&gt;0),_xlpm.maxVal,""))</f>
        <v>0.04</v>
      </c>
      <c r="Y177" s="27">
        <f>_xlfn.LET(_xlpm.maxVal,_xlfn.MAXIFS($K:$K,$A:$A,A177),IF(AND(_xlpm.maxVal=K177,P177&lt;&gt;0),_xlpm.maxVal,""))</f>
        <v>0.04</v>
      </c>
      <c r="Z177" s="27">
        <f>_xlfn.LET(_xlpm.maxVal,_xlfn.MAXIFS($K:$K,$A:$A,A177),IF(AND(_xlpm.maxVal=K177,Q177&lt;&gt;0),_xlpm.maxVal,""))</f>
        <v>0.04</v>
      </c>
      <c r="AA177" s="27">
        <f>_xlfn.LET(_xlpm.maxVal,_xlfn.MAXIFS($K:$K,$A:$A,A177),IF(AND(_xlpm.maxVal=K177,R177&lt;&gt;0),_xlpm.maxVal,""))</f>
        <v>0.04</v>
      </c>
      <c r="AB177" s="27">
        <f>_xlfn.LET(_xlpm.maxVal,_xlfn.MAXIFS($K:$K,$A:$A,A177),IF(AND(_xlpm.maxVal=K177,S177&lt;&gt;0),_xlpm.maxVal,""))</f>
        <v>0.04</v>
      </c>
      <c r="AC177" s="27">
        <f>_xlfn.LET(_xlpm.maxVal,_xlfn.MAXIFS($K:$K,$A:$A,A177),IF(AND(_xlpm.maxVal=K177,T177&lt;&gt;0),_xlpm.maxVal,""))</f>
        <v>0.04</v>
      </c>
      <c r="AD177" s="27">
        <f>$K177*L177*负载统计!$K$3/60</f>
        <v>0</v>
      </c>
      <c r="AE177" s="27">
        <f>$K177*L177*负载统计!$K$4/60</f>
        <v>0</v>
      </c>
      <c r="AF177" s="27">
        <f>$K177*N177*负载统计!$K$5/60</f>
        <v>0.000666666666666667</v>
      </c>
      <c r="AG177" s="27">
        <f>$K177*O177*负载统计!$K$6/60</f>
        <v>0.002</v>
      </c>
      <c r="AH177" s="27">
        <f>$K177*P177*负载统计!$K$7/60</f>
        <v>0.00451333333333333</v>
      </c>
      <c r="AI177" s="27">
        <f>$K177*Q177*负载统计!$K$8/60</f>
        <v>0.0290666666666667</v>
      </c>
      <c r="AJ177" s="27">
        <f>$K177*R177*负载统计!$K$9/60</f>
        <v>0.00923333333333333</v>
      </c>
      <c r="AK177" s="27">
        <f>$K177*S177*负载统计!$K$10/60</f>
        <v>0.000333333333333333</v>
      </c>
      <c r="AL177" s="27">
        <f>$K177*T177*负载统计!$K$11/60</f>
        <v>0.00266666666666667</v>
      </c>
    </row>
    <row r="178" spans="1:38">
      <c r="A178" s="1">
        <v>77</v>
      </c>
      <c r="B178" s="24" t="s">
        <v>1425</v>
      </c>
      <c r="C178" s="24" t="s">
        <v>1398</v>
      </c>
      <c r="D178" s="24" t="s">
        <v>1426</v>
      </c>
      <c r="E178" s="24" t="s">
        <v>684</v>
      </c>
      <c r="F178" s="24" t="s">
        <v>687</v>
      </c>
      <c r="G178" s="25">
        <f>VLOOKUP(A178,负载电气特性!A:G,7,FALSE)</f>
        <v>28</v>
      </c>
      <c r="H178" s="26" t="s">
        <v>66</v>
      </c>
      <c r="I178" s="25" t="s">
        <v>1706</v>
      </c>
      <c r="J178" s="25" t="s">
        <v>1708</v>
      </c>
      <c r="K178" s="25">
        <v>0</v>
      </c>
      <c r="L178" s="25">
        <v>1</v>
      </c>
      <c r="M178" s="25">
        <v>0</v>
      </c>
      <c r="N178" s="25">
        <v>0</v>
      </c>
      <c r="O178" s="25">
        <v>0</v>
      </c>
      <c r="P178" s="25">
        <v>0</v>
      </c>
      <c r="Q178" s="25">
        <v>0</v>
      </c>
      <c r="R178" s="25">
        <v>0</v>
      </c>
      <c r="S178" s="25">
        <v>0</v>
      </c>
      <c r="T178" s="25">
        <v>0</v>
      </c>
      <c r="U178" s="27" t="str">
        <f>_xlfn.LET(_xlpm.maxVal,_xlfn.MAXIFS($K:$K,$A:$A,A178),IF(AND(_xlpm.maxVal=K178,L178&lt;&gt;0),_xlpm.maxVal,""))</f>
        <v/>
      </c>
      <c r="V178" s="27" t="str">
        <f>_xlfn.LET(_xlpm.maxVal,_xlfn.MAXIFS($K:$K,$A:$A,A178),IF(AND(_xlpm.maxVal=K178,M178&lt;&gt;0),_xlpm.maxVal,""))</f>
        <v/>
      </c>
      <c r="W178" s="27" t="str">
        <f>_xlfn.LET(_xlpm.maxVal,_xlfn.MAXIFS($K:$K,$A:$A,A178),IF(AND(_xlpm.maxVal=K178,N178&lt;&gt;0),_xlpm.maxVal,""))</f>
        <v/>
      </c>
      <c r="X178" s="27" t="str">
        <f>_xlfn.LET(_xlpm.maxVal,_xlfn.MAXIFS($K:$K,$A:$A,A178),IF(AND(_xlpm.maxVal=K178,O178&lt;&gt;0),_xlpm.maxVal,""))</f>
        <v/>
      </c>
      <c r="Y178" s="27" t="str">
        <f>_xlfn.LET(_xlpm.maxVal,_xlfn.MAXIFS($K:$K,$A:$A,A178),IF(AND(_xlpm.maxVal=K178,P178&lt;&gt;0),_xlpm.maxVal,""))</f>
        <v/>
      </c>
      <c r="Z178" s="27" t="str">
        <f>_xlfn.LET(_xlpm.maxVal,_xlfn.MAXIFS($K:$K,$A:$A,A178),IF(AND(_xlpm.maxVal=K178,Q178&lt;&gt;0),_xlpm.maxVal,""))</f>
        <v/>
      </c>
      <c r="AA178" s="27" t="str">
        <f>_xlfn.LET(_xlpm.maxVal,_xlfn.MAXIFS($K:$K,$A:$A,A178),IF(AND(_xlpm.maxVal=K178,R178&lt;&gt;0),_xlpm.maxVal,""))</f>
        <v/>
      </c>
      <c r="AB178" s="27" t="str">
        <f>_xlfn.LET(_xlpm.maxVal,_xlfn.MAXIFS($K:$K,$A:$A,A178),IF(AND(_xlpm.maxVal=K178,S178&lt;&gt;0),_xlpm.maxVal,""))</f>
        <v/>
      </c>
      <c r="AC178" s="27" t="str">
        <f>_xlfn.LET(_xlpm.maxVal,_xlfn.MAXIFS($K:$K,$A:$A,A178),IF(AND(_xlpm.maxVal=K178,T178&lt;&gt;0),_xlpm.maxVal,""))</f>
        <v/>
      </c>
      <c r="AD178" s="27">
        <f>$K178*L178*负载统计!$K$3/60</f>
        <v>0</v>
      </c>
      <c r="AE178" s="27">
        <f>$K178*L178*负载统计!$K$4/60</f>
        <v>0</v>
      </c>
      <c r="AF178" s="27">
        <f>$K178*N178*负载统计!$K$5/60</f>
        <v>0</v>
      </c>
      <c r="AG178" s="27">
        <f>$K178*O178*负载统计!$K$6/60</f>
        <v>0</v>
      </c>
      <c r="AH178" s="27">
        <f>$K178*P178*负载统计!$K$7/60</f>
        <v>0</v>
      </c>
      <c r="AI178" s="27">
        <f>$K178*Q178*负载统计!$K$8/60</f>
        <v>0</v>
      </c>
      <c r="AJ178" s="27">
        <f>$K178*R178*负载统计!$K$9/60</f>
        <v>0</v>
      </c>
      <c r="AK178" s="27">
        <f>$K178*S178*负载统计!$K$10/60</f>
        <v>0</v>
      </c>
      <c r="AL178" s="27">
        <f>$K178*T178*负载统计!$K$11/60</f>
        <v>0</v>
      </c>
    </row>
    <row r="179" spans="1:38">
      <c r="A179" s="1">
        <v>78</v>
      </c>
      <c r="B179" s="24" t="s">
        <v>1427</v>
      </c>
      <c r="C179" s="24" t="s">
        <v>1428</v>
      </c>
      <c r="D179" s="24" t="s">
        <v>691</v>
      </c>
      <c r="E179" s="24" t="s">
        <v>692</v>
      </c>
      <c r="F179" s="24" t="s">
        <v>693</v>
      </c>
      <c r="G179" s="25">
        <f>VLOOKUP(A179,负载电气特性!A:G,7,FALSE)</f>
        <v>28</v>
      </c>
      <c r="H179" s="26" t="s">
        <v>66</v>
      </c>
      <c r="I179" s="25" t="s">
        <v>1706</v>
      </c>
      <c r="J179" s="24" t="s">
        <v>1718</v>
      </c>
      <c r="K179" s="25">
        <v>0.01</v>
      </c>
      <c r="L179" s="25">
        <v>0</v>
      </c>
      <c r="M179" s="25">
        <v>1</v>
      </c>
      <c r="N179" s="25">
        <v>1</v>
      </c>
      <c r="O179" s="25">
        <v>1</v>
      </c>
      <c r="P179" s="25">
        <v>1</v>
      </c>
      <c r="Q179" s="25">
        <v>1</v>
      </c>
      <c r="R179" s="25">
        <v>1</v>
      </c>
      <c r="S179" s="25">
        <v>1</v>
      </c>
      <c r="T179" s="25">
        <v>1</v>
      </c>
      <c r="U179" s="27" t="str">
        <f>_xlfn.LET(_xlpm.maxVal,_xlfn.MAXIFS($K:$K,$A:$A,A179),IF(AND(_xlpm.maxVal=K179,L179&lt;&gt;0),_xlpm.maxVal,""))</f>
        <v/>
      </c>
      <c r="V179" s="27">
        <f>_xlfn.LET(_xlpm.maxVal,_xlfn.MAXIFS($K:$K,$A:$A,A179),IF(AND(_xlpm.maxVal=K179,M179&lt;&gt;0),_xlpm.maxVal,""))</f>
        <v>0.01</v>
      </c>
      <c r="W179" s="27">
        <f>_xlfn.LET(_xlpm.maxVal,_xlfn.MAXIFS($K:$K,$A:$A,A179),IF(AND(_xlpm.maxVal=K179,N179&lt;&gt;0),_xlpm.maxVal,""))</f>
        <v>0.01</v>
      </c>
      <c r="X179" s="27">
        <f>_xlfn.LET(_xlpm.maxVal,_xlfn.MAXIFS($K:$K,$A:$A,A179),IF(AND(_xlpm.maxVal=K179,O179&lt;&gt;0),_xlpm.maxVal,""))</f>
        <v>0.01</v>
      </c>
      <c r="Y179" s="27">
        <f>_xlfn.LET(_xlpm.maxVal,_xlfn.MAXIFS($K:$K,$A:$A,A179),IF(AND(_xlpm.maxVal=K179,P179&lt;&gt;0),_xlpm.maxVal,""))</f>
        <v>0.01</v>
      </c>
      <c r="Z179" s="27">
        <f>_xlfn.LET(_xlpm.maxVal,_xlfn.MAXIFS($K:$K,$A:$A,A179),IF(AND(_xlpm.maxVal=K179,Q179&lt;&gt;0),_xlpm.maxVal,""))</f>
        <v>0.01</v>
      </c>
      <c r="AA179" s="27">
        <f>_xlfn.LET(_xlpm.maxVal,_xlfn.MAXIFS($K:$K,$A:$A,A179),IF(AND(_xlpm.maxVal=K179,R179&lt;&gt;0),_xlpm.maxVal,""))</f>
        <v>0.01</v>
      </c>
      <c r="AB179" s="27">
        <f>_xlfn.LET(_xlpm.maxVal,_xlfn.MAXIFS($K:$K,$A:$A,A179),IF(AND(_xlpm.maxVal=K179,S179&lt;&gt;0),_xlpm.maxVal,""))</f>
        <v>0.01</v>
      </c>
      <c r="AC179" s="27">
        <f>_xlfn.LET(_xlpm.maxVal,_xlfn.MAXIFS($K:$K,$A:$A,A179),IF(AND(_xlpm.maxVal=K179,T179&lt;&gt;0),_xlpm.maxVal,""))</f>
        <v>0.01</v>
      </c>
      <c r="AD179" s="27">
        <f>$K179*L179*负载统计!$K$3/60</f>
        <v>0</v>
      </c>
      <c r="AE179" s="27">
        <f>$K179*L179*负载统计!$K$4/60</f>
        <v>0</v>
      </c>
      <c r="AF179" s="27">
        <f>$K179*N179*负载统计!$K$5/60</f>
        <v>0.000166666666666667</v>
      </c>
      <c r="AG179" s="27">
        <f>$K179*O179*负载统计!$K$6/60</f>
        <v>0.0005</v>
      </c>
      <c r="AH179" s="27">
        <f>$K179*P179*负载统计!$K$7/60</f>
        <v>0.00112833333333333</v>
      </c>
      <c r="AI179" s="27">
        <f>$K179*Q179*负载统计!$K$8/60</f>
        <v>0.00726666666666667</v>
      </c>
      <c r="AJ179" s="27">
        <f>$K179*R179*负载统计!$K$9/60</f>
        <v>0.00230833333333333</v>
      </c>
      <c r="AK179" s="27">
        <f>$K179*S179*负载统计!$K$10/60</f>
        <v>8.33333333333333e-5</v>
      </c>
      <c r="AL179" s="27">
        <f>$K179*T179*负载统计!$K$11/60</f>
        <v>0.000666666666666667</v>
      </c>
    </row>
    <row r="180" spans="1:38">
      <c r="A180" s="1">
        <v>78</v>
      </c>
      <c r="B180" s="24" t="s">
        <v>1427</v>
      </c>
      <c r="C180" s="24" t="s">
        <v>1428</v>
      </c>
      <c r="D180" s="24" t="s">
        <v>691</v>
      </c>
      <c r="E180" s="24" t="s">
        <v>692</v>
      </c>
      <c r="F180" s="24" t="s">
        <v>693</v>
      </c>
      <c r="G180" s="25">
        <f>VLOOKUP(A180,负载电气特性!A:G,7,FALSE)</f>
        <v>28</v>
      </c>
      <c r="H180" s="26" t="s">
        <v>66</v>
      </c>
      <c r="I180" s="25" t="s">
        <v>1706</v>
      </c>
      <c r="J180" s="25" t="s">
        <v>1708</v>
      </c>
      <c r="K180" s="25">
        <v>0</v>
      </c>
      <c r="L180" s="25">
        <v>1</v>
      </c>
      <c r="M180" s="25">
        <v>0</v>
      </c>
      <c r="N180" s="25">
        <v>0</v>
      </c>
      <c r="O180" s="25">
        <v>0</v>
      </c>
      <c r="P180" s="25">
        <v>0</v>
      </c>
      <c r="Q180" s="25">
        <v>0</v>
      </c>
      <c r="R180" s="25">
        <v>0</v>
      </c>
      <c r="S180" s="25">
        <v>0</v>
      </c>
      <c r="T180" s="25">
        <v>0</v>
      </c>
      <c r="U180" s="27" t="str">
        <f>_xlfn.LET(_xlpm.maxVal,_xlfn.MAXIFS($K:$K,$A:$A,A180),IF(AND(_xlpm.maxVal=K180,L180&lt;&gt;0),_xlpm.maxVal,""))</f>
        <v/>
      </c>
      <c r="V180" s="27" t="str">
        <f>_xlfn.LET(_xlpm.maxVal,_xlfn.MAXIFS($K:$K,$A:$A,A180),IF(AND(_xlpm.maxVal=K180,M180&lt;&gt;0),_xlpm.maxVal,""))</f>
        <v/>
      </c>
      <c r="W180" s="27" t="str">
        <f>_xlfn.LET(_xlpm.maxVal,_xlfn.MAXIFS($K:$K,$A:$A,A180),IF(AND(_xlpm.maxVal=K180,N180&lt;&gt;0),_xlpm.maxVal,""))</f>
        <v/>
      </c>
      <c r="X180" s="27" t="str">
        <f>_xlfn.LET(_xlpm.maxVal,_xlfn.MAXIFS($K:$K,$A:$A,A180),IF(AND(_xlpm.maxVal=K180,O180&lt;&gt;0),_xlpm.maxVal,""))</f>
        <v/>
      </c>
      <c r="Y180" s="27" t="str">
        <f>_xlfn.LET(_xlpm.maxVal,_xlfn.MAXIFS($K:$K,$A:$A,A180),IF(AND(_xlpm.maxVal=K180,P180&lt;&gt;0),_xlpm.maxVal,""))</f>
        <v/>
      </c>
      <c r="Z180" s="27" t="str">
        <f>_xlfn.LET(_xlpm.maxVal,_xlfn.MAXIFS($K:$K,$A:$A,A180),IF(AND(_xlpm.maxVal=K180,Q180&lt;&gt;0),_xlpm.maxVal,""))</f>
        <v/>
      </c>
      <c r="AA180" s="27" t="str">
        <f>_xlfn.LET(_xlpm.maxVal,_xlfn.MAXIFS($K:$K,$A:$A,A180),IF(AND(_xlpm.maxVal=K180,R180&lt;&gt;0),_xlpm.maxVal,""))</f>
        <v/>
      </c>
      <c r="AB180" s="27" t="str">
        <f>_xlfn.LET(_xlpm.maxVal,_xlfn.MAXIFS($K:$K,$A:$A,A180),IF(AND(_xlpm.maxVal=K180,S180&lt;&gt;0),_xlpm.maxVal,""))</f>
        <v/>
      </c>
      <c r="AC180" s="27" t="str">
        <f>_xlfn.LET(_xlpm.maxVal,_xlfn.MAXIFS($K:$K,$A:$A,A180),IF(AND(_xlpm.maxVal=K180,T180&lt;&gt;0),_xlpm.maxVal,""))</f>
        <v/>
      </c>
      <c r="AD180" s="27">
        <f>$K180*L180*负载统计!$K$3/60</f>
        <v>0</v>
      </c>
      <c r="AE180" s="27">
        <f>$K180*L180*负载统计!$K$4/60</f>
        <v>0</v>
      </c>
      <c r="AF180" s="27">
        <f>$K180*N180*负载统计!$K$5/60</f>
        <v>0</v>
      </c>
      <c r="AG180" s="27">
        <f>$K180*O180*负载统计!$K$6/60</f>
        <v>0</v>
      </c>
      <c r="AH180" s="27">
        <f>$K180*P180*负载统计!$K$7/60</f>
        <v>0</v>
      </c>
      <c r="AI180" s="27">
        <f>$K180*Q180*负载统计!$K$8/60</f>
        <v>0</v>
      </c>
      <c r="AJ180" s="27">
        <f>$K180*R180*负载统计!$K$9/60</f>
        <v>0</v>
      </c>
      <c r="AK180" s="27">
        <f>$K180*S180*负载统计!$K$10/60</f>
        <v>0</v>
      </c>
      <c r="AL180" s="27">
        <f>$K180*T180*负载统计!$K$11/60</f>
        <v>0</v>
      </c>
    </row>
    <row r="181" spans="1:38">
      <c r="A181" s="1">
        <v>79</v>
      </c>
      <c r="B181" s="24" t="s">
        <v>1429</v>
      </c>
      <c r="C181" s="24" t="s">
        <v>1428</v>
      </c>
      <c r="D181" s="24" t="s">
        <v>1430</v>
      </c>
      <c r="E181" s="24" t="s">
        <v>695</v>
      </c>
      <c r="F181" s="24" t="s">
        <v>696</v>
      </c>
      <c r="G181" s="25">
        <f>VLOOKUP(A181,负载电气特性!A:G,7,FALSE)</f>
        <v>28</v>
      </c>
      <c r="H181" s="26" t="s">
        <v>61</v>
      </c>
      <c r="I181" s="25" t="s">
        <v>1706</v>
      </c>
      <c r="J181" s="24" t="s">
        <v>1718</v>
      </c>
      <c r="K181" s="25">
        <v>0.003</v>
      </c>
      <c r="L181" s="25">
        <v>0</v>
      </c>
      <c r="M181" s="25">
        <v>1</v>
      </c>
      <c r="N181" s="25">
        <v>1</v>
      </c>
      <c r="O181" s="25">
        <v>1</v>
      </c>
      <c r="P181" s="25">
        <v>1</v>
      </c>
      <c r="Q181" s="25">
        <v>1</v>
      </c>
      <c r="R181" s="25">
        <v>1</v>
      </c>
      <c r="S181" s="25">
        <v>1</v>
      </c>
      <c r="T181" s="25">
        <v>1</v>
      </c>
      <c r="U181" s="27" t="str">
        <f>_xlfn.LET(_xlpm.maxVal,_xlfn.MAXIFS($K:$K,$A:$A,A181),IF(AND(_xlpm.maxVal=K181,L181&lt;&gt;0),_xlpm.maxVal,""))</f>
        <v/>
      </c>
      <c r="V181" s="27">
        <f>_xlfn.LET(_xlpm.maxVal,_xlfn.MAXIFS($K:$K,$A:$A,A181),IF(AND(_xlpm.maxVal=K181,M181&lt;&gt;0),_xlpm.maxVal,""))</f>
        <v>0.003</v>
      </c>
      <c r="W181" s="27">
        <f>_xlfn.LET(_xlpm.maxVal,_xlfn.MAXIFS($K:$K,$A:$A,A181),IF(AND(_xlpm.maxVal=K181,N181&lt;&gt;0),_xlpm.maxVal,""))</f>
        <v>0.003</v>
      </c>
      <c r="X181" s="27">
        <f>_xlfn.LET(_xlpm.maxVal,_xlfn.MAXIFS($K:$K,$A:$A,A181),IF(AND(_xlpm.maxVal=K181,O181&lt;&gt;0),_xlpm.maxVal,""))</f>
        <v>0.003</v>
      </c>
      <c r="Y181" s="27">
        <f>_xlfn.LET(_xlpm.maxVal,_xlfn.MAXIFS($K:$K,$A:$A,A181),IF(AND(_xlpm.maxVal=K181,P181&lt;&gt;0),_xlpm.maxVal,""))</f>
        <v>0.003</v>
      </c>
      <c r="Z181" s="27">
        <f>_xlfn.LET(_xlpm.maxVal,_xlfn.MAXIFS($K:$K,$A:$A,A181),IF(AND(_xlpm.maxVal=K181,Q181&lt;&gt;0),_xlpm.maxVal,""))</f>
        <v>0.003</v>
      </c>
      <c r="AA181" s="27">
        <f>_xlfn.LET(_xlpm.maxVal,_xlfn.MAXIFS($K:$K,$A:$A,A181),IF(AND(_xlpm.maxVal=K181,R181&lt;&gt;0),_xlpm.maxVal,""))</f>
        <v>0.003</v>
      </c>
      <c r="AB181" s="27">
        <f>_xlfn.LET(_xlpm.maxVal,_xlfn.MAXIFS($K:$K,$A:$A,A181),IF(AND(_xlpm.maxVal=K181,S181&lt;&gt;0),_xlpm.maxVal,""))</f>
        <v>0.003</v>
      </c>
      <c r="AC181" s="27">
        <f>_xlfn.LET(_xlpm.maxVal,_xlfn.MAXIFS($K:$K,$A:$A,A181),IF(AND(_xlpm.maxVal=K181,T181&lt;&gt;0),_xlpm.maxVal,""))</f>
        <v>0.003</v>
      </c>
      <c r="AD181" s="27">
        <f>$K181*L181*负载统计!$K$3/60</f>
        <v>0</v>
      </c>
      <c r="AE181" s="27">
        <f>$K181*L181*负载统计!$K$4/60</f>
        <v>0</v>
      </c>
      <c r="AF181" s="27">
        <f>$K181*N181*负载统计!$K$5/60</f>
        <v>5e-5</v>
      </c>
      <c r="AG181" s="27">
        <f>$K181*O181*负载统计!$K$6/60</f>
        <v>0.00015</v>
      </c>
      <c r="AH181" s="27">
        <f>$K181*P181*负载统计!$K$7/60</f>
        <v>0.0003385</v>
      </c>
      <c r="AI181" s="27">
        <f>$K181*Q181*负载统计!$K$8/60</f>
        <v>0.00218</v>
      </c>
      <c r="AJ181" s="27">
        <f>$K181*R181*负载统计!$K$9/60</f>
        <v>0.0006925</v>
      </c>
      <c r="AK181" s="27">
        <f>$K181*S181*负载统计!$K$10/60</f>
        <v>2.5e-5</v>
      </c>
      <c r="AL181" s="27">
        <f>$K181*T181*负载统计!$K$11/60</f>
        <v>0.0002</v>
      </c>
    </row>
    <row r="182" spans="1:38">
      <c r="A182" s="1">
        <v>79</v>
      </c>
      <c r="B182" s="24" t="s">
        <v>1429</v>
      </c>
      <c r="C182" s="24" t="s">
        <v>1428</v>
      </c>
      <c r="D182" s="24" t="s">
        <v>1430</v>
      </c>
      <c r="E182" s="24" t="s">
        <v>695</v>
      </c>
      <c r="F182" s="24" t="s">
        <v>696</v>
      </c>
      <c r="G182" s="25">
        <f>VLOOKUP(A182,负载电气特性!A:G,7,FALSE)</f>
        <v>28</v>
      </c>
      <c r="H182" s="26" t="s">
        <v>61</v>
      </c>
      <c r="I182" s="25" t="s">
        <v>1706</v>
      </c>
      <c r="J182" s="25" t="s">
        <v>1708</v>
      </c>
      <c r="K182" s="25">
        <v>0</v>
      </c>
      <c r="L182" s="25">
        <v>1</v>
      </c>
      <c r="M182" s="25">
        <v>0</v>
      </c>
      <c r="N182" s="25">
        <v>0</v>
      </c>
      <c r="O182" s="25">
        <v>0</v>
      </c>
      <c r="P182" s="25">
        <v>0</v>
      </c>
      <c r="Q182" s="25">
        <v>0</v>
      </c>
      <c r="R182" s="25">
        <v>0</v>
      </c>
      <c r="S182" s="25">
        <v>0</v>
      </c>
      <c r="T182" s="25">
        <v>0</v>
      </c>
      <c r="U182" s="27" t="str">
        <f>_xlfn.LET(_xlpm.maxVal,_xlfn.MAXIFS($K:$K,$A:$A,A182),IF(AND(_xlpm.maxVal=K182,L182&lt;&gt;0),_xlpm.maxVal,""))</f>
        <v/>
      </c>
      <c r="V182" s="27" t="str">
        <f>_xlfn.LET(_xlpm.maxVal,_xlfn.MAXIFS($K:$K,$A:$A,A182),IF(AND(_xlpm.maxVal=K182,M182&lt;&gt;0),_xlpm.maxVal,""))</f>
        <v/>
      </c>
      <c r="W182" s="27" t="str">
        <f>_xlfn.LET(_xlpm.maxVal,_xlfn.MAXIFS($K:$K,$A:$A,A182),IF(AND(_xlpm.maxVal=K182,N182&lt;&gt;0),_xlpm.maxVal,""))</f>
        <v/>
      </c>
      <c r="X182" s="27" t="str">
        <f>_xlfn.LET(_xlpm.maxVal,_xlfn.MAXIFS($K:$K,$A:$A,A182),IF(AND(_xlpm.maxVal=K182,O182&lt;&gt;0),_xlpm.maxVal,""))</f>
        <v/>
      </c>
      <c r="Y182" s="27" t="str">
        <f>_xlfn.LET(_xlpm.maxVal,_xlfn.MAXIFS($K:$K,$A:$A,A182),IF(AND(_xlpm.maxVal=K182,P182&lt;&gt;0),_xlpm.maxVal,""))</f>
        <v/>
      </c>
      <c r="Z182" s="27" t="str">
        <f>_xlfn.LET(_xlpm.maxVal,_xlfn.MAXIFS($K:$K,$A:$A,A182),IF(AND(_xlpm.maxVal=K182,Q182&lt;&gt;0),_xlpm.maxVal,""))</f>
        <v/>
      </c>
      <c r="AA182" s="27" t="str">
        <f>_xlfn.LET(_xlpm.maxVal,_xlfn.MAXIFS($K:$K,$A:$A,A182),IF(AND(_xlpm.maxVal=K182,R182&lt;&gt;0),_xlpm.maxVal,""))</f>
        <v/>
      </c>
      <c r="AB182" s="27" t="str">
        <f>_xlfn.LET(_xlpm.maxVal,_xlfn.MAXIFS($K:$K,$A:$A,A182),IF(AND(_xlpm.maxVal=K182,S182&lt;&gt;0),_xlpm.maxVal,""))</f>
        <v/>
      </c>
      <c r="AC182" s="27" t="str">
        <f>_xlfn.LET(_xlpm.maxVal,_xlfn.MAXIFS($K:$K,$A:$A,A182),IF(AND(_xlpm.maxVal=K182,T182&lt;&gt;0),_xlpm.maxVal,""))</f>
        <v/>
      </c>
      <c r="AD182" s="27">
        <f>$K182*L182*负载统计!$K$3/60</f>
        <v>0</v>
      </c>
      <c r="AE182" s="27">
        <f>$K182*L182*负载统计!$K$4/60</f>
        <v>0</v>
      </c>
      <c r="AF182" s="27">
        <f>$K182*N182*负载统计!$K$5/60</f>
        <v>0</v>
      </c>
      <c r="AG182" s="27">
        <f>$K182*O182*负载统计!$K$6/60</f>
        <v>0</v>
      </c>
      <c r="AH182" s="27">
        <f>$K182*P182*负载统计!$K$7/60</f>
        <v>0</v>
      </c>
      <c r="AI182" s="27">
        <f>$K182*Q182*负载统计!$K$8/60</f>
        <v>0</v>
      </c>
      <c r="AJ182" s="27">
        <f>$K182*R182*负载统计!$K$9/60</f>
        <v>0</v>
      </c>
      <c r="AK182" s="27">
        <f>$K182*S182*负载统计!$K$10/60</f>
        <v>0</v>
      </c>
      <c r="AL182" s="27">
        <f>$K182*T182*负载统计!$K$11/60</f>
        <v>0</v>
      </c>
    </row>
    <row r="183" spans="1:38">
      <c r="A183" s="1">
        <v>80</v>
      </c>
      <c r="B183" s="24" t="s">
        <v>1431</v>
      </c>
      <c r="C183" s="24" t="s">
        <v>1428</v>
      </c>
      <c r="D183" s="24" t="s">
        <v>1432</v>
      </c>
      <c r="E183" s="24" t="s">
        <v>695</v>
      </c>
      <c r="F183" s="24" t="s">
        <v>698</v>
      </c>
      <c r="G183" s="25">
        <f>VLOOKUP(A183,负载电气特性!A:G,7,FALSE)</f>
        <v>28</v>
      </c>
      <c r="H183" s="26" t="s">
        <v>61</v>
      </c>
      <c r="I183" s="25" t="s">
        <v>1706</v>
      </c>
      <c r="J183" s="24" t="s">
        <v>1718</v>
      </c>
      <c r="K183" s="25">
        <v>0.003</v>
      </c>
      <c r="L183" s="25">
        <v>0</v>
      </c>
      <c r="M183" s="25">
        <v>1</v>
      </c>
      <c r="N183" s="25">
        <v>1</v>
      </c>
      <c r="O183" s="25">
        <v>1</v>
      </c>
      <c r="P183" s="25">
        <v>1</v>
      </c>
      <c r="Q183" s="25">
        <v>1</v>
      </c>
      <c r="R183" s="25">
        <v>1</v>
      </c>
      <c r="S183" s="25">
        <v>1</v>
      </c>
      <c r="T183" s="25">
        <v>1</v>
      </c>
      <c r="U183" s="27" t="str">
        <f>_xlfn.LET(_xlpm.maxVal,_xlfn.MAXIFS($K:$K,$A:$A,A183),IF(AND(_xlpm.maxVal=K183,L183&lt;&gt;0),_xlpm.maxVal,""))</f>
        <v/>
      </c>
      <c r="V183" s="27">
        <f>_xlfn.LET(_xlpm.maxVal,_xlfn.MAXIFS($K:$K,$A:$A,A183),IF(AND(_xlpm.maxVal=K183,M183&lt;&gt;0),_xlpm.maxVal,""))</f>
        <v>0.003</v>
      </c>
      <c r="W183" s="27">
        <f>_xlfn.LET(_xlpm.maxVal,_xlfn.MAXIFS($K:$K,$A:$A,A183),IF(AND(_xlpm.maxVal=K183,N183&lt;&gt;0),_xlpm.maxVal,""))</f>
        <v>0.003</v>
      </c>
      <c r="X183" s="27">
        <f>_xlfn.LET(_xlpm.maxVal,_xlfn.MAXIFS($K:$K,$A:$A,A183),IF(AND(_xlpm.maxVal=K183,O183&lt;&gt;0),_xlpm.maxVal,""))</f>
        <v>0.003</v>
      </c>
      <c r="Y183" s="27">
        <f>_xlfn.LET(_xlpm.maxVal,_xlfn.MAXIFS($K:$K,$A:$A,A183),IF(AND(_xlpm.maxVal=K183,P183&lt;&gt;0),_xlpm.maxVal,""))</f>
        <v>0.003</v>
      </c>
      <c r="Z183" s="27">
        <f>_xlfn.LET(_xlpm.maxVal,_xlfn.MAXIFS($K:$K,$A:$A,A183),IF(AND(_xlpm.maxVal=K183,Q183&lt;&gt;0),_xlpm.maxVal,""))</f>
        <v>0.003</v>
      </c>
      <c r="AA183" s="27">
        <f>_xlfn.LET(_xlpm.maxVal,_xlfn.MAXIFS($K:$K,$A:$A,A183),IF(AND(_xlpm.maxVal=K183,R183&lt;&gt;0),_xlpm.maxVal,""))</f>
        <v>0.003</v>
      </c>
      <c r="AB183" s="27">
        <f>_xlfn.LET(_xlpm.maxVal,_xlfn.MAXIFS($K:$K,$A:$A,A183),IF(AND(_xlpm.maxVal=K183,S183&lt;&gt;0),_xlpm.maxVal,""))</f>
        <v>0.003</v>
      </c>
      <c r="AC183" s="27">
        <f>_xlfn.LET(_xlpm.maxVal,_xlfn.MAXIFS($K:$K,$A:$A,A183),IF(AND(_xlpm.maxVal=K183,T183&lt;&gt;0),_xlpm.maxVal,""))</f>
        <v>0.003</v>
      </c>
      <c r="AD183" s="27">
        <f>$K183*L183*负载统计!$K$3/60</f>
        <v>0</v>
      </c>
      <c r="AE183" s="27">
        <f>$K183*L183*负载统计!$K$4/60</f>
        <v>0</v>
      </c>
      <c r="AF183" s="27">
        <f>$K183*N183*负载统计!$K$5/60</f>
        <v>5e-5</v>
      </c>
      <c r="AG183" s="27">
        <f>$K183*O183*负载统计!$K$6/60</f>
        <v>0.00015</v>
      </c>
      <c r="AH183" s="27">
        <f>$K183*P183*负载统计!$K$7/60</f>
        <v>0.0003385</v>
      </c>
      <c r="AI183" s="27">
        <f>$K183*Q183*负载统计!$K$8/60</f>
        <v>0.00218</v>
      </c>
      <c r="AJ183" s="27">
        <f>$K183*R183*负载统计!$K$9/60</f>
        <v>0.0006925</v>
      </c>
      <c r="AK183" s="27">
        <f>$K183*S183*负载统计!$K$10/60</f>
        <v>2.5e-5</v>
      </c>
      <c r="AL183" s="27">
        <f>$K183*T183*负载统计!$K$11/60</f>
        <v>0.0002</v>
      </c>
    </row>
    <row r="184" spans="1:38">
      <c r="A184" s="1">
        <v>80</v>
      </c>
      <c r="B184" s="24" t="s">
        <v>1431</v>
      </c>
      <c r="C184" s="24" t="s">
        <v>1428</v>
      </c>
      <c r="D184" s="24" t="s">
        <v>1432</v>
      </c>
      <c r="E184" s="24" t="s">
        <v>695</v>
      </c>
      <c r="F184" s="24" t="s">
        <v>698</v>
      </c>
      <c r="G184" s="25">
        <f>VLOOKUP(A184,负载电气特性!A:G,7,FALSE)</f>
        <v>28</v>
      </c>
      <c r="H184" s="26" t="s">
        <v>61</v>
      </c>
      <c r="I184" s="25" t="s">
        <v>1706</v>
      </c>
      <c r="J184" s="25" t="s">
        <v>1708</v>
      </c>
      <c r="K184" s="25">
        <v>0</v>
      </c>
      <c r="L184" s="25">
        <v>1</v>
      </c>
      <c r="M184" s="25">
        <v>0</v>
      </c>
      <c r="N184" s="25">
        <v>0</v>
      </c>
      <c r="O184" s="25">
        <v>0</v>
      </c>
      <c r="P184" s="25">
        <v>0</v>
      </c>
      <c r="Q184" s="25">
        <v>0</v>
      </c>
      <c r="R184" s="25">
        <v>0</v>
      </c>
      <c r="S184" s="25">
        <v>0</v>
      </c>
      <c r="T184" s="25">
        <v>0</v>
      </c>
      <c r="U184" s="27" t="str">
        <f>_xlfn.LET(_xlpm.maxVal,_xlfn.MAXIFS($K:$K,$A:$A,A184),IF(AND(_xlpm.maxVal=K184,L184&lt;&gt;0),_xlpm.maxVal,""))</f>
        <v/>
      </c>
      <c r="V184" s="27" t="str">
        <f>_xlfn.LET(_xlpm.maxVal,_xlfn.MAXIFS($K:$K,$A:$A,A184),IF(AND(_xlpm.maxVal=K184,M184&lt;&gt;0),_xlpm.maxVal,""))</f>
        <v/>
      </c>
      <c r="W184" s="27" t="str">
        <f>_xlfn.LET(_xlpm.maxVal,_xlfn.MAXIFS($K:$K,$A:$A,A184),IF(AND(_xlpm.maxVal=K184,N184&lt;&gt;0),_xlpm.maxVal,""))</f>
        <v/>
      </c>
      <c r="X184" s="27" t="str">
        <f>_xlfn.LET(_xlpm.maxVal,_xlfn.MAXIFS($K:$K,$A:$A,A184),IF(AND(_xlpm.maxVal=K184,O184&lt;&gt;0),_xlpm.maxVal,""))</f>
        <v/>
      </c>
      <c r="Y184" s="27" t="str">
        <f>_xlfn.LET(_xlpm.maxVal,_xlfn.MAXIFS($K:$K,$A:$A,A184),IF(AND(_xlpm.maxVal=K184,P184&lt;&gt;0),_xlpm.maxVal,""))</f>
        <v/>
      </c>
      <c r="Z184" s="27" t="str">
        <f>_xlfn.LET(_xlpm.maxVal,_xlfn.MAXIFS($K:$K,$A:$A,A184),IF(AND(_xlpm.maxVal=K184,Q184&lt;&gt;0),_xlpm.maxVal,""))</f>
        <v/>
      </c>
      <c r="AA184" s="27" t="str">
        <f>_xlfn.LET(_xlpm.maxVal,_xlfn.MAXIFS($K:$K,$A:$A,A184),IF(AND(_xlpm.maxVal=K184,R184&lt;&gt;0),_xlpm.maxVal,""))</f>
        <v/>
      </c>
      <c r="AB184" s="27" t="str">
        <f>_xlfn.LET(_xlpm.maxVal,_xlfn.MAXIFS($K:$K,$A:$A,A184),IF(AND(_xlpm.maxVal=K184,S184&lt;&gt;0),_xlpm.maxVal,""))</f>
        <v/>
      </c>
      <c r="AC184" s="27" t="str">
        <f>_xlfn.LET(_xlpm.maxVal,_xlfn.MAXIFS($K:$K,$A:$A,A184),IF(AND(_xlpm.maxVal=K184,T184&lt;&gt;0),_xlpm.maxVal,""))</f>
        <v/>
      </c>
      <c r="AD184" s="27">
        <f>$K184*L184*负载统计!$K$3/60</f>
        <v>0</v>
      </c>
      <c r="AE184" s="27">
        <f>$K184*L184*负载统计!$K$4/60</f>
        <v>0</v>
      </c>
      <c r="AF184" s="27">
        <f>$K184*N184*负载统计!$K$5/60</f>
        <v>0</v>
      </c>
      <c r="AG184" s="27">
        <f>$K184*O184*负载统计!$K$6/60</f>
        <v>0</v>
      </c>
      <c r="AH184" s="27">
        <f>$K184*P184*负载统计!$K$7/60</f>
        <v>0</v>
      </c>
      <c r="AI184" s="27">
        <f>$K184*Q184*负载统计!$K$8/60</f>
        <v>0</v>
      </c>
      <c r="AJ184" s="27">
        <f>$K184*R184*负载统计!$K$9/60</f>
        <v>0</v>
      </c>
      <c r="AK184" s="27">
        <f>$K184*S184*负载统计!$K$10/60</f>
        <v>0</v>
      </c>
      <c r="AL184" s="27">
        <f>$K184*T184*负载统计!$K$11/60</f>
        <v>0</v>
      </c>
    </row>
    <row r="185" spans="1:38">
      <c r="A185" s="1">
        <v>81</v>
      </c>
      <c r="B185" s="24" t="s">
        <v>1433</v>
      </c>
      <c r="C185" s="24" t="s">
        <v>1428</v>
      </c>
      <c r="D185" s="24" t="s">
        <v>1434</v>
      </c>
      <c r="E185" s="24" t="s">
        <v>700</v>
      </c>
      <c r="F185" s="24" t="s">
        <v>701</v>
      </c>
      <c r="G185" s="25">
        <f>VLOOKUP(A185,负载电气特性!A:G,7,FALSE)</f>
        <v>28</v>
      </c>
      <c r="H185" s="26" t="s">
        <v>61</v>
      </c>
      <c r="I185" s="25" t="s">
        <v>1706</v>
      </c>
      <c r="J185" s="24" t="s">
        <v>1718</v>
      </c>
      <c r="K185" s="25">
        <v>0.003</v>
      </c>
      <c r="L185" s="25">
        <v>0</v>
      </c>
      <c r="M185" s="25">
        <v>1</v>
      </c>
      <c r="N185" s="25">
        <v>1</v>
      </c>
      <c r="O185" s="25">
        <v>1</v>
      </c>
      <c r="P185" s="25">
        <v>1</v>
      </c>
      <c r="Q185" s="25">
        <v>1</v>
      </c>
      <c r="R185" s="25">
        <v>1</v>
      </c>
      <c r="S185" s="25">
        <v>1</v>
      </c>
      <c r="T185" s="25">
        <v>1</v>
      </c>
      <c r="U185" s="27" t="str">
        <f>_xlfn.LET(_xlpm.maxVal,_xlfn.MAXIFS($K:$K,$A:$A,A185),IF(AND(_xlpm.maxVal=K185,L185&lt;&gt;0),_xlpm.maxVal,""))</f>
        <v/>
      </c>
      <c r="V185" s="27">
        <f>_xlfn.LET(_xlpm.maxVal,_xlfn.MAXIFS($K:$K,$A:$A,A185),IF(AND(_xlpm.maxVal=K185,M185&lt;&gt;0),_xlpm.maxVal,""))</f>
        <v>0.003</v>
      </c>
      <c r="W185" s="27">
        <f>_xlfn.LET(_xlpm.maxVal,_xlfn.MAXIFS($K:$K,$A:$A,A185),IF(AND(_xlpm.maxVal=K185,N185&lt;&gt;0),_xlpm.maxVal,""))</f>
        <v>0.003</v>
      </c>
      <c r="X185" s="27">
        <f>_xlfn.LET(_xlpm.maxVal,_xlfn.MAXIFS($K:$K,$A:$A,A185),IF(AND(_xlpm.maxVal=K185,O185&lt;&gt;0),_xlpm.maxVal,""))</f>
        <v>0.003</v>
      </c>
      <c r="Y185" s="27">
        <f>_xlfn.LET(_xlpm.maxVal,_xlfn.MAXIFS($K:$K,$A:$A,A185),IF(AND(_xlpm.maxVal=K185,P185&lt;&gt;0),_xlpm.maxVal,""))</f>
        <v>0.003</v>
      </c>
      <c r="Z185" s="27">
        <f>_xlfn.LET(_xlpm.maxVal,_xlfn.MAXIFS($K:$K,$A:$A,A185),IF(AND(_xlpm.maxVal=K185,Q185&lt;&gt;0),_xlpm.maxVal,""))</f>
        <v>0.003</v>
      </c>
      <c r="AA185" s="27">
        <f>_xlfn.LET(_xlpm.maxVal,_xlfn.MAXIFS($K:$K,$A:$A,A185),IF(AND(_xlpm.maxVal=K185,R185&lt;&gt;0),_xlpm.maxVal,""))</f>
        <v>0.003</v>
      </c>
      <c r="AB185" s="27">
        <f>_xlfn.LET(_xlpm.maxVal,_xlfn.MAXIFS($K:$K,$A:$A,A185),IF(AND(_xlpm.maxVal=K185,S185&lt;&gt;0),_xlpm.maxVal,""))</f>
        <v>0.003</v>
      </c>
      <c r="AC185" s="27">
        <f>_xlfn.LET(_xlpm.maxVal,_xlfn.MAXIFS($K:$K,$A:$A,A185),IF(AND(_xlpm.maxVal=K185,T185&lt;&gt;0),_xlpm.maxVal,""))</f>
        <v>0.003</v>
      </c>
      <c r="AD185" s="27">
        <f>$K185*L185*负载统计!$K$3/60</f>
        <v>0</v>
      </c>
      <c r="AE185" s="27">
        <f>$K185*L185*负载统计!$K$4/60</f>
        <v>0</v>
      </c>
      <c r="AF185" s="27">
        <f>$K185*N185*负载统计!$K$5/60</f>
        <v>5e-5</v>
      </c>
      <c r="AG185" s="27">
        <f>$K185*O185*负载统计!$K$6/60</f>
        <v>0.00015</v>
      </c>
      <c r="AH185" s="27">
        <f>$K185*P185*负载统计!$K$7/60</f>
        <v>0.0003385</v>
      </c>
      <c r="AI185" s="27">
        <f>$K185*Q185*负载统计!$K$8/60</f>
        <v>0.00218</v>
      </c>
      <c r="AJ185" s="27">
        <f>$K185*R185*负载统计!$K$9/60</f>
        <v>0.0006925</v>
      </c>
      <c r="AK185" s="27">
        <f>$K185*S185*负载统计!$K$10/60</f>
        <v>2.5e-5</v>
      </c>
      <c r="AL185" s="27">
        <f>$K185*T185*负载统计!$K$11/60</f>
        <v>0.0002</v>
      </c>
    </row>
    <row r="186" spans="1:38">
      <c r="A186" s="1">
        <v>81</v>
      </c>
      <c r="B186" s="24" t="s">
        <v>1433</v>
      </c>
      <c r="C186" s="24" t="s">
        <v>1428</v>
      </c>
      <c r="D186" s="24" t="s">
        <v>1434</v>
      </c>
      <c r="E186" s="24" t="s">
        <v>700</v>
      </c>
      <c r="F186" s="24" t="s">
        <v>701</v>
      </c>
      <c r="G186" s="25">
        <f>VLOOKUP(A186,负载电气特性!A:G,7,FALSE)</f>
        <v>28</v>
      </c>
      <c r="H186" s="26" t="s">
        <v>61</v>
      </c>
      <c r="I186" s="25" t="s">
        <v>1706</v>
      </c>
      <c r="J186" s="25" t="s">
        <v>1708</v>
      </c>
      <c r="K186" s="25">
        <v>0</v>
      </c>
      <c r="L186" s="25">
        <v>1</v>
      </c>
      <c r="M186" s="25">
        <v>0</v>
      </c>
      <c r="N186" s="25">
        <v>0</v>
      </c>
      <c r="O186" s="25">
        <v>0</v>
      </c>
      <c r="P186" s="25">
        <v>0</v>
      </c>
      <c r="Q186" s="25">
        <v>0</v>
      </c>
      <c r="R186" s="25">
        <v>0</v>
      </c>
      <c r="S186" s="25">
        <v>0</v>
      </c>
      <c r="T186" s="25">
        <v>0</v>
      </c>
      <c r="U186" s="27" t="str">
        <f>_xlfn.LET(_xlpm.maxVal,_xlfn.MAXIFS($K:$K,$A:$A,A186),IF(AND(_xlpm.maxVal=K186,L186&lt;&gt;0),_xlpm.maxVal,""))</f>
        <v/>
      </c>
      <c r="V186" s="27" t="str">
        <f>_xlfn.LET(_xlpm.maxVal,_xlfn.MAXIFS($K:$K,$A:$A,A186),IF(AND(_xlpm.maxVal=K186,M186&lt;&gt;0),_xlpm.maxVal,""))</f>
        <v/>
      </c>
      <c r="W186" s="27" t="str">
        <f>_xlfn.LET(_xlpm.maxVal,_xlfn.MAXIFS($K:$K,$A:$A,A186),IF(AND(_xlpm.maxVal=K186,N186&lt;&gt;0),_xlpm.maxVal,""))</f>
        <v/>
      </c>
      <c r="X186" s="27" t="str">
        <f>_xlfn.LET(_xlpm.maxVal,_xlfn.MAXIFS($K:$K,$A:$A,A186),IF(AND(_xlpm.maxVal=K186,O186&lt;&gt;0),_xlpm.maxVal,""))</f>
        <v/>
      </c>
      <c r="Y186" s="27" t="str">
        <f>_xlfn.LET(_xlpm.maxVal,_xlfn.MAXIFS($K:$K,$A:$A,A186),IF(AND(_xlpm.maxVal=K186,P186&lt;&gt;0),_xlpm.maxVal,""))</f>
        <v/>
      </c>
      <c r="Z186" s="27" t="str">
        <f>_xlfn.LET(_xlpm.maxVal,_xlfn.MAXIFS($K:$K,$A:$A,A186),IF(AND(_xlpm.maxVal=K186,Q186&lt;&gt;0),_xlpm.maxVal,""))</f>
        <v/>
      </c>
      <c r="AA186" s="27" t="str">
        <f>_xlfn.LET(_xlpm.maxVal,_xlfn.MAXIFS($K:$K,$A:$A,A186),IF(AND(_xlpm.maxVal=K186,R186&lt;&gt;0),_xlpm.maxVal,""))</f>
        <v/>
      </c>
      <c r="AB186" s="27" t="str">
        <f>_xlfn.LET(_xlpm.maxVal,_xlfn.MAXIFS($K:$K,$A:$A,A186),IF(AND(_xlpm.maxVal=K186,S186&lt;&gt;0),_xlpm.maxVal,""))</f>
        <v/>
      </c>
      <c r="AC186" s="27" t="str">
        <f>_xlfn.LET(_xlpm.maxVal,_xlfn.MAXIFS($K:$K,$A:$A,A186),IF(AND(_xlpm.maxVal=K186,T186&lt;&gt;0),_xlpm.maxVal,""))</f>
        <v/>
      </c>
      <c r="AD186" s="27">
        <f>$K186*L186*负载统计!$K$3/60</f>
        <v>0</v>
      </c>
      <c r="AE186" s="27">
        <f>$K186*L186*负载统计!$K$4/60</f>
        <v>0</v>
      </c>
      <c r="AF186" s="27">
        <f>$K186*N186*负载统计!$K$5/60</f>
        <v>0</v>
      </c>
      <c r="AG186" s="27">
        <f>$K186*O186*负载统计!$K$6/60</f>
        <v>0</v>
      </c>
      <c r="AH186" s="27">
        <f>$K186*P186*负载统计!$K$7/60</f>
        <v>0</v>
      </c>
      <c r="AI186" s="27">
        <f>$K186*Q186*负载统计!$K$8/60</f>
        <v>0</v>
      </c>
      <c r="AJ186" s="27">
        <f>$K186*R186*负载统计!$K$9/60</f>
        <v>0</v>
      </c>
      <c r="AK186" s="27">
        <f>$K186*S186*负载统计!$K$10/60</f>
        <v>0</v>
      </c>
      <c r="AL186" s="27">
        <f>$K186*T186*负载统计!$K$11/60</f>
        <v>0</v>
      </c>
    </row>
    <row r="187" spans="1:38">
      <c r="A187" s="1">
        <v>82</v>
      </c>
      <c r="B187" s="24" t="s">
        <v>1435</v>
      </c>
      <c r="C187" s="24" t="s">
        <v>1428</v>
      </c>
      <c r="D187" s="24" t="s">
        <v>1436</v>
      </c>
      <c r="E187" s="24" t="s">
        <v>700</v>
      </c>
      <c r="F187" s="24" t="s">
        <v>703</v>
      </c>
      <c r="G187" s="25">
        <f>VLOOKUP(A187,负载电气特性!A:G,7,FALSE)</f>
        <v>28</v>
      </c>
      <c r="H187" s="26" t="s">
        <v>61</v>
      </c>
      <c r="I187" s="25" t="s">
        <v>1706</v>
      </c>
      <c r="J187" s="24" t="s">
        <v>1718</v>
      </c>
      <c r="K187" s="25">
        <v>0.003</v>
      </c>
      <c r="L187" s="25">
        <v>0</v>
      </c>
      <c r="M187" s="25">
        <v>1</v>
      </c>
      <c r="N187" s="25">
        <v>1</v>
      </c>
      <c r="O187" s="25">
        <v>1</v>
      </c>
      <c r="P187" s="25">
        <v>1</v>
      </c>
      <c r="Q187" s="25">
        <v>1</v>
      </c>
      <c r="R187" s="25">
        <v>1</v>
      </c>
      <c r="S187" s="25">
        <v>1</v>
      </c>
      <c r="T187" s="25">
        <v>1</v>
      </c>
      <c r="U187" s="27" t="str">
        <f>_xlfn.LET(_xlpm.maxVal,_xlfn.MAXIFS($K:$K,$A:$A,A187),IF(AND(_xlpm.maxVal=K187,L187&lt;&gt;0),_xlpm.maxVal,""))</f>
        <v/>
      </c>
      <c r="V187" s="27">
        <f>_xlfn.LET(_xlpm.maxVal,_xlfn.MAXIFS($K:$K,$A:$A,A187),IF(AND(_xlpm.maxVal=K187,M187&lt;&gt;0),_xlpm.maxVal,""))</f>
        <v>0.003</v>
      </c>
      <c r="W187" s="27">
        <f>_xlfn.LET(_xlpm.maxVal,_xlfn.MAXIFS($K:$K,$A:$A,A187),IF(AND(_xlpm.maxVal=K187,N187&lt;&gt;0),_xlpm.maxVal,""))</f>
        <v>0.003</v>
      </c>
      <c r="X187" s="27">
        <f>_xlfn.LET(_xlpm.maxVal,_xlfn.MAXIFS($K:$K,$A:$A,A187),IF(AND(_xlpm.maxVal=K187,O187&lt;&gt;0),_xlpm.maxVal,""))</f>
        <v>0.003</v>
      </c>
      <c r="Y187" s="27">
        <f>_xlfn.LET(_xlpm.maxVal,_xlfn.MAXIFS($K:$K,$A:$A,A187),IF(AND(_xlpm.maxVal=K187,P187&lt;&gt;0),_xlpm.maxVal,""))</f>
        <v>0.003</v>
      </c>
      <c r="Z187" s="27">
        <f>_xlfn.LET(_xlpm.maxVal,_xlfn.MAXIFS($K:$K,$A:$A,A187),IF(AND(_xlpm.maxVal=K187,Q187&lt;&gt;0),_xlpm.maxVal,""))</f>
        <v>0.003</v>
      </c>
      <c r="AA187" s="27">
        <f>_xlfn.LET(_xlpm.maxVal,_xlfn.MAXIFS($K:$K,$A:$A,A187),IF(AND(_xlpm.maxVal=K187,R187&lt;&gt;0),_xlpm.maxVal,""))</f>
        <v>0.003</v>
      </c>
      <c r="AB187" s="27">
        <f>_xlfn.LET(_xlpm.maxVal,_xlfn.MAXIFS($K:$K,$A:$A,A187),IF(AND(_xlpm.maxVal=K187,S187&lt;&gt;0),_xlpm.maxVal,""))</f>
        <v>0.003</v>
      </c>
      <c r="AC187" s="27">
        <f>_xlfn.LET(_xlpm.maxVal,_xlfn.MAXIFS($K:$K,$A:$A,A187),IF(AND(_xlpm.maxVal=K187,T187&lt;&gt;0),_xlpm.maxVal,""))</f>
        <v>0.003</v>
      </c>
      <c r="AD187" s="27">
        <f>$K187*L187*负载统计!$K$3/60</f>
        <v>0</v>
      </c>
      <c r="AE187" s="27">
        <f>$K187*L187*负载统计!$K$4/60</f>
        <v>0</v>
      </c>
      <c r="AF187" s="27">
        <f>$K187*N187*负载统计!$K$5/60</f>
        <v>5e-5</v>
      </c>
      <c r="AG187" s="27">
        <f>$K187*O187*负载统计!$K$6/60</f>
        <v>0.00015</v>
      </c>
      <c r="AH187" s="27">
        <f>$K187*P187*负载统计!$K$7/60</f>
        <v>0.0003385</v>
      </c>
      <c r="AI187" s="27">
        <f>$K187*Q187*负载统计!$K$8/60</f>
        <v>0.00218</v>
      </c>
      <c r="AJ187" s="27">
        <f>$K187*R187*负载统计!$K$9/60</f>
        <v>0.0006925</v>
      </c>
      <c r="AK187" s="27">
        <f>$K187*S187*负载统计!$K$10/60</f>
        <v>2.5e-5</v>
      </c>
      <c r="AL187" s="27">
        <f>$K187*T187*负载统计!$K$11/60</f>
        <v>0.0002</v>
      </c>
    </row>
    <row r="188" spans="1:38">
      <c r="A188" s="1">
        <v>82</v>
      </c>
      <c r="B188" s="24" t="s">
        <v>1435</v>
      </c>
      <c r="C188" s="24" t="s">
        <v>1428</v>
      </c>
      <c r="D188" s="24" t="s">
        <v>1436</v>
      </c>
      <c r="E188" s="24" t="s">
        <v>700</v>
      </c>
      <c r="F188" s="24" t="s">
        <v>703</v>
      </c>
      <c r="G188" s="25">
        <f>VLOOKUP(A188,负载电气特性!A:G,7,FALSE)</f>
        <v>28</v>
      </c>
      <c r="H188" s="26" t="s">
        <v>61</v>
      </c>
      <c r="I188" s="25" t="s">
        <v>1706</v>
      </c>
      <c r="J188" s="25" t="s">
        <v>1708</v>
      </c>
      <c r="K188" s="25">
        <v>0</v>
      </c>
      <c r="L188" s="25">
        <v>1</v>
      </c>
      <c r="M188" s="25">
        <v>0</v>
      </c>
      <c r="N188" s="25">
        <v>0</v>
      </c>
      <c r="O188" s="25">
        <v>0</v>
      </c>
      <c r="P188" s="25">
        <v>0</v>
      </c>
      <c r="Q188" s="25">
        <v>0</v>
      </c>
      <c r="R188" s="25">
        <v>0</v>
      </c>
      <c r="S188" s="25">
        <v>0</v>
      </c>
      <c r="T188" s="25">
        <v>0</v>
      </c>
      <c r="U188" s="27" t="str">
        <f>_xlfn.LET(_xlpm.maxVal,_xlfn.MAXIFS($K:$K,$A:$A,A188),IF(AND(_xlpm.maxVal=K188,L188&lt;&gt;0),_xlpm.maxVal,""))</f>
        <v/>
      </c>
      <c r="V188" s="27" t="str">
        <f>_xlfn.LET(_xlpm.maxVal,_xlfn.MAXIFS($K:$K,$A:$A,A188),IF(AND(_xlpm.maxVal=K188,M188&lt;&gt;0),_xlpm.maxVal,""))</f>
        <v/>
      </c>
      <c r="W188" s="27" t="str">
        <f>_xlfn.LET(_xlpm.maxVal,_xlfn.MAXIFS($K:$K,$A:$A,A188),IF(AND(_xlpm.maxVal=K188,N188&lt;&gt;0),_xlpm.maxVal,""))</f>
        <v/>
      </c>
      <c r="X188" s="27" t="str">
        <f>_xlfn.LET(_xlpm.maxVal,_xlfn.MAXIFS($K:$K,$A:$A,A188),IF(AND(_xlpm.maxVal=K188,O188&lt;&gt;0),_xlpm.maxVal,""))</f>
        <v/>
      </c>
      <c r="Y188" s="27" t="str">
        <f>_xlfn.LET(_xlpm.maxVal,_xlfn.MAXIFS($K:$K,$A:$A,A188),IF(AND(_xlpm.maxVal=K188,P188&lt;&gt;0),_xlpm.maxVal,""))</f>
        <v/>
      </c>
      <c r="Z188" s="27" t="str">
        <f>_xlfn.LET(_xlpm.maxVal,_xlfn.MAXIFS($K:$K,$A:$A,A188),IF(AND(_xlpm.maxVal=K188,Q188&lt;&gt;0),_xlpm.maxVal,""))</f>
        <v/>
      </c>
      <c r="AA188" s="27" t="str">
        <f>_xlfn.LET(_xlpm.maxVal,_xlfn.MAXIFS($K:$K,$A:$A,A188),IF(AND(_xlpm.maxVal=K188,R188&lt;&gt;0),_xlpm.maxVal,""))</f>
        <v/>
      </c>
      <c r="AB188" s="27" t="str">
        <f>_xlfn.LET(_xlpm.maxVal,_xlfn.MAXIFS($K:$K,$A:$A,A188),IF(AND(_xlpm.maxVal=K188,S188&lt;&gt;0),_xlpm.maxVal,""))</f>
        <v/>
      </c>
      <c r="AC188" s="27" t="str">
        <f>_xlfn.LET(_xlpm.maxVal,_xlfn.MAXIFS($K:$K,$A:$A,A188),IF(AND(_xlpm.maxVal=K188,T188&lt;&gt;0),_xlpm.maxVal,""))</f>
        <v/>
      </c>
      <c r="AD188" s="27">
        <f>$K188*L188*负载统计!$K$3/60</f>
        <v>0</v>
      </c>
      <c r="AE188" s="27">
        <f>$K188*L188*负载统计!$K$4/60</f>
        <v>0</v>
      </c>
      <c r="AF188" s="27">
        <f>$K188*N188*负载统计!$K$5/60</f>
        <v>0</v>
      </c>
      <c r="AG188" s="27">
        <f>$K188*O188*负载统计!$K$6/60</f>
        <v>0</v>
      </c>
      <c r="AH188" s="27">
        <f>$K188*P188*负载统计!$K$7/60</f>
        <v>0</v>
      </c>
      <c r="AI188" s="27">
        <f>$K188*Q188*负载统计!$K$8/60</f>
        <v>0</v>
      </c>
      <c r="AJ188" s="27">
        <f>$K188*R188*负载统计!$K$9/60</f>
        <v>0</v>
      </c>
      <c r="AK188" s="27">
        <f>$K188*S188*负载统计!$K$10/60</f>
        <v>0</v>
      </c>
      <c r="AL188" s="27">
        <f>$K188*T188*负载统计!$K$11/60</f>
        <v>0</v>
      </c>
    </row>
    <row r="189" spans="1:38">
      <c r="A189" s="1">
        <v>83</v>
      </c>
      <c r="B189" s="24" t="s">
        <v>1437</v>
      </c>
      <c r="C189" s="24" t="s">
        <v>1428</v>
      </c>
      <c r="D189" s="24" t="s">
        <v>1438</v>
      </c>
      <c r="E189" s="24" t="s">
        <v>705</v>
      </c>
      <c r="F189" s="24" t="s">
        <v>706</v>
      </c>
      <c r="G189" s="25">
        <f>VLOOKUP(A189,负载电气特性!A:G,7,FALSE)</f>
        <v>28</v>
      </c>
      <c r="H189" s="26" t="s">
        <v>66</v>
      </c>
      <c r="I189" s="25" t="s">
        <v>1706</v>
      </c>
      <c r="J189" s="24" t="s">
        <v>1718</v>
      </c>
      <c r="K189" s="25">
        <v>0.003</v>
      </c>
      <c r="L189" s="25">
        <v>0</v>
      </c>
      <c r="M189" s="25">
        <v>1</v>
      </c>
      <c r="N189" s="25">
        <v>1</v>
      </c>
      <c r="O189" s="25">
        <v>1</v>
      </c>
      <c r="P189" s="25">
        <v>1</v>
      </c>
      <c r="Q189" s="25">
        <v>1</v>
      </c>
      <c r="R189" s="25">
        <v>1</v>
      </c>
      <c r="S189" s="25">
        <v>1</v>
      </c>
      <c r="T189" s="25">
        <v>1</v>
      </c>
      <c r="U189" s="27" t="str">
        <f>_xlfn.LET(_xlpm.maxVal,_xlfn.MAXIFS($K:$K,$A:$A,A189),IF(AND(_xlpm.maxVal=K189,L189&lt;&gt;0),_xlpm.maxVal,""))</f>
        <v/>
      </c>
      <c r="V189" s="27">
        <f>_xlfn.LET(_xlpm.maxVal,_xlfn.MAXIFS($K:$K,$A:$A,A189),IF(AND(_xlpm.maxVal=K189,M189&lt;&gt;0),_xlpm.maxVal,""))</f>
        <v>0.003</v>
      </c>
      <c r="W189" s="27">
        <f>_xlfn.LET(_xlpm.maxVal,_xlfn.MAXIFS($K:$K,$A:$A,A189),IF(AND(_xlpm.maxVal=K189,N189&lt;&gt;0),_xlpm.maxVal,""))</f>
        <v>0.003</v>
      </c>
      <c r="X189" s="27">
        <f>_xlfn.LET(_xlpm.maxVal,_xlfn.MAXIFS($K:$K,$A:$A,A189),IF(AND(_xlpm.maxVal=K189,O189&lt;&gt;0),_xlpm.maxVal,""))</f>
        <v>0.003</v>
      </c>
      <c r="Y189" s="27">
        <f>_xlfn.LET(_xlpm.maxVal,_xlfn.MAXIFS($K:$K,$A:$A,A189),IF(AND(_xlpm.maxVal=K189,P189&lt;&gt;0),_xlpm.maxVal,""))</f>
        <v>0.003</v>
      </c>
      <c r="Z189" s="27">
        <f>_xlfn.LET(_xlpm.maxVal,_xlfn.MAXIFS($K:$K,$A:$A,A189),IF(AND(_xlpm.maxVal=K189,Q189&lt;&gt;0),_xlpm.maxVal,""))</f>
        <v>0.003</v>
      </c>
      <c r="AA189" s="27">
        <f>_xlfn.LET(_xlpm.maxVal,_xlfn.MAXIFS($K:$K,$A:$A,A189),IF(AND(_xlpm.maxVal=K189,R189&lt;&gt;0),_xlpm.maxVal,""))</f>
        <v>0.003</v>
      </c>
      <c r="AB189" s="27">
        <f>_xlfn.LET(_xlpm.maxVal,_xlfn.MAXIFS($K:$K,$A:$A,A189),IF(AND(_xlpm.maxVal=K189,S189&lt;&gt;0),_xlpm.maxVal,""))</f>
        <v>0.003</v>
      </c>
      <c r="AC189" s="27">
        <f>_xlfn.LET(_xlpm.maxVal,_xlfn.MAXIFS($K:$K,$A:$A,A189),IF(AND(_xlpm.maxVal=K189,T189&lt;&gt;0),_xlpm.maxVal,""))</f>
        <v>0.003</v>
      </c>
      <c r="AD189" s="27">
        <f>$K189*L189*负载统计!$K$3/60</f>
        <v>0</v>
      </c>
      <c r="AE189" s="27">
        <f>$K189*L189*负载统计!$K$4/60</f>
        <v>0</v>
      </c>
      <c r="AF189" s="27">
        <f>$K189*N189*负载统计!$K$5/60</f>
        <v>5e-5</v>
      </c>
      <c r="AG189" s="27">
        <f>$K189*O189*负载统计!$K$6/60</f>
        <v>0.00015</v>
      </c>
      <c r="AH189" s="27">
        <f>$K189*P189*负载统计!$K$7/60</f>
        <v>0.0003385</v>
      </c>
      <c r="AI189" s="27">
        <f>$K189*Q189*负载统计!$K$8/60</f>
        <v>0.00218</v>
      </c>
      <c r="AJ189" s="27">
        <f>$K189*R189*负载统计!$K$9/60</f>
        <v>0.0006925</v>
      </c>
      <c r="AK189" s="27">
        <f>$K189*S189*负载统计!$K$10/60</f>
        <v>2.5e-5</v>
      </c>
      <c r="AL189" s="27">
        <f>$K189*T189*负载统计!$K$11/60</f>
        <v>0.0002</v>
      </c>
    </row>
    <row r="190" spans="1:38">
      <c r="A190" s="1">
        <v>83</v>
      </c>
      <c r="B190" s="24" t="s">
        <v>1437</v>
      </c>
      <c r="C190" s="24" t="s">
        <v>1428</v>
      </c>
      <c r="D190" s="24" t="s">
        <v>1438</v>
      </c>
      <c r="E190" s="24" t="s">
        <v>705</v>
      </c>
      <c r="F190" s="24" t="s">
        <v>706</v>
      </c>
      <c r="G190" s="25">
        <f>VLOOKUP(A190,负载电气特性!A:G,7,FALSE)</f>
        <v>28</v>
      </c>
      <c r="H190" s="26" t="s">
        <v>66</v>
      </c>
      <c r="I190" s="25" t="s">
        <v>1706</v>
      </c>
      <c r="J190" s="25" t="s">
        <v>1708</v>
      </c>
      <c r="K190" s="25">
        <v>0</v>
      </c>
      <c r="L190" s="25">
        <v>1</v>
      </c>
      <c r="M190" s="25">
        <v>0</v>
      </c>
      <c r="N190" s="25">
        <v>0</v>
      </c>
      <c r="O190" s="25">
        <v>0</v>
      </c>
      <c r="P190" s="25">
        <v>0</v>
      </c>
      <c r="Q190" s="25">
        <v>0</v>
      </c>
      <c r="R190" s="25">
        <v>0</v>
      </c>
      <c r="S190" s="25">
        <v>0</v>
      </c>
      <c r="T190" s="25">
        <v>0</v>
      </c>
      <c r="U190" s="27" t="str">
        <f>_xlfn.LET(_xlpm.maxVal,_xlfn.MAXIFS($K:$K,$A:$A,A190),IF(AND(_xlpm.maxVal=K190,L190&lt;&gt;0),_xlpm.maxVal,""))</f>
        <v/>
      </c>
      <c r="V190" s="27" t="str">
        <f>_xlfn.LET(_xlpm.maxVal,_xlfn.MAXIFS($K:$K,$A:$A,A190),IF(AND(_xlpm.maxVal=K190,M190&lt;&gt;0),_xlpm.maxVal,""))</f>
        <v/>
      </c>
      <c r="W190" s="27" t="str">
        <f>_xlfn.LET(_xlpm.maxVal,_xlfn.MAXIFS($K:$K,$A:$A,A190),IF(AND(_xlpm.maxVal=K190,N190&lt;&gt;0),_xlpm.maxVal,""))</f>
        <v/>
      </c>
      <c r="X190" s="27" t="str">
        <f>_xlfn.LET(_xlpm.maxVal,_xlfn.MAXIFS($K:$K,$A:$A,A190),IF(AND(_xlpm.maxVal=K190,O190&lt;&gt;0),_xlpm.maxVal,""))</f>
        <v/>
      </c>
      <c r="Y190" s="27" t="str">
        <f>_xlfn.LET(_xlpm.maxVal,_xlfn.MAXIFS($K:$K,$A:$A,A190),IF(AND(_xlpm.maxVal=K190,P190&lt;&gt;0),_xlpm.maxVal,""))</f>
        <v/>
      </c>
      <c r="Z190" s="27" t="str">
        <f>_xlfn.LET(_xlpm.maxVal,_xlfn.MAXIFS($K:$K,$A:$A,A190),IF(AND(_xlpm.maxVal=K190,Q190&lt;&gt;0),_xlpm.maxVal,""))</f>
        <v/>
      </c>
      <c r="AA190" s="27" t="str">
        <f>_xlfn.LET(_xlpm.maxVal,_xlfn.MAXIFS($K:$K,$A:$A,A190),IF(AND(_xlpm.maxVal=K190,R190&lt;&gt;0),_xlpm.maxVal,""))</f>
        <v/>
      </c>
      <c r="AB190" s="27" t="str">
        <f>_xlfn.LET(_xlpm.maxVal,_xlfn.MAXIFS($K:$K,$A:$A,A190),IF(AND(_xlpm.maxVal=K190,S190&lt;&gt;0),_xlpm.maxVal,""))</f>
        <v/>
      </c>
      <c r="AC190" s="27" t="str">
        <f>_xlfn.LET(_xlpm.maxVal,_xlfn.MAXIFS($K:$K,$A:$A,A190),IF(AND(_xlpm.maxVal=K190,T190&lt;&gt;0),_xlpm.maxVal,""))</f>
        <v/>
      </c>
      <c r="AD190" s="27">
        <f>$K190*L190*负载统计!$K$3/60</f>
        <v>0</v>
      </c>
      <c r="AE190" s="27">
        <f>$K190*L190*负载统计!$K$4/60</f>
        <v>0</v>
      </c>
      <c r="AF190" s="27">
        <f>$K190*N190*负载统计!$K$5/60</f>
        <v>0</v>
      </c>
      <c r="AG190" s="27">
        <f>$K190*O190*负载统计!$K$6/60</f>
        <v>0</v>
      </c>
      <c r="AH190" s="27">
        <f>$K190*P190*负载统计!$K$7/60</f>
        <v>0</v>
      </c>
      <c r="AI190" s="27">
        <f>$K190*Q190*负载统计!$K$8/60</f>
        <v>0</v>
      </c>
      <c r="AJ190" s="27">
        <f>$K190*R190*负载统计!$K$9/60</f>
        <v>0</v>
      </c>
      <c r="AK190" s="27">
        <f>$K190*S190*负载统计!$K$10/60</f>
        <v>0</v>
      </c>
      <c r="AL190" s="27">
        <f>$K190*T190*负载统计!$K$11/60</f>
        <v>0</v>
      </c>
    </row>
    <row r="191" spans="1:38">
      <c r="A191" s="1">
        <v>84</v>
      </c>
      <c r="B191" s="24" t="s">
        <v>1439</v>
      </c>
      <c r="C191" s="24" t="s">
        <v>1428</v>
      </c>
      <c r="D191" s="24" t="s">
        <v>1440</v>
      </c>
      <c r="E191" s="24" t="s">
        <v>705</v>
      </c>
      <c r="F191" s="24" t="s">
        <v>708</v>
      </c>
      <c r="G191" s="25">
        <f>VLOOKUP(A191,负载电气特性!A:G,7,FALSE)</f>
        <v>28</v>
      </c>
      <c r="H191" s="26" t="s">
        <v>61</v>
      </c>
      <c r="I191" s="25" t="s">
        <v>1706</v>
      </c>
      <c r="J191" s="24" t="s">
        <v>1718</v>
      </c>
      <c r="K191" s="25">
        <v>0.003</v>
      </c>
      <c r="L191" s="25">
        <v>0</v>
      </c>
      <c r="M191" s="25">
        <v>1</v>
      </c>
      <c r="N191" s="25">
        <v>1</v>
      </c>
      <c r="O191" s="25">
        <v>1</v>
      </c>
      <c r="P191" s="25">
        <v>1</v>
      </c>
      <c r="Q191" s="25">
        <v>1</v>
      </c>
      <c r="R191" s="25">
        <v>1</v>
      </c>
      <c r="S191" s="25">
        <v>1</v>
      </c>
      <c r="T191" s="25">
        <v>1</v>
      </c>
      <c r="U191" s="27" t="str">
        <f>_xlfn.LET(_xlpm.maxVal,_xlfn.MAXIFS($K:$K,$A:$A,A191),IF(AND(_xlpm.maxVal=K191,L191&lt;&gt;0),_xlpm.maxVal,""))</f>
        <v/>
      </c>
      <c r="V191" s="27">
        <f>_xlfn.LET(_xlpm.maxVal,_xlfn.MAXIFS($K:$K,$A:$A,A191),IF(AND(_xlpm.maxVal=K191,M191&lt;&gt;0),_xlpm.maxVal,""))</f>
        <v>0.003</v>
      </c>
      <c r="W191" s="27">
        <f>_xlfn.LET(_xlpm.maxVal,_xlfn.MAXIFS($K:$K,$A:$A,A191),IF(AND(_xlpm.maxVal=K191,N191&lt;&gt;0),_xlpm.maxVal,""))</f>
        <v>0.003</v>
      </c>
      <c r="X191" s="27">
        <f>_xlfn.LET(_xlpm.maxVal,_xlfn.MAXIFS($K:$K,$A:$A,A191),IF(AND(_xlpm.maxVal=K191,O191&lt;&gt;0),_xlpm.maxVal,""))</f>
        <v>0.003</v>
      </c>
      <c r="Y191" s="27">
        <f>_xlfn.LET(_xlpm.maxVal,_xlfn.MAXIFS($K:$K,$A:$A,A191),IF(AND(_xlpm.maxVal=K191,P191&lt;&gt;0),_xlpm.maxVal,""))</f>
        <v>0.003</v>
      </c>
      <c r="Z191" s="27">
        <f>_xlfn.LET(_xlpm.maxVal,_xlfn.MAXIFS($K:$K,$A:$A,A191),IF(AND(_xlpm.maxVal=K191,Q191&lt;&gt;0),_xlpm.maxVal,""))</f>
        <v>0.003</v>
      </c>
      <c r="AA191" s="27">
        <f>_xlfn.LET(_xlpm.maxVal,_xlfn.MAXIFS($K:$K,$A:$A,A191),IF(AND(_xlpm.maxVal=K191,R191&lt;&gt;0),_xlpm.maxVal,""))</f>
        <v>0.003</v>
      </c>
      <c r="AB191" s="27">
        <f>_xlfn.LET(_xlpm.maxVal,_xlfn.MAXIFS($K:$K,$A:$A,A191),IF(AND(_xlpm.maxVal=K191,S191&lt;&gt;0),_xlpm.maxVal,""))</f>
        <v>0.003</v>
      </c>
      <c r="AC191" s="27">
        <f>_xlfn.LET(_xlpm.maxVal,_xlfn.MAXIFS($K:$K,$A:$A,A191),IF(AND(_xlpm.maxVal=K191,T191&lt;&gt;0),_xlpm.maxVal,""))</f>
        <v>0.003</v>
      </c>
      <c r="AD191" s="27">
        <f>$K191*L191*负载统计!$K$3/60</f>
        <v>0</v>
      </c>
      <c r="AE191" s="27">
        <f>$K191*L191*负载统计!$K$4/60</f>
        <v>0</v>
      </c>
      <c r="AF191" s="27">
        <f>$K191*N191*负载统计!$K$5/60</f>
        <v>5e-5</v>
      </c>
      <c r="AG191" s="27">
        <f>$K191*O191*负载统计!$K$6/60</f>
        <v>0.00015</v>
      </c>
      <c r="AH191" s="27">
        <f>$K191*P191*负载统计!$K$7/60</f>
        <v>0.0003385</v>
      </c>
      <c r="AI191" s="27">
        <f>$K191*Q191*负载统计!$K$8/60</f>
        <v>0.00218</v>
      </c>
      <c r="AJ191" s="27">
        <f>$K191*R191*负载统计!$K$9/60</f>
        <v>0.0006925</v>
      </c>
      <c r="AK191" s="27">
        <f>$K191*S191*负载统计!$K$10/60</f>
        <v>2.5e-5</v>
      </c>
      <c r="AL191" s="27">
        <f>$K191*T191*负载统计!$K$11/60</f>
        <v>0.0002</v>
      </c>
    </row>
    <row r="192" spans="1:38">
      <c r="A192" s="1">
        <v>84</v>
      </c>
      <c r="B192" s="24" t="s">
        <v>1439</v>
      </c>
      <c r="C192" s="24" t="s">
        <v>1428</v>
      </c>
      <c r="D192" s="24" t="s">
        <v>1440</v>
      </c>
      <c r="E192" s="24" t="s">
        <v>705</v>
      </c>
      <c r="F192" s="24" t="s">
        <v>708</v>
      </c>
      <c r="G192" s="25">
        <f>VLOOKUP(A192,负载电气特性!A:G,7,FALSE)</f>
        <v>28</v>
      </c>
      <c r="H192" s="26" t="s">
        <v>61</v>
      </c>
      <c r="I192" s="25" t="s">
        <v>1706</v>
      </c>
      <c r="J192" s="25" t="s">
        <v>1708</v>
      </c>
      <c r="K192" s="25">
        <v>0</v>
      </c>
      <c r="L192" s="25">
        <v>1</v>
      </c>
      <c r="M192" s="25">
        <v>0</v>
      </c>
      <c r="N192" s="25">
        <v>0</v>
      </c>
      <c r="O192" s="25">
        <v>0</v>
      </c>
      <c r="P192" s="25">
        <v>0</v>
      </c>
      <c r="Q192" s="25">
        <v>0</v>
      </c>
      <c r="R192" s="25">
        <v>0</v>
      </c>
      <c r="S192" s="25">
        <v>0</v>
      </c>
      <c r="T192" s="25">
        <v>0</v>
      </c>
      <c r="U192" s="27" t="str">
        <f>_xlfn.LET(_xlpm.maxVal,_xlfn.MAXIFS($K:$K,$A:$A,A192),IF(AND(_xlpm.maxVal=K192,L192&lt;&gt;0),_xlpm.maxVal,""))</f>
        <v/>
      </c>
      <c r="V192" s="27" t="str">
        <f>_xlfn.LET(_xlpm.maxVal,_xlfn.MAXIFS($K:$K,$A:$A,A192),IF(AND(_xlpm.maxVal=K192,M192&lt;&gt;0),_xlpm.maxVal,""))</f>
        <v/>
      </c>
      <c r="W192" s="27" t="str">
        <f>_xlfn.LET(_xlpm.maxVal,_xlfn.MAXIFS($K:$K,$A:$A,A192),IF(AND(_xlpm.maxVal=K192,N192&lt;&gt;0),_xlpm.maxVal,""))</f>
        <v/>
      </c>
      <c r="X192" s="27" t="str">
        <f>_xlfn.LET(_xlpm.maxVal,_xlfn.MAXIFS($K:$K,$A:$A,A192),IF(AND(_xlpm.maxVal=K192,O192&lt;&gt;0),_xlpm.maxVal,""))</f>
        <v/>
      </c>
      <c r="Y192" s="27" t="str">
        <f>_xlfn.LET(_xlpm.maxVal,_xlfn.MAXIFS($K:$K,$A:$A,A192),IF(AND(_xlpm.maxVal=K192,P192&lt;&gt;0),_xlpm.maxVal,""))</f>
        <v/>
      </c>
      <c r="Z192" s="27" t="str">
        <f>_xlfn.LET(_xlpm.maxVal,_xlfn.MAXIFS($K:$K,$A:$A,A192),IF(AND(_xlpm.maxVal=K192,Q192&lt;&gt;0),_xlpm.maxVal,""))</f>
        <v/>
      </c>
      <c r="AA192" s="27" t="str">
        <f>_xlfn.LET(_xlpm.maxVal,_xlfn.MAXIFS($K:$K,$A:$A,A192),IF(AND(_xlpm.maxVal=K192,R192&lt;&gt;0),_xlpm.maxVal,""))</f>
        <v/>
      </c>
      <c r="AB192" s="27" t="str">
        <f>_xlfn.LET(_xlpm.maxVal,_xlfn.MAXIFS($K:$K,$A:$A,A192),IF(AND(_xlpm.maxVal=K192,S192&lt;&gt;0),_xlpm.maxVal,""))</f>
        <v/>
      </c>
      <c r="AC192" s="27" t="str">
        <f>_xlfn.LET(_xlpm.maxVal,_xlfn.MAXIFS($K:$K,$A:$A,A192),IF(AND(_xlpm.maxVal=K192,T192&lt;&gt;0),_xlpm.maxVal,""))</f>
        <v/>
      </c>
      <c r="AD192" s="27">
        <f>$K192*L192*负载统计!$K$3/60</f>
        <v>0</v>
      </c>
      <c r="AE192" s="27">
        <f>$K192*L192*负载统计!$K$4/60</f>
        <v>0</v>
      </c>
      <c r="AF192" s="27">
        <f>$K192*N192*负载统计!$K$5/60</f>
        <v>0</v>
      </c>
      <c r="AG192" s="27">
        <f>$K192*O192*负载统计!$K$6/60</f>
        <v>0</v>
      </c>
      <c r="AH192" s="27">
        <f>$K192*P192*负载统计!$K$7/60</f>
        <v>0</v>
      </c>
      <c r="AI192" s="27">
        <f>$K192*Q192*负载统计!$K$8/60</f>
        <v>0</v>
      </c>
      <c r="AJ192" s="27">
        <f>$K192*R192*负载统计!$K$9/60</f>
        <v>0</v>
      </c>
      <c r="AK192" s="27">
        <f>$K192*S192*负载统计!$K$10/60</f>
        <v>0</v>
      </c>
      <c r="AL192" s="27">
        <f>$K192*T192*负载统计!$K$11/60</f>
        <v>0</v>
      </c>
    </row>
    <row r="193" spans="1:38">
      <c r="A193" s="1">
        <v>85</v>
      </c>
      <c r="B193" s="24" t="s">
        <v>1441</v>
      </c>
      <c r="C193" s="24" t="s">
        <v>1428</v>
      </c>
      <c r="D193" s="24" t="s">
        <v>709</v>
      </c>
      <c r="E193" s="24" t="s">
        <v>710</v>
      </c>
      <c r="F193" s="24" t="s">
        <v>711</v>
      </c>
      <c r="G193" s="25">
        <f>VLOOKUP(A193,负载电气特性!A:G,7,FALSE)</f>
        <v>28</v>
      </c>
      <c r="H193" s="26" t="s">
        <v>66</v>
      </c>
      <c r="I193" s="25" t="s">
        <v>1706</v>
      </c>
      <c r="J193" s="24" t="s">
        <v>1707</v>
      </c>
      <c r="K193" s="25">
        <v>0.03</v>
      </c>
      <c r="L193" s="25">
        <v>0</v>
      </c>
      <c r="M193" s="25">
        <v>1</v>
      </c>
      <c r="N193" s="25">
        <v>1</v>
      </c>
      <c r="O193" s="25">
        <v>1</v>
      </c>
      <c r="P193" s="25">
        <v>1</v>
      </c>
      <c r="Q193" s="25">
        <v>1</v>
      </c>
      <c r="R193" s="25">
        <v>1</v>
      </c>
      <c r="S193" s="25">
        <v>1</v>
      </c>
      <c r="T193" s="25">
        <v>1</v>
      </c>
      <c r="U193" s="27" t="str">
        <f>_xlfn.LET(_xlpm.maxVal,_xlfn.MAXIFS($K:$K,$A:$A,A193),IF(AND(_xlpm.maxVal=K193,L193&lt;&gt;0),_xlpm.maxVal,""))</f>
        <v/>
      </c>
      <c r="V193" s="27">
        <f>_xlfn.LET(_xlpm.maxVal,_xlfn.MAXIFS($K:$K,$A:$A,A193),IF(AND(_xlpm.maxVal=K193,M193&lt;&gt;0),_xlpm.maxVal,""))</f>
        <v>0.03</v>
      </c>
      <c r="W193" s="27">
        <f>_xlfn.LET(_xlpm.maxVal,_xlfn.MAXIFS($K:$K,$A:$A,A193),IF(AND(_xlpm.maxVal=K193,N193&lt;&gt;0),_xlpm.maxVal,""))</f>
        <v>0.03</v>
      </c>
      <c r="X193" s="27">
        <f>_xlfn.LET(_xlpm.maxVal,_xlfn.MAXIFS($K:$K,$A:$A,A193),IF(AND(_xlpm.maxVal=K193,O193&lt;&gt;0),_xlpm.maxVal,""))</f>
        <v>0.03</v>
      </c>
      <c r="Y193" s="27">
        <f>_xlfn.LET(_xlpm.maxVal,_xlfn.MAXIFS($K:$K,$A:$A,A193),IF(AND(_xlpm.maxVal=K193,P193&lt;&gt;0),_xlpm.maxVal,""))</f>
        <v>0.03</v>
      </c>
      <c r="Z193" s="27">
        <f>_xlfn.LET(_xlpm.maxVal,_xlfn.MAXIFS($K:$K,$A:$A,A193),IF(AND(_xlpm.maxVal=K193,Q193&lt;&gt;0),_xlpm.maxVal,""))</f>
        <v>0.03</v>
      </c>
      <c r="AA193" s="27">
        <f>_xlfn.LET(_xlpm.maxVal,_xlfn.MAXIFS($K:$K,$A:$A,A193),IF(AND(_xlpm.maxVal=K193,R193&lt;&gt;0),_xlpm.maxVal,""))</f>
        <v>0.03</v>
      </c>
      <c r="AB193" s="27">
        <f>_xlfn.LET(_xlpm.maxVal,_xlfn.MAXIFS($K:$K,$A:$A,A193),IF(AND(_xlpm.maxVal=K193,S193&lt;&gt;0),_xlpm.maxVal,""))</f>
        <v>0.03</v>
      </c>
      <c r="AC193" s="27">
        <f>_xlfn.LET(_xlpm.maxVal,_xlfn.MAXIFS($K:$K,$A:$A,A193),IF(AND(_xlpm.maxVal=K193,T193&lt;&gt;0),_xlpm.maxVal,""))</f>
        <v>0.03</v>
      </c>
      <c r="AD193" s="27">
        <f>$K193*L193*负载统计!$K$3/60</f>
        <v>0</v>
      </c>
      <c r="AE193" s="27">
        <f>$K193*L193*负载统计!$K$4/60</f>
        <v>0</v>
      </c>
      <c r="AF193" s="27">
        <f>$K193*N193*负载统计!$K$5/60</f>
        <v>0.0005</v>
      </c>
      <c r="AG193" s="27">
        <f>$K193*O193*负载统计!$K$6/60</f>
        <v>0.0015</v>
      </c>
      <c r="AH193" s="27">
        <f>$K193*P193*负载统计!$K$7/60</f>
        <v>0.003385</v>
      </c>
      <c r="AI193" s="27">
        <f>$K193*Q193*负载统计!$K$8/60</f>
        <v>0.0218</v>
      </c>
      <c r="AJ193" s="27">
        <f>$K193*R193*负载统计!$K$9/60</f>
        <v>0.006925</v>
      </c>
      <c r="AK193" s="27">
        <f>$K193*S193*负载统计!$K$10/60</f>
        <v>0.00025</v>
      </c>
      <c r="AL193" s="27">
        <f>$K193*T193*负载统计!$K$11/60</f>
        <v>0.002</v>
      </c>
    </row>
    <row r="194" spans="1:38">
      <c r="A194" s="1">
        <v>85</v>
      </c>
      <c r="B194" s="24" t="s">
        <v>1441</v>
      </c>
      <c r="C194" s="24" t="s">
        <v>1428</v>
      </c>
      <c r="D194" s="24" t="s">
        <v>709</v>
      </c>
      <c r="E194" s="24" t="s">
        <v>710</v>
      </c>
      <c r="F194" s="24" t="s">
        <v>711</v>
      </c>
      <c r="G194" s="25">
        <f>VLOOKUP(A194,负载电气特性!A:G,7,FALSE)</f>
        <v>28</v>
      </c>
      <c r="H194" s="26" t="s">
        <v>66</v>
      </c>
      <c r="I194" s="25" t="s">
        <v>1706</v>
      </c>
      <c r="J194" s="25" t="s">
        <v>1708</v>
      </c>
      <c r="K194" s="25">
        <v>0</v>
      </c>
      <c r="L194" s="25">
        <v>1</v>
      </c>
      <c r="M194" s="25">
        <v>0</v>
      </c>
      <c r="N194" s="25">
        <v>0</v>
      </c>
      <c r="O194" s="25">
        <v>0</v>
      </c>
      <c r="P194" s="25">
        <v>0</v>
      </c>
      <c r="Q194" s="25">
        <v>0</v>
      </c>
      <c r="R194" s="25">
        <v>0</v>
      </c>
      <c r="S194" s="25">
        <v>0</v>
      </c>
      <c r="T194" s="25">
        <v>0</v>
      </c>
      <c r="U194" s="27" t="str">
        <f>_xlfn.LET(_xlpm.maxVal,_xlfn.MAXIFS($K:$K,$A:$A,A194),IF(AND(_xlpm.maxVal=K194,L194&lt;&gt;0),_xlpm.maxVal,""))</f>
        <v/>
      </c>
      <c r="V194" s="27" t="str">
        <f>_xlfn.LET(_xlpm.maxVal,_xlfn.MAXIFS($K:$K,$A:$A,A194),IF(AND(_xlpm.maxVal=K194,M194&lt;&gt;0),_xlpm.maxVal,""))</f>
        <v/>
      </c>
      <c r="W194" s="27" t="str">
        <f>_xlfn.LET(_xlpm.maxVal,_xlfn.MAXIFS($K:$K,$A:$A,A194),IF(AND(_xlpm.maxVal=K194,N194&lt;&gt;0),_xlpm.maxVal,""))</f>
        <v/>
      </c>
      <c r="X194" s="27" t="str">
        <f>_xlfn.LET(_xlpm.maxVal,_xlfn.MAXIFS($K:$K,$A:$A,A194),IF(AND(_xlpm.maxVal=K194,O194&lt;&gt;0),_xlpm.maxVal,""))</f>
        <v/>
      </c>
      <c r="Y194" s="27" t="str">
        <f>_xlfn.LET(_xlpm.maxVal,_xlfn.MAXIFS($K:$K,$A:$A,A194),IF(AND(_xlpm.maxVal=K194,P194&lt;&gt;0),_xlpm.maxVal,""))</f>
        <v/>
      </c>
      <c r="Z194" s="27" t="str">
        <f>_xlfn.LET(_xlpm.maxVal,_xlfn.MAXIFS($K:$K,$A:$A,A194),IF(AND(_xlpm.maxVal=K194,Q194&lt;&gt;0),_xlpm.maxVal,""))</f>
        <v/>
      </c>
      <c r="AA194" s="27" t="str">
        <f>_xlfn.LET(_xlpm.maxVal,_xlfn.MAXIFS($K:$K,$A:$A,A194),IF(AND(_xlpm.maxVal=K194,R194&lt;&gt;0),_xlpm.maxVal,""))</f>
        <v/>
      </c>
      <c r="AB194" s="27" t="str">
        <f>_xlfn.LET(_xlpm.maxVal,_xlfn.MAXIFS($K:$K,$A:$A,A194),IF(AND(_xlpm.maxVal=K194,S194&lt;&gt;0),_xlpm.maxVal,""))</f>
        <v/>
      </c>
      <c r="AC194" s="27" t="str">
        <f>_xlfn.LET(_xlpm.maxVal,_xlfn.MAXIFS($K:$K,$A:$A,A194),IF(AND(_xlpm.maxVal=K194,T194&lt;&gt;0),_xlpm.maxVal,""))</f>
        <v/>
      </c>
      <c r="AD194" s="27">
        <f>$K194*L194*负载统计!$K$3/60</f>
        <v>0</v>
      </c>
      <c r="AE194" s="27">
        <f>$K194*L194*负载统计!$K$4/60</f>
        <v>0</v>
      </c>
      <c r="AF194" s="27">
        <f>$K194*N194*负载统计!$K$5/60</f>
        <v>0</v>
      </c>
      <c r="AG194" s="27">
        <f>$K194*O194*负载统计!$K$6/60</f>
        <v>0</v>
      </c>
      <c r="AH194" s="27">
        <f>$K194*P194*负载统计!$K$7/60</f>
        <v>0</v>
      </c>
      <c r="AI194" s="27">
        <f>$K194*Q194*负载统计!$K$8/60</f>
        <v>0</v>
      </c>
      <c r="AJ194" s="27">
        <f>$K194*R194*负载统计!$K$9/60</f>
        <v>0</v>
      </c>
      <c r="AK194" s="27">
        <f>$K194*S194*负载统计!$K$10/60</f>
        <v>0</v>
      </c>
      <c r="AL194" s="27">
        <f>$K194*T194*负载统计!$K$11/60</f>
        <v>0</v>
      </c>
    </row>
    <row r="195" spans="1:38">
      <c r="A195" s="1">
        <v>86</v>
      </c>
      <c r="B195" s="24" t="s">
        <v>1442</v>
      </c>
      <c r="C195" s="24" t="s">
        <v>1428</v>
      </c>
      <c r="D195" s="24" t="s">
        <v>1443</v>
      </c>
      <c r="E195" s="24" t="s">
        <v>714</v>
      </c>
      <c r="F195" s="24" t="s">
        <v>715</v>
      </c>
      <c r="G195" s="25">
        <f>VLOOKUP(A195,负载电气特性!A:G,7,FALSE)</f>
        <v>28</v>
      </c>
      <c r="H195" s="26" t="s">
        <v>61</v>
      </c>
      <c r="I195" s="25" t="s">
        <v>1706</v>
      </c>
      <c r="J195" s="24" t="s">
        <v>1718</v>
      </c>
      <c r="K195" s="25">
        <v>0.004</v>
      </c>
      <c r="L195" s="25">
        <v>0</v>
      </c>
      <c r="M195" s="25">
        <v>1</v>
      </c>
      <c r="N195" s="25">
        <v>1</v>
      </c>
      <c r="O195" s="25">
        <v>1</v>
      </c>
      <c r="P195" s="25">
        <v>1</v>
      </c>
      <c r="Q195" s="25">
        <v>1</v>
      </c>
      <c r="R195" s="25">
        <v>1</v>
      </c>
      <c r="S195" s="25">
        <v>1</v>
      </c>
      <c r="T195" s="25">
        <v>1</v>
      </c>
      <c r="U195" s="27" t="str">
        <f>_xlfn.LET(_xlpm.maxVal,_xlfn.MAXIFS($K:$K,$A:$A,A195),IF(AND(_xlpm.maxVal=K195,L195&lt;&gt;0),_xlpm.maxVal,""))</f>
        <v/>
      </c>
      <c r="V195" s="27">
        <f>_xlfn.LET(_xlpm.maxVal,_xlfn.MAXIFS($K:$K,$A:$A,A195),IF(AND(_xlpm.maxVal=K195,M195&lt;&gt;0),_xlpm.maxVal,""))</f>
        <v>0.004</v>
      </c>
      <c r="W195" s="27">
        <f>_xlfn.LET(_xlpm.maxVal,_xlfn.MAXIFS($K:$K,$A:$A,A195),IF(AND(_xlpm.maxVal=K195,N195&lt;&gt;0),_xlpm.maxVal,""))</f>
        <v>0.004</v>
      </c>
      <c r="X195" s="27">
        <f>_xlfn.LET(_xlpm.maxVal,_xlfn.MAXIFS($K:$K,$A:$A,A195),IF(AND(_xlpm.maxVal=K195,O195&lt;&gt;0),_xlpm.maxVal,""))</f>
        <v>0.004</v>
      </c>
      <c r="Y195" s="27">
        <f>_xlfn.LET(_xlpm.maxVal,_xlfn.MAXIFS($K:$K,$A:$A,A195),IF(AND(_xlpm.maxVal=K195,P195&lt;&gt;0),_xlpm.maxVal,""))</f>
        <v>0.004</v>
      </c>
      <c r="Z195" s="27">
        <f>_xlfn.LET(_xlpm.maxVal,_xlfn.MAXIFS($K:$K,$A:$A,A195),IF(AND(_xlpm.maxVal=K195,Q195&lt;&gt;0),_xlpm.maxVal,""))</f>
        <v>0.004</v>
      </c>
      <c r="AA195" s="27">
        <f>_xlfn.LET(_xlpm.maxVal,_xlfn.MAXIFS($K:$K,$A:$A,A195),IF(AND(_xlpm.maxVal=K195,R195&lt;&gt;0),_xlpm.maxVal,""))</f>
        <v>0.004</v>
      </c>
      <c r="AB195" s="27">
        <f>_xlfn.LET(_xlpm.maxVal,_xlfn.MAXIFS($K:$K,$A:$A,A195),IF(AND(_xlpm.maxVal=K195,S195&lt;&gt;0),_xlpm.maxVal,""))</f>
        <v>0.004</v>
      </c>
      <c r="AC195" s="27">
        <f>_xlfn.LET(_xlpm.maxVal,_xlfn.MAXIFS($K:$K,$A:$A,A195),IF(AND(_xlpm.maxVal=K195,T195&lt;&gt;0),_xlpm.maxVal,""))</f>
        <v>0.004</v>
      </c>
      <c r="AD195" s="27">
        <f>$K195*L195*负载统计!$K$3/60</f>
        <v>0</v>
      </c>
      <c r="AE195" s="27">
        <f>$K195*L195*负载统计!$K$4/60</f>
        <v>0</v>
      </c>
      <c r="AF195" s="27">
        <f>$K195*N195*负载统计!$K$5/60</f>
        <v>6.66666666666667e-5</v>
      </c>
      <c r="AG195" s="27">
        <f>$K195*O195*负载统计!$K$6/60</f>
        <v>0.0002</v>
      </c>
      <c r="AH195" s="27">
        <f>$K195*P195*负载统计!$K$7/60</f>
        <v>0.000451333333333333</v>
      </c>
      <c r="AI195" s="27">
        <f>$K195*Q195*负载统计!$K$8/60</f>
        <v>0.00290666666666667</v>
      </c>
      <c r="AJ195" s="27">
        <f>$K195*R195*负载统计!$K$9/60</f>
        <v>0.000923333333333333</v>
      </c>
      <c r="AK195" s="27">
        <f>$K195*S195*负载统计!$K$10/60</f>
        <v>3.33333333333333e-5</v>
      </c>
      <c r="AL195" s="27">
        <f>$K195*T195*负载统计!$K$11/60</f>
        <v>0.000266666666666667</v>
      </c>
    </row>
    <row r="196" spans="1:38">
      <c r="A196" s="1">
        <v>86</v>
      </c>
      <c r="B196" s="24" t="s">
        <v>1442</v>
      </c>
      <c r="C196" s="24" t="s">
        <v>1428</v>
      </c>
      <c r="D196" s="24" t="s">
        <v>1443</v>
      </c>
      <c r="E196" s="24" t="s">
        <v>714</v>
      </c>
      <c r="F196" s="24" t="s">
        <v>715</v>
      </c>
      <c r="G196" s="25">
        <f>VLOOKUP(A196,负载电气特性!A:G,7,FALSE)</f>
        <v>28</v>
      </c>
      <c r="H196" s="26" t="s">
        <v>61</v>
      </c>
      <c r="I196" s="25" t="s">
        <v>1706</v>
      </c>
      <c r="J196" s="25" t="s">
        <v>1708</v>
      </c>
      <c r="K196" s="25">
        <v>0</v>
      </c>
      <c r="L196" s="25">
        <v>1</v>
      </c>
      <c r="M196" s="25">
        <v>0</v>
      </c>
      <c r="N196" s="25">
        <v>0</v>
      </c>
      <c r="O196" s="25">
        <v>0</v>
      </c>
      <c r="P196" s="25">
        <v>0</v>
      </c>
      <c r="Q196" s="25">
        <v>0</v>
      </c>
      <c r="R196" s="25">
        <v>0</v>
      </c>
      <c r="S196" s="25">
        <v>0</v>
      </c>
      <c r="T196" s="25">
        <v>0</v>
      </c>
      <c r="U196" s="27" t="str">
        <f>_xlfn.LET(_xlpm.maxVal,_xlfn.MAXIFS($K:$K,$A:$A,A196),IF(AND(_xlpm.maxVal=K196,L196&lt;&gt;0),_xlpm.maxVal,""))</f>
        <v/>
      </c>
      <c r="V196" s="27" t="str">
        <f>_xlfn.LET(_xlpm.maxVal,_xlfn.MAXIFS($K:$K,$A:$A,A196),IF(AND(_xlpm.maxVal=K196,M196&lt;&gt;0),_xlpm.maxVal,""))</f>
        <v/>
      </c>
      <c r="W196" s="27" t="str">
        <f>_xlfn.LET(_xlpm.maxVal,_xlfn.MAXIFS($K:$K,$A:$A,A196),IF(AND(_xlpm.maxVal=K196,N196&lt;&gt;0),_xlpm.maxVal,""))</f>
        <v/>
      </c>
      <c r="X196" s="27" t="str">
        <f>_xlfn.LET(_xlpm.maxVal,_xlfn.MAXIFS($K:$K,$A:$A,A196),IF(AND(_xlpm.maxVal=K196,O196&lt;&gt;0),_xlpm.maxVal,""))</f>
        <v/>
      </c>
      <c r="Y196" s="27" t="str">
        <f>_xlfn.LET(_xlpm.maxVal,_xlfn.MAXIFS($K:$K,$A:$A,A196),IF(AND(_xlpm.maxVal=K196,P196&lt;&gt;0),_xlpm.maxVal,""))</f>
        <v/>
      </c>
      <c r="Z196" s="27" t="str">
        <f>_xlfn.LET(_xlpm.maxVal,_xlfn.MAXIFS($K:$K,$A:$A,A196),IF(AND(_xlpm.maxVal=K196,Q196&lt;&gt;0),_xlpm.maxVal,""))</f>
        <v/>
      </c>
      <c r="AA196" s="27" t="str">
        <f>_xlfn.LET(_xlpm.maxVal,_xlfn.MAXIFS($K:$K,$A:$A,A196),IF(AND(_xlpm.maxVal=K196,R196&lt;&gt;0),_xlpm.maxVal,""))</f>
        <v/>
      </c>
      <c r="AB196" s="27" t="str">
        <f>_xlfn.LET(_xlpm.maxVal,_xlfn.MAXIFS($K:$K,$A:$A,A196),IF(AND(_xlpm.maxVal=K196,S196&lt;&gt;0),_xlpm.maxVal,""))</f>
        <v/>
      </c>
      <c r="AC196" s="27" t="str">
        <f>_xlfn.LET(_xlpm.maxVal,_xlfn.MAXIFS($K:$K,$A:$A,A196),IF(AND(_xlpm.maxVal=K196,T196&lt;&gt;0),_xlpm.maxVal,""))</f>
        <v/>
      </c>
      <c r="AD196" s="27">
        <f>$K196*L196*负载统计!$K$3/60</f>
        <v>0</v>
      </c>
      <c r="AE196" s="27">
        <f>$K196*L196*负载统计!$K$4/60</f>
        <v>0</v>
      </c>
      <c r="AF196" s="27">
        <f>$K196*N196*负载统计!$K$5/60</f>
        <v>0</v>
      </c>
      <c r="AG196" s="27">
        <f>$K196*O196*负载统计!$K$6/60</f>
        <v>0</v>
      </c>
      <c r="AH196" s="27">
        <f>$K196*P196*负载统计!$K$7/60</f>
        <v>0</v>
      </c>
      <c r="AI196" s="27">
        <f>$K196*Q196*负载统计!$K$8/60</f>
        <v>0</v>
      </c>
      <c r="AJ196" s="27">
        <f>$K196*R196*负载统计!$K$9/60</f>
        <v>0</v>
      </c>
      <c r="AK196" s="27">
        <f>$K196*S196*负载统计!$K$10/60</f>
        <v>0</v>
      </c>
      <c r="AL196" s="27">
        <f>$K196*T196*负载统计!$K$11/60</f>
        <v>0</v>
      </c>
    </row>
    <row r="197" spans="1:38">
      <c r="A197" s="1">
        <v>87</v>
      </c>
      <c r="B197" s="24" t="s">
        <v>1444</v>
      </c>
      <c r="C197" s="24" t="s">
        <v>1428</v>
      </c>
      <c r="D197" s="24" t="s">
        <v>1445</v>
      </c>
      <c r="E197" s="24" t="s">
        <v>714</v>
      </c>
      <c r="F197" s="24" t="s">
        <v>717</v>
      </c>
      <c r="G197" s="25">
        <f>VLOOKUP(A197,负载电气特性!A:G,7,FALSE)</f>
        <v>28</v>
      </c>
      <c r="H197" s="26" t="s">
        <v>61</v>
      </c>
      <c r="I197" s="25" t="s">
        <v>1706</v>
      </c>
      <c r="J197" s="24" t="s">
        <v>1718</v>
      </c>
      <c r="K197" s="25">
        <v>0.004</v>
      </c>
      <c r="L197" s="25">
        <v>0</v>
      </c>
      <c r="M197" s="25">
        <v>1</v>
      </c>
      <c r="N197" s="25">
        <v>1</v>
      </c>
      <c r="O197" s="25">
        <v>1</v>
      </c>
      <c r="P197" s="25">
        <v>1</v>
      </c>
      <c r="Q197" s="25">
        <v>1</v>
      </c>
      <c r="R197" s="25">
        <v>1</v>
      </c>
      <c r="S197" s="25">
        <v>1</v>
      </c>
      <c r="T197" s="25">
        <v>1</v>
      </c>
      <c r="U197" s="27" t="str">
        <f>_xlfn.LET(_xlpm.maxVal,_xlfn.MAXIFS($K:$K,$A:$A,A197),IF(AND(_xlpm.maxVal=K197,L197&lt;&gt;0),_xlpm.maxVal,""))</f>
        <v/>
      </c>
      <c r="V197" s="27">
        <f>_xlfn.LET(_xlpm.maxVal,_xlfn.MAXIFS($K:$K,$A:$A,A197),IF(AND(_xlpm.maxVal=K197,M197&lt;&gt;0),_xlpm.maxVal,""))</f>
        <v>0.004</v>
      </c>
      <c r="W197" s="27">
        <f>_xlfn.LET(_xlpm.maxVal,_xlfn.MAXIFS($K:$K,$A:$A,A197),IF(AND(_xlpm.maxVal=K197,N197&lt;&gt;0),_xlpm.maxVal,""))</f>
        <v>0.004</v>
      </c>
      <c r="X197" s="27">
        <f>_xlfn.LET(_xlpm.maxVal,_xlfn.MAXIFS($K:$K,$A:$A,A197),IF(AND(_xlpm.maxVal=K197,O197&lt;&gt;0),_xlpm.maxVal,""))</f>
        <v>0.004</v>
      </c>
      <c r="Y197" s="27">
        <f>_xlfn.LET(_xlpm.maxVal,_xlfn.MAXIFS($K:$K,$A:$A,A197),IF(AND(_xlpm.maxVal=K197,P197&lt;&gt;0),_xlpm.maxVal,""))</f>
        <v>0.004</v>
      </c>
      <c r="Z197" s="27">
        <f>_xlfn.LET(_xlpm.maxVal,_xlfn.MAXIFS($K:$K,$A:$A,A197),IF(AND(_xlpm.maxVal=K197,Q197&lt;&gt;0),_xlpm.maxVal,""))</f>
        <v>0.004</v>
      </c>
      <c r="AA197" s="27">
        <f>_xlfn.LET(_xlpm.maxVal,_xlfn.MAXIFS($K:$K,$A:$A,A197),IF(AND(_xlpm.maxVal=K197,R197&lt;&gt;0),_xlpm.maxVal,""))</f>
        <v>0.004</v>
      </c>
      <c r="AB197" s="27">
        <f>_xlfn.LET(_xlpm.maxVal,_xlfn.MAXIFS($K:$K,$A:$A,A197),IF(AND(_xlpm.maxVal=K197,S197&lt;&gt;0),_xlpm.maxVal,""))</f>
        <v>0.004</v>
      </c>
      <c r="AC197" s="27">
        <f>_xlfn.LET(_xlpm.maxVal,_xlfn.MAXIFS($K:$K,$A:$A,A197),IF(AND(_xlpm.maxVal=K197,T197&lt;&gt;0),_xlpm.maxVal,""))</f>
        <v>0.004</v>
      </c>
      <c r="AD197" s="27">
        <f>$K197*L197*负载统计!$K$3/60</f>
        <v>0</v>
      </c>
      <c r="AE197" s="27">
        <f>$K197*L197*负载统计!$K$4/60</f>
        <v>0</v>
      </c>
      <c r="AF197" s="27">
        <f>$K197*N197*负载统计!$K$5/60</f>
        <v>6.66666666666667e-5</v>
      </c>
      <c r="AG197" s="27">
        <f>$K197*O197*负载统计!$K$6/60</f>
        <v>0.0002</v>
      </c>
      <c r="AH197" s="27">
        <f>$K197*P197*负载统计!$K$7/60</f>
        <v>0.000451333333333333</v>
      </c>
      <c r="AI197" s="27">
        <f>$K197*Q197*负载统计!$K$8/60</f>
        <v>0.00290666666666667</v>
      </c>
      <c r="AJ197" s="27">
        <f>$K197*R197*负载统计!$K$9/60</f>
        <v>0.000923333333333333</v>
      </c>
      <c r="AK197" s="27">
        <f>$K197*S197*负载统计!$K$10/60</f>
        <v>3.33333333333333e-5</v>
      </c>
      <c r="AL197" s="27">
        <f>$K197*T197*负载统计!$K$11/60</f>
        <v>0.000266666666666667</v>
      </c>
    </row>
    <row r="198" spans="1:38">
      <c r="A198" s="1">
        <v>87</v>
      </c>
      <c r="B198" s="24" t="s">
        <v>1444</v>
      </c>
      <c r="C198" s="24" t="s">
        <v>1428</v>
      </c>
      <c r="D198" s="24" t="s">
        <v>1445</v>
      </c>
      <c r="E198" s="24" t="s">
        <v>714</v>
      </c>
      <c r="F198" s="24" t="s">
        <v>717</v>
      </c>
      <c r="G198" s="25">
        <f>VLOOKUP(A198,负载电气特性!A:G,7,FALSE)</f>
        <v>28</v>
      </c>
      <c r="H198" s="26" t="s">
        <v>61</v>
      </c>
      <c r="I198" s="25" t="s">
        <v>1706</v>
      </c>
      <c r="J198" s="25" t="s">
        <v>1708</v>
      </c>
      <c r="K198" s="25">
        <v>0</v>
      </c>
      <c r="L198" s="25">
        <v>1</v>
      </c>
      <c r="M198" s="25">
        <v>0</v>
      </c>
      <c r="N198" s="25">
        <v>0</v>
      </c>
      <c r="O198" s="25">
        <v>0</v>
      </c>
      <c r="P198" s="25">
        <v>0</v>
      </c>
      <c r="Q198" s="25">
        <v>0</v>
      </c>
      <c r="R198" s="25">
        <v>0</v>
      </c>
      <c r="S198" s="25">
        <v>0</v>
      </c>
      <c r="T198" s="25">
        <v>0</v>
      </c>
      <c r="U198" s="27" t="str">
        <f>_xlfn.LET(_xlpm.maxVal,_xlfn.MAXIFS($K:$K,$A:$A,A198),IF(AND(_xlpm.maxVal=K198,L198&lt;&gt;0),_xlpm.maxVal,""))</f>
        <v/>
      </c>
      <c r="V198" s="27" t="str">
        <f>_xlfn.LET(_xlpm.maxVal,_xlfn.MAXIFS($K:$K,$A:$A,A198),IF(AND(_xlpm.maxVal=K198,M198&lt;&gt;0),_xlpm.maxVal,""))</f>
        <v/>
      </c>
      <c r="W198" s="27" t="str">
        <f>_xlfn.LET(_xlpm.maxVal,_xlfn.MAXIFS($K:$K,$A:$A,A198),IF(AND(_xlpm.maxVal=K198,N198&lt;&gt;0),_xlpm.maxVal,""))</f>
        <v/>
      </c>
      <c r="X198" s="27" t="str">
        <f>_xlfn.LET(_xlpm.maxVal,_xlfn.MAXIFS($K:$K,$A:$A,A198),IF(AND(_xlpm.maxVal=K198,O198&lt;&gt;0),_xlpm.maxVal,""))</f>
        <v/>
      </c>
      <c r="Y198" s="27" t="str">
        <f>_xlfn.LET(_xlpm.maxVal,_xlfn.MAXIFS($K:$K,$A:$A,A198),IF(AND(_xlpm.maxVal=K198,P198&lt;&gt;0),_xlpm.maxVal,""))</f>
        <v/>
      </c>
      <c r="Z198" s="27" t="str">
        <f>_xlfn.LET(_xlpm.maxVal,_xlfn.MAXIFS($K:$K,$A:$A,A198),IF(AND(_xlpm.maxVal=K198,Q198&lt;&gt;0),_xlpm.maxVal,""))</f>
        <v/>
      </c>
      <c r="AA198" s="27" t="str">
        <f>_xlfn.LET(_xlpm.maxVal,_xlfn.MAXIFS($K:$K,$A:$A,A198),IF(AND(_xlpm.maxVal=K198,R198&lt;&gt;0),_xlpm.maxVal,""))</f>
        <v/>
      </c>
      <c r="AB198" s="27" t="str">
        <f>_xlfn.LET(_xlpm.maxVal,_xlfn.MAXIFS($K:$K,$A:$A,A198),IF(AND(_xlpm.maxVal=K198,S198&lt;&gt;0),_xlpm.maxVal,""))</f>
        <v/>
      </c>
      <c r="AC198" s="27" t="str">
        <f>_xlfn.LET(_xlpm.maxVal,_xlfn.MAXIFS($K:$K,$A:$A,A198),IF(AND(_xlpm.maxVal=K198,T198&lt;&gt;0),_xlpm.maxVal,""))</f>
        <v/>
      </c>
      <c r="AD198" s="27">
        <f>$K198*L198*负载统计!$K$3/60</f>
        <v>0</v>
      </c>
      <c r="AE198" s="27">
        <f>$K198*L198*负载统计!$K$4/60</f>
        <v>0</v>
      </c>
      <c r="AF198" s="27">
        <f>$K198*N198*负载统计!$K$5/60</f>
        <v>0</v>
      </c>
      <c r="AG198" s="27">
        <f>$K198*O198*负载统计!$K$6/60</f>
        <v>0</v>
      </c>
      <c r="AH198" s="27">
        <f>$K198*P198*负载统计!$K$7/60</f>
        <v>0</v>
      </c>
      <c r="AI198" s="27">
        <f>$K198*Q198*负载统计!$K$8/60</f>
        <v>0</v>
      </c>
      <c r="AJ198" s="27">
        <f>$K198*R198*负载统计!$K$9/60</f>
        <v>0</v>
      </c>
      <c r="AK198" s="27">
        <f>$K198*S198*负载统计!$K$10/60</f>
        <v>0</v>
      </c>
      <c r="AL198" s="27">
        <f>$K198*T198*负载统计!$K$11/60</f>
        <v>0</v>
      </c>
    </row>
    <row r="199" spans="1:38">
      <c r="A199" s="1">
        <v>88</v>
      </c>
      <c r="B199" s="24" t="s">
        <v>1446</v>
      </c>
      <c r="C199" s="24" t="s">
        <v>1428</v>
      </c>
      <c r="D199" s="24" t="s">
        <v>718</v>
      </c>
      <c r="E199" s="24" t="s">
        <v>719</v>
      </c>
      <c r="F199" s="24" t="s">
        <v>720</v>
      </c>
      <c r="G199" s="25">
        <f>VLOOKUP(A199,负载电气特性!A:G,7,FALSE)</f>
        <v>28</v>
      </c>
      <c r="H199" s="26" t="s">
        <v>61</v>
      </c>
      <c r="I199" s="25" t="s">
        <v>1706</v>
      </c>
      <c r="J199" s="24" t="s">
        <v>1718</v>
      </c>
      <c r="K199" s="25">
        <v>0.015</v>
      </c>
      <c r="L199" s="25">
        <v>0</v>
      </c>
      <c r="M199" s="25">
        <v>0</v>
      </c>
      <c r="N199" s="25">
        <v>0</v>
      </c>
      <c r="O199" s="25">
        <v>1</v>
      </c>
      <c r="P199" s="25">
        <v>1</v>
      </c>
      <c r="Q199" s="25">
        <v>1</v>
      </c>
      <c r="R199" s="25">
        <v>1</v>
      </c>
      <c r="S199" s="25">
        <v>1</v>
      </c>
      <c r="T199" s="25">
        <v>1</v>
      </c>
      <c r="U199" s="27" t="str">
        <f>_xlfn.LET(_xlpm.maxVal,_xlfn.MAXIFS($K:$K,$A:$A,A199),IF(AND(_xlpm.maxVal=K199,L199&lt;&gt;0),_xlpm.maxVal,""))</f>
        <v/>
      </c>
      <c r="V199" s="27" t="str">
        <f>_xlfn.LET(_xlpm.maxVal,_xlfn.MAXIFS($K:$K,$A:$A,A199),IF(AND(_xlpm.maxVal=K199,M199&lt;&gt;0),_xlpm.maxVal,""))</f>
        <v/>
      </c>
      <c r="W199" s="27" t="str">
        <f>_xlfn.LET(_xlpm.maxVal,_xlfn.MAXIFS($K:$K,$A:$A,A199),IF(AND(_xlpm.maxVal=K199,N199&lt;&gt;0),_xlpm.maxVal,""))</f>
        <v/>
      </c>
      <c r="X199" s="27">
        <f>_xlfn.LET(_xlpm.maxVal,_xlfn.MAXIFS($K:$K,$A:$A,A199),IF(AND(_xlpm.maxVal=K199,O199&lt;&gt;0),_xlpm.maxVal,""))</f>
        <v>0.015</v>
      </c>
      <c r="Y199" s="27">
        <f>_xlfn.LET(_xlpm.maxVal,_xlfn.MAXIFS($K:$K,$A:$A,A199),IF(AND(_xlpm.maxVal=K199,P199&lt;&gt;0),_xlpm.maxVal,""))</f>
        <v>0.015</v>
      </c>
      <c r="Z199" s="27">
        <f>_xlfn.LET(_xlpm.maxVal,_xlfn.MAXIFS($K:$K,$A:$A,A199),IF(AND(_xlpm.maxVal=K199,Q199&lt;&gt;0),_xlpm.maxVal,""))</f>
        <v>0.015</v>
      </c>
      <c r="AA199" s="27">
        <f>_xlfn.LET(_xlpm.maxVal,_xlfn.MAXIFS($K:$K,$A:$A,A199),IF(AND(_xlpm.maxVal=K199,R199&lt;&gt;0),_xlpm.maxVal,""))</f>
        <v>0.015</v>
      </c>
      <c r="AB199" s="27">
        <f>_xlfn.LET(_xlpm.maxVal,_xlfn.MAXIFS($K:$K,$A:$A,A199),IF(AND(_xlpm.maxVal=K199,S199&lt;&gt;0),_xlpm.maxVal,""))</f>
        <v>0.015</v>
      </c>
      <c r="AC199" s="27">
        <f>_xlfn.LET(_xlpm.maxVal,_xlfn.MAXIFS($K:$K,$A:$A,A199),IF(AND(_xlpm.maxVal=K199,T199&lt;&gt;0),_xlpm.maxVal,""))</f>
        <v>0.015</v>
      </c>
      <c r="AD199" s="27">
        <f>$K199*L199*负载统计!$K$3/60</f>
        <v>0</v>
      </c>
      <c r="AE199" s="27">
        <f>$K199*L199*负载统计!$K$4/60</f>
        <v>0</v>
      </c>
      <c r="AF199" s="27">
        <f>$K199*N199*负载统计!$K$5/60</f>
        <v>0</v>
      </c>
      <c r="AG199" s="27">
        <f>$K199*O199*负载统计!$K$6/60</f>
        <v>0.00075</v>
      </c>
      <c r="AH199" s="27">
        <f>$K199*P199*负载统计!$K$7/60</f>
        <v>0.0016925</v>
      </c>
      <c r="AI199" s="27">
        <f>$K199*Q199*负载统计!$K$8/60</f>
        <v>0.0109</v>
      </c>
      <c r="AJ199" s="27">
        <f>$K199*R199*负载统计!$K$9/60</f>
        <v>0.0034625</v>
      </c>
      <c r="AK199" s="27">
        <f>$K199*S199*负载统计!$K$10/60</f>
        <v>0.000125</v>
      </c>
      <c r="AL199" s="27">
        <f>$K199*T199*负载统计!$K$11/60</f>
        <v>0.001</v>
      </c>
    </row>
    <row r="200" spans="1:38">
      <c r="A200" s="1">
        <v>88</v>
      </c>
      <c r="B200" s="24" t="s">
        <v>1446</v>
      </c>
      <c r="C200" s="24" t="s">
        <v>1428</v>
      </c>
      <c r="D200" s="24" t="s">
        <v>718</v>
      </c>
      <c r="E200" s="24" t="s">
        <v>719</v>
      </c>
      <c r="F200" s="24" t="s">
        <v>720</v>
      </c>
      <c r="G200" s="25">
        <f>VLOOKUP(A200,负载电气特性!A:G,7,FALSE)</f>
        <v>28</v>
      </c>
      <c r="H200" s="26" t="s">
        <v>61</v>
      </c>
      <c r="I200" s="25" t="s">
        <v>1706</v>
      </c>
      <c r="J200" s="25" t="s">
        <v>1708</v>
      </c>
      <c r="K200" s="25">
        <v>0</v>
      </c>
      <c r="L200" s="25">
        <v>0</v>
      </c>
      <c r="M200" s="25">
        <v>0</v>
      </c>
      <c r="N200" s="25">
        <v>0</v>
      </c>
      <c r="O200" s="25">
        <v>0</v>
      </c>
      <c r="P200" s="25">
        <v>0</v>
      </c>
      <c r="Q200" s="25">
        <v>0</v>
      </c>
      <c r="R200" s="25">
        <v>0</v>
      </c>
      <c r="S200" s="25">
        <v>0</v>
      </c>
      <c r="T200" s="25">
        <v>0</v>
      </c>
      <c r="U200" s="27" t="str">
        <f>_xlfn.LET(_xlpm.maxVal,_xlfn.MAXIFS($K:$K,$A:$A,A200),IF(AND(_xlpm.maxVal=K200,L200&lt;&gt;0),_xlpm.maxVal,""))</f>
        <v/>
      </c>
      <c r="V200" s="27" t="str">
        <f>_xlfn.LET(_xlpm.maxVal,_xlfn.MAXIFS($K:$K,$A:$A,A200),IF(AND(_xlpm.maxVal=K200,M200&lt;&gt;0),_xlpm.maxVal,""))</f>
        <v/>
      </c>
      <c r="W200" s="27" t="str">
        <f>_xlfn.LET(_xlpm.maxVal,_xlfn.MAXIFS($K:$K,$A:$A,A200),IF(AND(_xlpm.maxVal=K200,N200&lt;&gt;0),_xlpm.maxVal,""))</f>
        <v/>
      </c>
      <c r="X200" s="27" t="str">
        <f>_xlfn.LET(_xlpm.maxVal,_xlfn.MAXIFS($K:$K,$A:$A,A200),IF(AND(_xlpm.maxVal=K200,O200&lt;&gt;0),_xlpm.maxVal,""))</f>
        <v/>
      </c>
      <c r="Y200" s="27" t="str">
        <f>_xlfn.LET(_xlpm.maxVal,_xlfn.MAXIFS($K:$K,$A:$A,A200),IF(AND(_xlpm.maxVal=K200,P200&lt;&gt;0),_xlpm.maxVal,""))</f>
        <v/>
      </c>
      <c r="Z200" s="27" t="str">
        <f>_xlfn.LET(_xlpm.maxVal,_xlfn.MAXIFS($K:$K,$A:$A,A200),IF(AND(_xlpm.maxVal=K200,Q200&lt;&gt;0),_xlpm.maxVal,""))</f>
        <v/>
      </c>
      <c r="AA200" s="27" t="str">
        <f>_xlfn.LET(_xlpm.maxVal,_xlfn.MAXIFS($K:$K,$A:$A,A200),IF(AND(_xlpm.maxVal=K200,R200&lt;&gt;0),_xlpm.maxVal,""))</f>
        <v/>
      </c>
      <c r="AB200" s="27" t="str">
        <f>_xlfn.LET(_xlpm.maxVal,_xlfn.MAXIFS($K:$K,$A:$A,A200),IF(AND(_xlpm.maxVal=K200,S200&lt;&gt;0),_xlpm.maxVal,""))</f>
        <v/>
      </c>
      <c r="AC200" s="27" t="str">
        <f>_xlfn.LET(_xlpm.maxVal,_xlfn.MAXIFS($K:$K,$A:$A,A200),IF(AND(_xlpm.maxVal=K200,T200&lt;&gt;0),_xlpm.maxVal,""))</f>
        <v/>
      </c>
      <c r="AD200" s="27">
        <f>$K200*L200*负载统计!$K$3/60</f>
        <v>0</v>
      </c>
      <c r="AE200" s="27">
        <f>$K200*L200*负载统计!$K$4/60</f>
        <v>0</v>
      </c>
      <c r="AF200" s="27">
        <f>$K200*N200*负载统计!$K$5/60</f>
        <v>0</v>
      </c>
      <c r="AG200" s="27">
        <f>$K200*O200*负载统计!$K$6/60</f>
        <v>0</v>
      </c>
      <c r="AH200" s="27">
        <f>$K200*P200*负载统计!$K$7/60</f>
        <v>0</v>
      </c>
      <c r="AI200" s="27">
        <f>$K200*Q200*负载统计!$K$8/60</f>
        <v>0</v>
      </c>
      <c r="AJ200" s="27">
        <f>$K200*R200*负载统计!$K$9/60</f>
        <v>0</v>
      </c>
      <c r="AK200" s="27">
        <f>$K200*S200*负载统计!$K$10/60</f>
        <v>0</v>
      </c>
      <c r="AL200" s="27">
        <f>$K200*T200*负载统计!$K$11/60</f>
        <v>0</v>
      </c>
    </row>
    <row r="201" spans="1:38">
      <c r="A201" s="1">
        <v>89</v>
      </c>
      <c r="B201" s="24" t="s">
        <v>1448</v>
      </c>
      <c r="C201" s="24" t="s">
        <v>1428</v>
      </c>
      <c r="D201" s="24" t="s">
        <v>722</v>
      </c>
      <c r="E201" s="24" t="s">
        <v>723</v>
      </c>
      <c r="F201" s="24" t="s">
        <v>724</v>
      </c>
      <c r="G201" s="25">
        <f>VLOOKUP(A201,负载电气特性!A:G,7,FALSE)</f>
        <v>28</v>
      </c>
      <c r="H201" s="26" t="s">
        <v>61</v>
      </c>
      <c r="I201" s="25" t="s">
        <v>1706</v>
      </c>
      <c r="J201" s="24" t="s">
        <v>1718</v>
      </c>
      <c r="K201" s="25">
        <v>0.015</v>
      </c>
      <c r="L201" s="25">
        <v>0</v>
      </c>
      <c r="M201" s="25">
        <v>0</v>
      </c>
      <c r="N201" s="25">
        <v>0</v>
      </c>
      <c r="O201" s="25">
        <v>1</v>
      </c>
      <c r="P201" s="25">
        <v>1</v>
      </c>
      <c r="Q201" s="25">
        <v>1</v>
      </c>
      <c r="R201" s="25">
        <v>1</v>
      </c>
      <c r="S201" s="25">
        <v>1</v>
      </c>
      <c r="T201" s="25">
        <v>1</v>
      </c>
      <c r="U201" s="27" t="str">
        <f>_xlfn.LET(_xlpm.maxVal,_xlfn.MAXIFS($K:$K,$A:$A,A201),IF(AND(_xlpm.maxVal=K201,L201&lt;&gt;0),_xlpm.maxVal,""))</f>
        <v/>
      </c>
      <c r="V201" s="27" t="str">
        <f>_xlfn.LET(_xlpm.maxVal,_xlfn.MAXIFS($K:$K,$A:$A,A201),IF(AND(_xlpm.maxVal=K201,M201&lt;&gt;0),_xlpm.maxVal,""))</f>
        <v/>
      </c>
      <c r="W201" s="27" t="str">
        <f>_xlfn.LET(_xlpm.maxVal,_xlfn.MAXIFS($K:$K,$A:$A,A201),IF(AND(_xlpm.maxVal=K201,N201&lt;&gt;0),_xlpm.maxVal,""))</f>
        <v/>
      </c>
      <c r="X201" s="27">
        <f>_xlfn.LET(_xlpm.maxVal,_xlfn.MAXIFS($K:$K,$A:$A,A201),IF(AND(_xlpm.maxVal=K201,O201&lt;&gt;0),_xlpm.maxVal,""))</f>
        <v>0.015</v>
      </c>
      <c r="Y201" s="27">
        <f>_xlfn.LET(_xlpm.maxVal,_xlfn.MAXIFS($K:$K,$A:$A,A201),IF(AND(_xlpm.maxVal=K201,P201&lt;&gt;0),_xlpm.maxVal,""))</f>
        <v>0.015</v>
      </c>
      <c r="Z201" s="27">
        <f>_xlfn.LET(_xlpm.maxVal,_xlfn.MAXIFS($K:$K,$A:$A,A201),IF(AND(_xlpm.maxVal=K201,Q201&lt;&gt;0),_xlpm.maxVal,""))</f>
        <v>0.015</v>
      </c>
      <c r="AA201" s="27">
        <f>_xlfn.LET(_xlpm.maxVal,_xlfn.MAXIFS($K:$K,$A:$A,A201),IF(AND(_xlpm.maxVal=K201,R201&lt;&gt;0),_xlpm.maxVal,""))</f>
        <v>0.015</v>
      </c>
      <c r="AB201" s="27">
        <f>_xlfn.LET(_xlpm.maxVal,_xlfn.MAXIFS($K:$K,$A:$A,A201),IF(AND(_xlpm.maxVal=K201,S201&lt;&gt;0),_xlpm.maxVal,""))</f>
        <v>0.015</v>
      </c>
      <c r="AC201" s="27">
        <f>_xlfn.LET(_xlpm.maxVal,_xlfn.MAXIFS($K:$K,$A:$A,A201),IF(AND(_xlpm.maxVal=K201,T201&lt;&gt;0),_xlpm.maxVal,""))</f>
        <v>0.015</v>
      </c>
      <c r="AD201" s="27">
        <f>$K201*L201*负载统计!$K$3/60</f>
        <v>0</v>
      </c>
      <c r="AE201" s="27">
        <f>$K201*L201*负载统计!$K$4/60</f>
        <v>0</v>
      </c>
      <c r="AF201" s="27">
        <f>$K201*N201*负载统计!$K$5/60</f>
        <v>0</v>
      </c>
      <c r="AG201" s="27">
        <f>$K201*O201*负载统计!$K$6/60</f>
        <v>0.00075</v>
      </c>
      <c r="AH201" s="27">
        <f>$K201*P201*负载统计!$K$7/60</f>
        <v>0.0016925</v>
      </c>
      <c r="AI201" s="27">
        <f>$K201*Q201*负载统计!$K$8/60</f>
        <v>0.0109</v>
      </c>
      <c r="AJ201" s="27">
        <f>$K201*R201*负载统计!$K$9/60</f>
        <v>0.0034625</v>
      </c>
      <c r="AK201" s="27">
        <f>$K201*S201*负载统计!$K$10/60</f>
        <v>0.000125</v>
      </c>
      <c r="AL201" s="27">
        <f>$K201*T201*负载统计!$K$11/60</f>
        <v>0.001</v>
      </c>
    </row>
    <row r="202" spans="1:38">
      <c r="A202" s="1">
        <v>89</v>
      </c>
      <c r="B202" s="24" t="s">
        <v>1448</v>
      </c>
      <c r="C202" s="24" t="s">
        <v>1428</v>
      </c>
      <c r="D202" s="24" t="s">
        <v>722</v>
      </c>
      <c r="E202" s="24" t="s">
        <v>723</v>
      </c>
      <c r="F202" s="24" t="s">
        <v>724</v>
      </c>
      <c r="G202" s="25">
        <f>VLOOKUP(A202,负载电气特性!A:G,7,FALSE)</f>
        <v>28</v>
      </c>
      <c r="H202" s="26" t="s">
        <v>61</v>
      </c>
      <c r="I202" s="25" t="s">
        <v>1706</v>
      </c>
      <c r="J202" s="25" t="s">
        <v>1708</v>
      </c>
      <c r="K202" s="25">
        <v>0</v>
      </c>
      <c r="L202" s="25">
        <v>1</v>
      </c>
      <c r="M202" s="25">
        <v>1</v>
      </c>
      <c r="N202" s="25">
        <v>1</v>
      </c>
      <c r="O202" s="25">
        <v>0</v>
      </c>
      <c r="P202" s="25">
        <v>0</v>
      </c>
      <c r="Q202" s="25">
        <v>0</v>
      </c>
      <c r="R202" s="25">
        <v>0</v>
      </c>
      <c r="S202" s="25">
        <v>0</v>
      </c>
      <c r="T202" s="25">
        <v>0</v>
      </c>
      <c r="U202" s="27" t="str">
        <f>_xlfn.LET(_xlpm.maxVal,_xlfn.MAXIFS($K:$K,$A:$A,A202),IF(AND(_xlpm.maxVal=K202,L202&lt;&gt;0),_xlpm.maxVal,""))</f>
        <v/>
      </c>
      <c r="V202" s="27" t="str">
        <f>_xlfn.LET(_xlpm.maxVal,_xlfn.MAXIFS($K:$K,$A:$A,A202),IF(AND(_xlpm.maxVal=K202,M202&lt;&gt;0),_xlpm.maxVal,""))</f>
        <v/>
      </c>
      <c r="W202" s="27" t="str">
        <f>_xlfn.LET(_xlpm.maxVal,_xlfn.MAXIFS($K:$K,$A:$A,A202),IF(AND(_xlpm.maxVal=K202,N202&lt;&gt;0),_xlpm.maxVal,""))</f>
        <v/>
      </c>
      <c r="X202" s="27" t="str">
        <f>_xlfn.LET(_xlpm.maxVal,_xlfn.MAXIFS($K:$K,$A:$A,A202),IF(AND(_xlpm.maxVal=K202,O202&lt;&gt;0),_xlpm.maxVal,""))</f>
        <v/>
      </c>
      <c r="Y202" s="27" t="str">
        <f>_xlfn.LET(_xlpm.maxVal,_xlfn.MAXIFS($K:$K,$A:$A,A202),IF(AND(_xlpm.maxVal=K202,P202&lt;&gt;0),_xlpm.maxVal,""))</f>
        <v/>
      </c>
      <c r="Z202" s="27" t="str">
        <f>_xlfn.LET(_xlpm.maxVal,_xlfn.MAXIFS($K:$K,$A:$A,A202),IF(AND(_xlpm.maxVal=K202,Q202&lt;&gt;0),_xlpm.maxVal,""))</f>
        <v/>
      </c>
      <c r="AA202" s="27" t="str">
        <f>_xlfn.LET(_xlpm.maxVal,_xlfn.MAXIFS($K:$K,$A:$A,A202),IF(AND(_xlpm.maxVal=K202,R202&lt;&gt;0),_xlpm.maxVal,""))</f>
        <v/>
      </c>
      <c r="AB202" s="27" t="str">
        <f>_xlfn.LET(_xlpm.maxVal,_xlfn.MAXIFS($K:$K,$A:$A,A202),IF(AND(_xlpm.maxVal=K202,S202&lt;&gt;0),_xlpm.maxVal,""))</f>
        <v/>
      </c>
      <c r="AC202" s="27" t="str">
        <f>_xlfn.LET(_xlpm.maxVal,_xlfn.MAXIFS($K:$K,$A:$A,A202),IF(AND(_xlpm.maxVal=K202,T202&lt;&gt;0),_xlpm.maxVal,""))</f>
        <v/>
      </c>
      <c r="AD202" s="27">
        <f>$K202*L202*负载统计!$K$3/60</f>
        <v>0</v>
      </c>
      <c r="AE202" s="27">
        <f>$K202*L202*负载统计!$K$4/60</f>
        <v>0</v>
      </c>
      <c r="AF202" s="27">
        <f>$K202*N202*负载统计!$K$5/60</f>
        <v>0</v>
      </c>
      <c r="AG202" s="27">
        <f>$K202*O202*负载统计!$K$6/60</f>
        <v>0</v>
      </c>
      <c r="AH202" s="27">
        <f>$K202*P202*负载统计!$K$7/60</f>
        <v>0</v>
      </c>
      <c r="AI202" s="27">
        <f>$K202*Q202*负载统计!$K$8/60</f>
        <v>0</v>
      </c>
      <c r="AJ202" s="27">
        <f>$K202*R202*负载统计!$K$9/60</f>
        <v>0</v>
      </c>
      <c r="AK202" s="27">
        <f>$K202*S202*负载统计!$K$10/60</f>
        <v>0</v>
      </c>
      <c r="AL202" s="27">
        <f>$K202*T202*负载统计!$K$11/60</f>
        <v>0</v>
      </c>
    </row>
    <row r="203" spans="1:38">
      <c r="A203" s="1">
        <v>90</v>
      </c>
      <c r="B203" s="24" t="s">
        <v>1450</v>
      </c>
      <c r="C203" s="24" t="s">
        <v>1428</v>
      </c>
      <c r="D203" s="24" t="s">
        <v>722</v>
      </c>
      <c r="E203" s="24" t="s">
        <v>723</v>
      </c>
      <c r="F203" s="24" t="s">
        <v>724</v>
      </c>
      <c r="G203" s="25">
        <f>VLOOKUP(A203,负载电气特性!A:G,7,FALSE)</f>
        <v>28</v>
      </c>
      <c r="H203" s="26" t="s">
        <v>61</v>
      </c>
      <c r="I203" s="25" t="s">
        <v>1706</v>
      </c>
      <c r="J203" s="24" t="s">
        <v>1718</v>
      </c>
      <c r="K203" s="25">
        <v>0.04</v>
      </c>
      <c r="L203" s="25">
        <v>0</v>
      </c>
      <c r="M203" s="25">
        <v>0</v>
      </c>
      <c r="N203" s="25">
        <v>0</v>
      </c>
      <c r="O203" s="25">
        <v>1</v>
      </c>
      <c r="P203" s="25">
        <v>1</v>
      </c>
      <c r="Q203" s="25">
        <v>1</v>
      </c>
      <c r="R203" s="25">
        <v>1</v>
      </c>
      <c r="S203" s="25">
        <v>1</v>
      </c>
      <c r="T203" s="25">
        <v>1</v>
      </c>
      <c r="U203" s="27" t="str">
        <f>_xlfn.LET(_xlpm.maxVal,_xlfn.MAXIFS($K:$K,$A:$A,A203),IF(AND(_xlpm.maxVal=K203,L203&lt;&gt;0),_xlpm.maxVal,""))</f>
        <v/>
      </c>
      <c r="V203" s="27" t="str">
        <f>_xlfn.LET(_xlpm.maxVal,_xlfn.MAXIFS($K:$K,$A:$A,A203),IF(AND(_xlpm.maxVal=K203,M203&lt;&gt;0),_xlpm.maxVal,""))</f>
        <v/>
      </c>
      <c r="W203" s="27" t="str">
        <f>_xlfn.LET(_xlpm.maxVal,_xlfn.MAXIFS($K:$K,$A:$A,A203),IF(AND(_xlpm.maxVal=K203,N203&lt;&gt;0),_xlpm.maxVal,""))</f>
        <v/>
      </c>
      <c r="X203" s="27">
        <f>_xlfn.LET(_xlpm.maxVal,_xlfn.MAXIFS($K:$K,$A:$A,A203),IF(AND(_xlpm.maxVal=K203,O203&lt;&gt;0),_xlpm.maxVal,""))</f>
        <v>0.04</v>
      </c>
      <c r="Y203" s="27">
        <f>_xlfn.LET(_xlpm.maxVal,_xlfn.MAXIFS($K:$K,$A:$A,A203),IF(AND(_xlpm.maxVal=K203,P203&lt;&gt;0),_xlpm.maxVal,""))</f>
        <v>0.04</v>
      </c>
      <c r="Z203" s="27">
        <f>_xlfn.LET(_xlpm.maxVal,_xlfn.MAXIFS($K:$K,$A:$A,A203),IF(AND(_xlpm.maxVal=K203,Q203&lt;&gt;0),_xlpm.maxVal,""))</f>
        <v>0.04</v>
      </c>
      <c r="AA203" s="27">
        <f>_xlfn.LET(_xlpm.maxVal,_xlfn.MAXIFS($K:$K,$A:$A,A203),IF(AND(_xlpm.maxVal=K203,R203&lt;&gt;0),_xlpm.maxVal,""))</f>
        <v>0.04</v>
      </c>
      <c r="AB203" s="27">
        <f>_xlfn.LET(_xlpm.maxVal,_xlfn.MAXIFS($K:$K,$A:$A,A203),IF(AND(_xlpm.maxVal=K203,S203&lt;&gt;0),_xlpm.maxVal,""))</f>
        <v>0.04</v>
      </c>
      <c r="AC203" s="27">
        <f>_xlfn.LET(_xlpm.maxVal,_xlfn.MAXIFS($K:$K,$A:$A,A203),IF(AND(_xlpm.maxVal=K203,T203&lt;&gt;0),_xlpm.maxVal,""))</f>
        <v>0.04</v>
      </c>
      <c r="AD203" s="27">
        <f>$K203*L203*负载统计!$K$3/60</f>
        <v>0</v>
      </c>
      <c r="AE203" s="27">
        <f>$K203*L203*负载统计!$K$4/60</f>
        <v>0</v>
      </c>
      <c r="AF203" s="27">
        <f>$K203*N203*负载统计!$K$5/60</f>
        <v>0</v>
      </c>
      <c r="AG203" s="27">
        <f>$K203*O203*负载统计!$K$6/60</f>
        <v>0.002</v>
      </c>
      <c r="AH203" s="27">
        <f>$K203*P203*负载统计!$K$7/60</f>
        <v>0.00451333333333333</v>
      </c>
      <c r="AI203" s="27">
        <f>$K203*Q203*负载统计!$K$8/60</f>
        <v>0.0290666666666667</v>
      </c>
      <c r="AJ203" s="27">
        <f>$K203*R203*负载统计!$K$9/60</f>
        <v>0.00923333333333333</v>
      </c>
      <c r="AK203" s="27">
        <f>$K203*S203*负载统计!$K$10/60</f>
        <v>0.000333333333333333</v>
      </c>
      <c r="AL203" s="27">
        <f>$K203*T203*负载统计!$K$11/60</f>
        <v>0.00266666666666667</v>
      </c>
    </row>
    <row r="204" spans="1:38">
      <c r="A204" s="1">
        <v>90</v>
      </c>
      <c r="B204" s="24" t="s">
        <v>1450</v>
      </c>
      <c r="C204" s="24" t="s">
        <v>1428</v>
      </c>
      <c r="D204" s="24" t="s">
        <v>722</v>
      </c>
      <c r="E204" s="24" t="s">
        <v>723</v>
      </c>
      <c r="F204" s="24" t="s">
        <v>724</v>
      </c>
      <c r="G204" s="25">
        <f>VLOOKUP(A204,负载电气特性!A:G,7,FALSE)</f>
        <v>28</v>
      </c>
      <c r="H204" s="26" t="s">
        <v>61</v>
      </c>
      <c r="I204" s="25" t="s">
        <v>1706</v>
      </c>
      <c r="J204" s="25" t="s">
        <v>1708</v>
      </c>
      <c r="K204" s="25">
        <v>0</v>
      </c>
      <c r="L204" s="25">
        <v>1</v>
      </c>
      <c r="M204" s="25">
        <v>1</v>
      </c>
      <c r="N204" s="25">
        <v>1</v>
      </c>
      <c r="O204" s="25">
        <v>0</v>
      </c>
      <c r="P204" s="25">
        <v>0</v>
      </c>
      <c r="Q204" s="25">
        <v>0</v>
      </c>
      <c r="R204" s="25">
        <v>0</v>
      </c>
      <c r="S204" s="25">
        <v>0</v>
      </c>
      <c r="T204" s="25">
        <v>0</v>
      </c>
      <c r="U204" s="27" t="str">
        <f>_xlfn.LET(_xlpm.maxVal,_xlfn.MAXIFS($K:$K,$A:$A,A204),IF(AND(_xlpm.maxVal=K204,L204&lt;&gt;0),_xlpm.maxVal,""))</f>
        <v/>
      </c>
      <c r="V204" s="27" t="str">
        <f>_xlfn.LET(_xlpm.maxVal,_xlfn.MAXIFS($K:$K,$A:$A,A204),IF(AND(_xlpm.maxVal=K204,M204&lt;&gt;0),_xlpm.maxVal,""))</f>
        <v/>
      </c>
      <c r="W204" s="27" t="str">
        <f>_xlfn.LET(_xlpm.maxVal,_xlfn.MAXIFS($K:$K,$A:$A,A204),IF(AND(_xlpm.maxVal=K204,N204&lt;&gt;0),_xlpm.maxVal,""))</f>
        <v/>
      </c>
      <c r="X204" s="27" t="str">
        <f>_xlfn.LET(_xlpm.maxVal,_xlfn.MAXIFS($K:$K,$A:$A,A204),IF(AND(_xlpm.maxVal=K204,O204&lt;&gt;0),_xlpm.maxVal,""))</f>
        <v/>
      </c>
      <c r="Y204" s="27" t="str">
        <f>_xlfn.LET(_xlpm.maxVal,_xlfn.MAXIFS($K:$K,$A:$A,A204),IF(AND(_xlpm.maxVal=K204,P204&lt;&gt;0),_xlpm.maxVal,""))</f>
        <v/>
      </c>
      <c r="Z204" s="27" t="str">
        <f>_xlfn.LET(_xlpm.maxVal,_xlfn.MAXIFS($K:$K,$A:$A,A204),IF(AND(_xlpm.maxVal=K204,Q204&lt;&gt;0),_xlpm.maxVal,""))</f>
        <v/>
      </c>
      <c r="AA204" s="27" t="str">
        <f>_xlfn.LET(_xlpm.maxVal,_xlfn.MAXIFS($K:$K,$A:$A,A204),IF(AND(_xlpm.maxVal=K204,R204&lt;&gt;0),_xlpm.maxVal,""))</f>
        <v/>
      </c>
      <c r="AB204" s="27" t="str">
        <f>_xlfn.LET(_xlpm.maxVal,_xlfn.MAXIFS($K:$K,$A:$A,A204),IF(AND(_xlpm.maxVal=K204,S204&lt;&gt;0),_xlpm.maxVal,""))</f>
        <v/>
      </c>
      <c r="AC204" s="27" t="str">
        <f>_xlfn.LET(_xlpm.maxVal,_xlfn.MAXIFS($K:$K,$A:$A,A204),IF(AND(_xlpm.maxVal=K204,T204&lt;&gt;0),_xlpm.maxVal,""))</f>
        <v/>
      </c>
      <c r="AD204" s="27">
        <f>$K204*L204*负载统计!$K$3/60</f>
        <v>0</v>
      </c>
      <c r="AE204" s="27">
        <f>$K204*L204*负载统计!$K$4/60</f>
        <v>0</v>
      </c>
      <c r="AF204" s="27">
        <f>$K204*N204*负载统计!$K$5/60</f>
        <v>0</v>
      </c>
      <c r="AG204" s="27">
        <f>$K204*O204*负载统计!$K$6/60</f>
        <v>0</v>
      </c>
      <c r="AH204" s="27">
        <f>$K204*P204*负载统计!$K$7/60</f>
        <v>0</v>
      </c>
      <c r="AI204" s="27">
        <f>$K204*Q204*负载统计!$K$8/60</f>
        <v>0</v>
      </c>
      <c r="AJ204" s="27">
        <f>$K204*R204*负载统计!$K$9/60</f>
        <v>0</v>
      </c>
      <c r="AK204" s="27">
        <f>$K204*S204*负载统计!$K$10/60</f>
        <v>0</v>
      </c>
      <c r="AL204" s="27">
        <f>$K204*T204*负载统计!$K$11/60</f>
        <v>0</v>
      </c>
    </row>
    <row r="205" spans="1:38">
      <c r="A205" s="1">
        <v>91</v>
      </c>
      <c r="B205" s="24" t="s">
        <v>1451</v>
      </c>
      <c r="C205" s="24" t="s">
        <v>1428</v>
      </c>
      <c r="D205" s="24" t="s">
        <v>726</v>
      </c>
      <c r="E205" s="24" t="s">
        <v>727</v>
      </c>
      <c r="F205" s="24" t="s">
        <v>728</v>
      </c>
      <c r="G205" s="25">
        <f>VLOOKUP(A205,负载电气特性!A:G,7,FALSE)</f>
        <v>28</v>
      </c>
      <c r="H205" s="26" t="s">
        <v>61</v>
      </c>
      <c r="I205" s="25" t="s">
        <v>1706</v>
      </c>
      <c r="J205" s="25" t="s">
        <v>1708</v>
      </c>
      <c r="K205" s="25">
        <v>0</v>
      </c>
      <c r="L205" s="25">
        <v>0</v>
      </c>
      <c r="M205" s="25">
        <v>0</v>
      </c>
      <c r="N205" s="25">
        <v>0</v>
      </c>
      <c r="O205" s="25">
        <v>1</v>
      </c>
      <c r="P205" s="25">
        <v>1</v>
      </c>
      <c r="Q205" s="25">
        <v>1</v>
      </c>
      <c r="R205" s="25">
        <v>1</v>
      </c>
      <c r="S205" s="25">
        <v>1</v>
      </c>
      <c r="T205" s="25">
        <v>1</v>
      </c>
      <c r="U205" s="27" t="str">
        <f>_xlfn.LET(_xlpm.maxVal,_xlfn.MAXIFS($K:$K,$A:$A,A205),IF(AND(_xlpm.maxVal=K205,L205&lt;&gt;0),_xlpm.maxVal,""))</f>
        <v/>
      </c>
      <c r="V205" s="27" t="str">
        <f>_xlfn.LET(_xlpm.maxVal,_xlfn.MAXIFS($K:$K,$A:$A,A205),IF(AND(_xlpm.maxVal=K205,M205&lt;&gt;0),_xlpm.maxVal,""))</f>
        <v/>
      </c>
      <c r="W205" s="27" t="str">
        <f>_xlfn.LET(_xlpm.maxVal,_xlfn.MAXIFS($K:$K,$A:$A,A205),IF(AND(_xlpm.maxVal=K205,N205&lt;&gt;0),_xlpm.maxVal,""))</f>
        <v/>
      </c>
      <c r="X205" s="27" t="str">
        <f>_xlfn.LET(_xlpm.maxVal,_xlfn.MAXIFS($K:$K,$A:$A,A205),IF(AND(_xlpm.maxVal=K205,O205&lt;&gt;0),_xlpm.maxVal,""))</f>
        <v/>
      </c>
      <c r="Y205" s="27" t="str">
        <f>_xlfn.LET(_xlpm.maxVal,_xlfn.MAXIFS($K:$K,$A:$A,A205),IF(AND(_xlpm.maxVal=K205,P205&lt;&gt;0),_xlpm.maxVal,""))</f>
        <v/>
      </c>
      <c r="Z205" s="27" t="str">
        <f>_xlfn.LET(_xlpm.maxVal,_xlfn.MAXIFS($K:$K,$A:$A,A205),IF(AND(_xlpm.maxVal=K205,Q205&lt;&gt;0),_xlpm.maxVal,""))</f>
        <v/>
      </c>
      <c r="AA205" s="27" t="str">
        <f>_xlfn.LET(_xlpm.maxVal,_xlfn.MAXIFS($K:$K,$A:$A,A205),IF(AND(_xlpm.maxVal=K205,R205&lt;&gt;0),_xlpm.maxVal,""))</f>
        <v/>
      </c>
      <c r="AB205" s="27" t="str">
        <f>_xlfn.LET(_xlpm.maxVal,_xlfn.MAXIFS($K:$K,$A:$A,A205),IF(AND(_xlpm.maxVal=K205,S205&lt;&gt;0),_xlpm.maxVal,""))</f>
        <v/>
      </c>
      <c r="AC205" s="27" t="str">
        <f>_xlfn.LET(_xlpm.maxVal,_xlfn.MAXIFS($K:$K,$A:$A,A205),IF(AND(_xlpm.maxVal=K205,T205&lt;&gt;0),_xlpm.maxVal,""))</f>
        <v/>
      </c>
      <c r="AD205" s="27">
        <f>$K205*L205*负载统计!$K$3/60</f>
        <v>0</v>
      </c>
      <c r="AE205" s="27">
        <f>$K205*L205*负载统计!$K$4/60</f>
        <v>0</v>
      </c>
      <c r="AF205" s="27">
        <f>$K205*N205*负载统计!$K$5/60</f>
        <v>0</v>
      </c>
      <c r="AG205" s="27">
        <f>$K205*O205*负载统计!$K$6/60</f>
        <v>0</v>
      </c>
      <c r="AH205" s="27">
        <f>$K205*P205*负载统计!$K$7/60</f>
        <v>0</v>
      </c>
      <c r="AI205" s="27">
        <f>$K205*Q205*负载统计!$K$8/60</f>
        <v>0</v>
      </c>
      <c r="AJ205" s="27">
        <f>$K205*R205*负载统计!$K$9/60</f>
        <v>0</v>
      </c>
      <c r="AK205" s="27">
        <f>$K205*S205*负载统计!$K$10/60</f>
        <v>0</v>
      </c>
      <c r="AL205" s="27">
        <f>$K205*T205*负载统计!$K$11/60</f>
        <v>0</v>
      </c>
    </row>
    <row r="206" spans="1:38">
      <c r="A206" s="1">
        <v>91</v>
      </c>
      <c r="B206" s="24" t="s">
        <v>1451</v>
      </c>
      <c r="C206" s="24" t="s">
        <v>1428</v>
      </c>
      <c r="D206" s="24" t="s">
        <v>726</v>
      </c>
      <c r="E206" s="24" t="s">
        <v>727</v>
      </c>
      <c r="F206" s="24" t="s">
        <v>728</v>
      </c>
      <c r="G206" s="25">
        <f>VLOOKUP(A206,负载电气特性!A:G,7,FALSE)</f>
        <v>28</v>
      </c>
      <c r="H206" s="26" t="s">
        <v>61</v>
      </c>
      <c r="I206" s="25" t="s">
        <v>1706</v>
      </c>
      <c r="J206" s="24" t="s">
        <v>1718</v>
      </c>
      <c r="K206" s="25">
        <v>0.015</v>
      </c>
      <c r="L206" s="25">
        <v>1</v>
      </c>
      <c r="M206" s="25">
        <v>1</v>
      </c>
      <c r="N206" s="25">
        <v>1</v>
      </c>
      <c r="O206" s="25">
        <v>0</v>
      </c>
      <c r="P206" s="25">
        <v>0</v>
      </c>
      <c r="Q206" s="25">
        <v>0</v>
      </c>
      <c r="R206" s="25">
        <v>0</v>
      </c>
      <c r="S206" s="25">
        <v>0</v>
      </c>
      <c r="T206" s="25">
        <v>0</v>
      </c>
      <c r="U206" s="27">
        <f>_xlfn.LET(_xlpm.maxVal,_xlfn.MAXIFS($K:$K,$A:$A,A206),IF(AND(_xlpm.maxVal=K206,L206&lt;&gt;0),_xlpm.maxVal,""))</f>
        <v>0.015</v>
      </c>
      <c r="V206" s="27">
        <f>_xlfn.LET(_xlpm.maxVal,_xlfn.MAXIFS($K:$K,$A:$A,A206),IF(AND(_xlpm.maxVal=K206,M206&lt;&gt;0),_xlpm.maxVal,""))</f>
        <v>0.015</v>
      </c>
      <c r="W206" s="27">
        <f>_xlfn.LET(_xlpm.maxVal,_xlfn.MAXIFS($K:$K,$A:$A,A206),IF(AND(_xlpm.maxVal=K206,N206&lt;&gt;0),_xlpm.maxVal,""))</f>
        <v>0.015</v>
      </c>
      <c r="X206" s="27" t="str">
        <f>_xlfn.LET(_xlpm.maxVal,_xlfn.MAXIFS($K:$K,$A:$A,A206),IF(AND(_xlpm.maxVal=K206,O206&lt;&gt;0),_xlpm.maxVal,""))</f>
        <v/>
      </c>
      <c r="Y206" s="27" t="str">
        <f>_xlfn.LET(_xlpm.maxVal,_xlfn.MAXIFS($K:$K,$A:$A,A206),IF(AND(_xlpm.maxVal=K206,P206&lt;&gt;0),_xlpm.maxVal,""))</f>
        <v/>
      </c>
      <c r="Z206" s="27" t="str">
        <f>_xlfn.LET(_xlpm.maxVal,_xlfn.MAXIFS($K:$K,$A:$A,A206),IF(AND(_xlpm.maxVal=K206,Q206&lt;&gt;0),_xlpm.maxVal,""))</f>
        <v/>
      </c>
      <c r="AA206" s="27" t="str">
        <f>_xlfn.LET(_xlpm.maxVal,_xlfn.MAXIFS($K:$K,$A:$A,A206),IF(AND(_xlpm.maxVal=K206,R206&lt;&gt;0),_xlpm.maxVal,""))</f>
        <v/>
      </c>
      <c r="AB206" s="27" t="str">
        <f>_xlfn.LET(_xlpm.maxVal,_xlfn.MAXIFS($K:$K,$A:$A,A206),IF(AND(_xlpm.maxVal=K206,S206&lt;&gt;0),_xlpm.maxVal,""))</f>
        <v/>
      </c>
      <c r="AC206" s="27" t="str">
        <f>_xlfn.LET(_xlpm.maxVal,_xlfn.MAXIFS($K:$K,$A:$A,A206),IF(AND(_xlpm.maxVal=K206,T206&lt;&gt;0),_xlpm.maxVal,""))</f>
        <v/>
      </c>
      <c r="AD206" s="27">
        <f>$K206*L206*负载统计!$K$3/60</f>
        <v>0</v>
      </c>
      <c r="AE206" s="27">
        <f>$K206*L206*负载统计!$K$4/60</f>
        <v>0</v>
      </c>
      <c r="AF206" s="27">
        <f>$K206*N206*负载统计!$K$5/60</f>
        <v>0.00025</v>
      </c>
      <c r="AG206" s="27">
        <f>$K206*O206*负载统计!$K$6/60</f>
        <v>0</v>
      </c>
      <c r="AH206" s="27">
        <f>$K206*P206*负载统计!$K$7/60</f>
        <v>0</v>
      </c>
      <c r="AI206" s="27">
        <f>$K206*Q206*负载统计!$K$8/60</f>
        <v>0</v>
      </c>
      <c r="AJ206" s="27">
        <f>$K206*R206*负载统计!$K$9/60</f>
        <v>0</v>
      </c>
      <c r="AK206" s="27">
        <f>$K206*S206*负载统计!$K$10/60</f>
        <v>0</v>
      </c>
      <c r="AL206" s="27">
        <f>$K206*T206*负载统计!$K$11/60</f>
        <v>0</v>
      </c>
    </row>
    <row r="207" spans="1:38">
      <c r="A207" s="1">
        <v>92</v>
      </c>
      <c r="B207" s="24" t="s">
        <v>1452</v>
      </c>
      <c r="C207" s="24" t="s">
        <v>1428</v>
      </c>
      <c r="D207" s="24" t="s">
        <v>726</v>
      </c>
      <c r="E207" s="24" t="s">
        <v>727</v>
      </c>
      <c r="F207" s="24" t="s">
        <v>728</v>
      </c>
      <c r="G207" s="25">
        <f>VLOOKUP(A207,负载电气特性!A:G,7,FALSE)</f>
        <v>28</v>
      </c>
      <c r="H207" s="26" t="s">
        <v>61</v>
      </c>
      <c r="I207" s="25" t="s">
        <v>1706</v>
      </c>
      <c r="J207" s="24" t="s">
        <v>1718</v>
      </c>
      <c r="K207" s="25">
        <v>0.04</v>
      </c>
      <c r="L207" s="25">
        <v>0</v>
      </c>
      <c r="M207" s="25">
        <v>0</v>
      </c>
      <c r="N207" s="25">
        <v>0</v>
      </c>
      <c r="O207" s="25">
        <v>1</v>
      </c>
      <c r="P207" s="25">
        <v>1</v>
      </c>
      <c r="Q207" s="25">
        <v>1</v>
      </c>
      <c r="R207" s="25">
        <v>1</v>
      </c>
      <c r="S207" s="25">
        <v>1</v>
      </c>
      <c r="T207" s="25">
        <v>1</v>
      </c>
      <c r="U207" s="27" t="str">
        <f>_xlfn.LET(_xlpm.maxVal,_xlfn.MAXIFS($K:$K,$A:$A,A207),IF(AND(_xlpm.maxVal=K207,L207&lt;&gt;0),_xlpm.maxVal,""))</f>
        <v/>
      </c>
      <c r="V207" s="27" t="str">
        <f>_xlfn.LET(_xlpm.maxVal,_xlfn.MAXIFS($K:$K,$A:$A,A207),IF(AND(_xlpm.maxVal=K207,M207&lt;&gt;0),_xlpm.maxVal,""))</f>
        <v/>
      </c>
      <c r="W207" s="27" t="str">
        <f>_xlfn.LET(_xlpm.maxVal,_xlfn.MAXIFS($K:$K,$A:$A,A207),IF(AND(_xlpm.maxVal=K207,N207&lt;&gt;0),_xlpm.maxVal,""))</f>
        <v/>
      </c>
      <c r="X207" s="27">
        <f>_xlfn.LET(_xlpm.maxVal,_xlfn.MAXIFS($K:$K,$A:$A,A207),IF(AND(_xlpm.maxVal=K207,O207&lt;&gt;0),_xlpm.maxVal,""))</f>
        <v>0.04</v>
      </c>
      <c r="Y207" s="27">
        <f>_xlfn.LET(_xlpm.maxVal,_xlfn.MAXIFS($K:$K,$A:$A,A207),IF(AND(_xlpm.maxVal=K207,P207&lt;&gt;0),_xlpm.maxVal,""))</f>
        <v>0.04</v>
      </c>
      <c r="Z207" s="27">
        <f>_xlfn.LET(_xlpm.maxVal,_xlfn.MAXIFS($K:$K,$A:$A,A207),IF(AND(_xlpm.maxVal=K207,Q207&lt;&gt;0),_xlpm.maxVal,""))</f>
        <v>0.04</v>
      </c>
      <c r="AA207" s="27">
        <f>_xlfn.LET(_xlpm.maxVal,_xlfn.MAXIFS($K:$K,$A:$A,A207),IF(AND(_xlpm.maxVal=K207,R207&lt;&gt;0),_xlpm.maxVal,""))</f>
        <v>0.04</v>
      </c>
      <c r="AB207" s="27">
        <f>_xlfn.LET(_xlpm.maxVal,_xlfn.MAXIFS($K:$K,$A:$A,A207),IF(AND(_xlpm.maxVal=K207,S207&lt;&gt;0),_xlpm.maxVal,""))</f>
        <v>0.04</v>
      </c>
      <c r="AC207" s="27">
        <f>_xlfn.LET(_xlpm.maxVal,_xlfn.MAXIFS($K:$K,$A:$A,A207),IF(AND(_xlpm.maxVal=K207,T207&lt;&gt;0),_xlpm.maxVal,""))</f>
        <v>0.04</v>
      </c>
      <c r="AD207" s="27">
        <f>$K207*L207*负载统计!$K$3/60</f>
        <v>0</v>
      </c>
      <c r="AE207" s="27">
        <f>$K207*L207*负载统计!$K$4/60</f>
        <v>0</v>
      </c>
      <c r="AF207" s="27">
        <f>$K207*N207*负载统计!$K$5/60</f>
        <v>0</v>
      </c>
      <c r="AG207" s="27">
        <f>$K207*O207*负载统计!$K$6/60</f>
        <v>0.002</v>
      </c>
      <c r="AH207" s="27">
        <f>$K207*P207*负载统计!$K$7/60</f>
        <v>0.00451333333333333</v>
      </c>
      <c r="AI207" s="27">
        <f>$K207*Q207*负载统计!$K$8/60</f>
        <v>0.0290666666666667</v>
      </c>
      <c r="AJ207" s="27">
        <f>$K207*R207*负载统计!$K$9/60</f>
        <v>0.00923333333333333</v>
      </c>
      <c r="AK207" s="27">
        <f>$K207*S207*负载统计!$K$10/60</f>
        <v>0.000333333333333333</v>
      </c>
      <c r="AL207" s="27">
        <f>$K207*T207*负载统计!$K$11/60</f>
        <v>0.00266666666666667</v>
      </c>
    </row>
    <row r="208" spans="1:38">
      <c r="A208" s="1">
        <v>92</v>
      </c>
      <c r="B208" s="24" t="s">
        <v>1452</v>
      </c>
      <c r="C208" s="24" t="s">
        <v>1428</v>
      </c>
      <c r="D208" s="24" t="s">
        <v>726</v>
      </c>
      <c r="E208" s="24" t="s">
        <v>727</v>
      </c>
      <c r="F208" s="24" t="s">
        <v>728</v>
      </c>
      <c r="G208" s="25">
        <f>VLOOKUP(A208,负载电气特性!A:G,7,FALSE)</f>
        <v>28</v>
      </c>
      <c r="H208" s="26" t="s">
        <v>61</v>
      </c>
      <c r="I208" s="25" t="s">
        <v>1706</v>
      </c>
      <c r="J208" s="25" t="s">
        <v>1708</v>
      </c>
      <c r="K208" s="25">
        <v>0</v>
      </c>
      <c r="L208" s="25">
        <v>1</v>
      </c>
      <c r="M208" s="25">
        <v>1</v>
      </c>
      <c r="N208" s="25">
        <v>1</v>
      </c>
      <c r="O208" s="25">
        <v>0</v>
      </c>
      <c r="P208" s="25">
        <v>0</v>
      </c>
      <c r="Q208" s="25">
        <v>0</v>
      </c>
      <c r="R208" s="25">
        <v>0</v>
      </c>
      <c r="S208" s="25">
        <v>0</v>
      </c>
      <c r="T208" s="25">
        <v>0</v>
      </c>
      <c r="U208" s="27" t="str">
        <f>_xlfn.LET(_xlpm.maxVal,_xlfn.MAXIFS($K:$K,$A:$A,A208),IF(AND(_xlpm.maxVal=K208,L208&lt;&gt;0),_xlpm.maxVal,""))</f>
        <v/>
      </c>
      <c r="V208" s="27" t="str">
        <f>_xlfn.LET(_xlpm.maxVal,_xlfn.MAXIFS($K:$K,$A:$A,A208),IF(AND(_xlpm.maxVal=K208,M208&lt;&gt;0),_xlpm.maxVal,""))</f>
        <v/>
      </c>
      <c r="W208" s="27" t="str">
        <f>_xlfn.LET(_xlpm.maxVal,_xlfn.MAXIFS($K:$K,$A:$A,A208),IF(AND(_xlpm.maxVal=K208,N208&lt;&gt;0),_xlpm.maxVal,""))</f>
        <v/>
      </c>
      <c r="X208" s="27" t="str">
        <f>_xlfn.LET(_xlpm.maxVal,_xlfn.MAXIFS($K:$K,$A:$A,A208),IF(AND(_xlpm.maxVal=K208,O208&lt;&gt;0),_xlpm.maxVal,""))</f>
        <v/>
      </c>
      <c r="Y208" s="27" t="str">
        <f>_xlfn.LET(_xlpm.maxVal,_xlfn.MAXIFS($K:$K,$A:$A,A208),IF(AND(_xlpm.maxVal=K208,P208&lt;&gt;0),_xlpm.maxVal,""))</f>
        <v/>
      </c>
      <c r="Z208" s="27" t="str">
        <f>_xlfn.LET(_xlpm.maxVal,_xlfn.MAXIFS($K:$K,$A:$A,A208),IF(AND(_xlpm.maxVal=K208,Q208&lt;&gt;0),_xlpm.maxVal,""))</f>
        <v/>
      </c>
      <c r="AA208" s="27" t="str">
        <f>_xlfn.LET(_xlpm.maxVal,_xlfn.MAXIFS($K:$K,$A:$A,A208),IF(AND(_xlpm.maxVal=K208,R208&lt;&gt;0),_xlpm.maxVal,""))</f>
        <v/>
      </c>
      <c r="AB208" s="27" t="str">
        <f>_xlfn.LET(_xlpm.maxVal,_xlfn.MAXIFS($K:$K,$A:$A,A208),IF(AND(_xlpm.maxVal=K208,S208&lt;&gt;0),_xlpm.maxVal,""))</f>
        <v/>
      </c>
      <c r="AC208" s="27" t="str">
        <f>_xlfn.LET(_xlpm.maxVal,_xlfn.MAXIFS($K:$K,$A:$A,A208),IF(AND(_xlpm.maxVal=K208,T208&lt;&gt;0),_xlpm.maxVal,""))</f>
        <v/>
      </c>
      <c r="AD208" s="27">
        <f>$K208*L208*负载统计!$K$3/60</f>
        <v>0</v>
      </c>
      <c r="AE208" s="27">
        <f>$K208*L208*负载统计!$K$4/60</f>
        <v>0</v>
      </c>
      <c r="AF208" s="27">
        <f>$K208*N208*负载统计!$K$5/60</f>
        <v>0</v>
      </c>
      <c r="AG208" s="27">
        <f>$K208*O208*负载统计!$K$6/60</f>
        <v>0</v>
      </c>
      <c r="AH208" s="27">
        <f>$K208*P208*负载统计!$K$7/60</f>
        <v>0</v>
      </c>
      <c r="AI208" s="27">
        <f>$K208*Q208*负载统计!$K$8/60</f>
        <v>0</v>
      </c>
      <c r="AJ208" s="27">
        <f>$K208*R208*负载统计!$K$9/60</f>
        <v>0</v>
      </c>
      <c r="AK208" s="27">
        <f>$K208*S208*负载统计!$K$10/60</f>
        <v>0</v>
      </c>
      <c r="AL208" s="27">
        <f>$K208*T208*负载统计!$K$11/60</f>
        <v>0</v>
      </c>
    </row>
    <row r="209" spans="1:38">
      <c r="A209" s="1">
        <v>93</v>
      </c>
      <c r="B209" s="24" t="s">
        <v>1453</v>
      </c>
      <c r="C209" s="24" t="s">
        <v>1428</v>
      </c>
      <c r="D209" s="24" t="s">
        <v>735</v>
      </c>
      <c r="E209" s="24" t="s">
        <v>736</v>
      </c>
      <c r="F209" s="24" t="s">
        <v>737</v>
      </c>
      <c r="G209" s="25">
        <f>VLOOKUP(A209,负载电气特性!A:G,7,FALSE)</f>
        <v>28</v>
      </c>
      <c r="H209" s="26" t="s">
        <v>61</v>
      </c>
      <c r="I209" s="25" t="s">
        <v>1706</v>
      </c>
      <c r="J209" s="24" t="s">
        <v>1718</v>
      </c>
      <c r="K209" s="25">
        <v>0.12</v>
      </c>
      <c r="L209" s="25">
        <v>0</v>
      </c>
      <c r="M209" s="25">
        <v>0</v>
      </c>
      <c r="N209" s="25">
        <v>0</v>
      </c>
      <c r="O209" s="25">
        <v>1</v>
      </c>
      <c r="P209" s="25">
        <v>1</v>
      </c>
      <c r="Q209" s="25">
        <v>1</v>
      </c>
      <c r="R209" s="25">
        <v>1</v>
      </c>
      <c r="S209" s="25">
        <v>1</v>
      </c>
      <c r="T209" s="25">
        <v>1</v>
      </c>
      <c r="U209" s="27" t="str">
        <f>_xlfn.LET(_xlpm.maxVal,_xlfn.MAXIFS($K:$K,$A:$A,A209),IF(AND(_xlpm.maxVal=K209,L209&lt;&gt;0),_xlpm.maxVal,""))</f>
        <v/>
      </c>
      <c r="V209" s="27" t="str">
        <f>_xlfn.LET(_xlpm.maxVal,_xlfn.MAXIFS($K:$K,$A:$A,A209),IF(AND(_xlpm.maxVal=K209,M209&lt;&gt;0),_xlpm.maxVal,""))</f>
        <v/>
      </c>
      <c r="W209" s="27" t="str">
        <f>_xlfn.LET(_xlpm.maxVal,_xlfn.MAXIFS($K:$K,$A:$A,A209),IF(AND(_xlpm.maxVal=K209,N209&lt;&gt;0),_xlpm.maxVal,""))</f>
        <v/>
      </c>
      <c r="X209" s="27">
        <f>_xlfn.LET(_xlpm.maxVal,_xlfn.MAXIFS($K:$K,$A:$A,A209),IF(AND(_xlpm.maxVal=K209,O209&lt;&gt;0),_xlpm.maxVal,""))</f>
        <v>0.12</v>
      </c>
      <c r="Y209" s="27">
        <f>_xlfn.LET(_xlpm.maxVal,_xlfn.MAXIFS($K:$K,$A:$A,A209),IF(AND(_xlpm.maxVal=K209,P209&lt;&gt;0),_xlpm.maxVal,""))</f>
        <v>0.12</v>
      </c>
      <c r="Z209" s="27">
        <f>_xlfn.LET(_xlpm.maxVal,_xlfn.MAXIFS($K:$K,$A:$A,A209),IF(AND(_xlpm.maxVal=K209,Q209&lt;&gt;0),_xlpm.maxVal,""))</f>
        <v>0.12</v>
      </c>
      <c r="AA209" s="27">
        <f>_xlfn.LET(_xlpm.maxVal,_xlfn.MAXIFS($K:$K,$A:$A,A209),IF(AND(_xlpm.maxVal=K209,R209&lt;&gt;0),_xlpm.maxVal,""))</f>
        <v>0.12</v>
      </c>
      <c r="AB209" s="27">
        <f>_xlfn.LET(_xlpm.maxVal,_xlfn.MAXIFS($K:$K,$A:$A,A209),IF(AND(_xlpm.maxVal=K209,S209&lt;&gt;0),_xlpm.maxVal,""))</f>
        <v>0.12</v>
      </c>
      <c r="AC209" s="27">
        <f>_xlfn.LET(_xlpm.maxVal,_xlfn.MAXIFS($K:$K,$A:$A,A209),IF(AND(_xlpm.maxVal=K209,T209&lt;&gt;0),_xlpm.maxVal,""))</f>
        <v>0.12</v>
      </c>
      <c r="AD209" s="27">
        <f>$K209*L209*负载统计!$K$3/60</f>
        <v>0</v>
      </c>
      <c r="AE209" s="27">
        <f>$K209*L209*负载统计!$K$4/60</f>
        <v>0</v>
      </c>
      <c r="AF209" s="27">
        <f>$K209*N209*负载统计!$K$5/60</f>
        <v>0</v>
      </c>
      <c r="AG209" s="27">
        <f>$K209*O209*负载统计!$K$6/60</f>
        <v>0.006</v>
      </c>
      <c r="AH209" s="27">
        <f>$K209*P209*负载统计!$K$7/60</f>
        <v>0.01354</v>
      </c>
      <c r="AI209" s="27">
        <f>$K209*Q209*负载统计!$K$8/60</f>
        <v>0.0872</v>
      </c>
      <c r="AJ209" s="27">
        <f>$K209*R209*负载统计!$K$9/60</f>
        <v>0.0277</v>
      </c>
      <c r="AK209" s="27">
        <f>$K209*S209*负载统计!$K$10/60</f>
        <v>0.001</v>
      </c>
      <c r="AL209" s="27">
        <f>$K209*T209*负载统计!$K$11/60</f>
        <v>0.008</v>
      </c>
    </row>
    <row r="210" spans="1:38">
      <c r="A210" s="1">
        <v>93</v>
      </c>
      <c r="B210" s="24" t="s">
        <v>1453</v>
      </c>
      <c r="C210" s="24" t="s">
        <v>1428</v>
      </c>
      <c r="D210" s="24" t="s">
        <v>735</v>
      </c>
      <c r="E210" s="24" t="s">
        <v>736</v>
      </c>
      <c r="F210" s="24" t="s">
        <v>737</v>
      </c>
      <c r="G210" s="25">
        <f>VLOOKUP(A210,负载电气特性!A:G,7,FALSE)</f>
        <v>28</v>
      </c>
      <c r="H210" s="26" t="s">
        <v>61</v>
      </c>
      <c r="I210" s="25" t="s">
        <v>1706</v>
      </c>
      <c r="J210" s="25" t="s">
        <v>1708</v>
      </c>
      <c r="K210" s="25">
        <v>0</v>
      </c>
      <c r="L210" s="25">
        <v>1</v>
      </c>
      <c r="M210" s="25">
        <v>1</v>
      </c>
      <c r="N210" s="25">
        <v>1</v>
      </c>
      <c r="O210" s="25">
        <v>0</v>
      </c>
      <c r="P210" s="25">
        <v>0</v>
      </c>
      <c r="Q210" s="25">
        <v>0</v>
      </c>
      <c r="R210" s="25">
        <v>0</v>
      </c>
      <c r="S210" s="25">
        <v>0</v>
      </c>
      <c r="T210" s="25">
        <v>0</v>
      </c>
      <c r="U210" s="27" t="str">
        <f>_xlfn.LET(_xlpm.maxVal,_xlfn.MAXIFS($K:$K,$A:$A,A210),IF(AND(_xlpm.maxVal=K210,L210&lt;&gt;0),_xlpm.maxVal,""))</f>
        <v/>
      </c>
      <c r="V210" s="27" t="str">
        <f>_xlfn.LET(_xlpm.maxVal,_xlfn.MAXIFS($K:$K,$A:$A,A210),IF(AND(_xlpm.maxVal=K210,M210&lt;&gt;0),_xlpm.maxVal,""))</f>
        <v/>
      </c>
      <c r="W210" s="27" t="str">
        <f>_xlfn.LET(_xlpm.maxVal,_xlfn.MAXIFS($K:$K,$A:$A,A210),IF(AND(_xlpm.maxVal=K210,N210&lt;&gt;0),_xlpm.maxVal,""))</f>
        <v/>
      </c>
      <c r="X210" s="27" t="str">
        <f>_xlfn.LET(_xlpm.maxVal,_xlfn.MAXIFS($K:$K,$A:$A,A210),IF(AND(_xlpm.maxVal=K210,O210&lt;&gt;0),_xlpm.maxVal,""))</f>
        <v/>
      </c>
      <c r="Y210" s="27" t="str">
        <f>_xlfn.LET(_xlpm.maxVal,_xlfn.MAXIFS($K:$K,$A:$A,A210),IF(AND(_xlpm.maxVal=K210,P210&lt;&gt;0),_xlpm.maxVal,""))</f>
        <v/>
      </c>
      <c r="Z210" s="27" t="str">
        <f>_xlfn.LET(_xlpm.maxVal,_xlfn.MAXIFS($K:$K,$A:$A,A210),IF(AND(_xlpm.maxVal=K210,Q210&lt;&gt;0),_xlpm.maxVal,""))</f>
        <v/>
      </c>
      <c r="AA210" s="27" t="str">
        <f>_xlfn.LET(_xlpm.maxVal,_xlfn.MAXIFS($K:$K,$A:$A,A210),IF(AND(_xlpm.maxVal=K210,R210&lt;&gt;0),_xlpm.maxVal,""))</f>
        <v/>
      </c>
      <c r="AB210" s="27" t="str">
        <f>_xlfn.LET(_xlpm.maxVal,_xlfn.MAXIFS($K:$K,$A:$A,A210),IF(AND(_xlpm.maxVal=K210,S210&lt;&gt;0),_xlpm.maxVal,""))</f>
        <v/>
      </c>
      <c r="AC210" s="27" t="str">
        <f>_xlfn.LET(_xlpm.maxVal,_xlfn.MAXIFS($K:$K,$A:$A,A210),IF(AND(_xlpm.maxVal=K210,T210&lt;&gt;0),_xlpm.maxVal,""))</f>
        <v/>
      </c>
      <c r="AD210" s="27">
        <f>$K210*L210*负载统计!$K$3/60</f>
        <v>0</v>
      </c>
      <c r="AE210" s="27">
        <f>$K210*L210*负载统计!$K$4/60</f>
        <v>0</v>
      </c>
      <c r="AF210" s="27">
        <f>$K210*N210*负载统计!$K$5/60</f>
        <v>0</v>
      </c>
      <c r="AG210" s="27">
        <f>$K210*O210*负载统计!$K$6/60</f>
        <v>0</v>
      </c>
      <c r="AH210" s="27">
        <f>$K210*P210*负载统计!$K$7/60</f>
        <v>0</v>
      </c>
      <c r="AI210" s="27">
        <f>$K210*Q210*负载统计!$K$8/60</f>
        <v>0</v>
      </c>
      <c r="AJ210" s="27">
        <f>$K210*R210*负载统计!$K$9/60</f>
        <v>0</v>
      </c>
      <c r="AK210" s="27">
        <f>$K210*S210*负载统计!$K$10/60</f>
        <v>0</v>
      </c>
      <c r="AL210" s="27">
        <f>$K210*T210*负载统计!$K$11/60</f>
        <v>0</v>
      </c>
    </row>
    <row r="211" spans="1:38">
      <c r="A211" s="1">
        <v>94</v>
      </c>
      <c r="B211" s="24" t="s">
        <v>1454</v>
      </c>
      <c r="C211" s="24" t="s">
        <v>1428</v>
      </c>
      <c r="D211" s="24" t="s">
        <v>738</v>
      </c>
      <c r="E211" s="24" t="s">
        <v>736</v>
      </c>
      <c r="F211" s="24" t="s">
        <v>739</v>
      </c>
      <c r="G211" s="25">
        <f>VLOOKUP(A211,负载电气特性!A:G,7,FALSE)</f>
        <v>28</v>
      </c>
      <c r="H211" s="26" t="s">
        <v>61</v>
      </c>
      <c r="I211" s="25" t="s">
        <v>1706</v>
      </c>
      <c r="J211" s="24" t="s">
        <v>1718</v>
      </c>
      <c r="K211" s="25">
        <v>0.12</v>
      </c>
      <c r="L211" s="25">
        <v>0</v>
      </c>
      <c r="M211" s="25">
        <v>0</v>
      </c>
      <c r="N211" s="25">
        <v>0</v>
      </c>
      <c r="O211" s="25">
        <v>1</v>
      </c>
      <c r="P211" s="25">
        <v>1</v>
      </c>
      <c r="Q211" s="25">
        <v>1</v>
      </c>
      <c r="R211" s="25">
        <v>1</v>
      </c>
      <c r="S211" s="25">
        <v>1</v>
      </c>
      <c r="T211" s="25">
        <v>1</v>
      </c>
      <c r="U211" s="27" t="str">
        <f>_xlfn.LET(_xlpm.maxVal,_xlfn.MAXIFS($K:$K,$A:$A,A211),IF(AND(_xlpm.maxVal=K211,L211&lt;&gt;0),_xlpm.maxVal,""))</f>
        <v/>
      </c>
      <c r="V211" s="27" t="str">
        <f>_xlfn.LET(_xlpm.maxVal,_xlfn.MAXIFS($K:$K,$A:$A,A211),IF(AND(_xlpm.maxVal=K211,M211&lt;&gt;0),_xlpm.maxVal,""))</f>
        <v/>
      </c>
      <c r="W211" s="27" t="str">
        <f>_xlfn.LET(_xlpm.maxVal,_xlfn.MAXIFS($K:$K,$A:$A,A211),IF(AND(_xlpm.maxVal=K211,N211&lt;&gt;0),_xlpm.maxVal,""))</f>
        <v/>
      </c>
      <c r="X211" s="27">
        <f>_xlfn.LET(_xlpm.maxVal,_xlfn.MAXIFS($K:$K,$A:$A,A211),IF(AND(_xlpm.maxVal=K211,O211&lt;&gt;0),_xlpm.maxVal,""))</f>
        <v>0.12</v>
      </c>
      <c r="Y211" s="27">
        <f>_xlfn.LET(_xlpm.maxVal,_xlfn.MAXIFS($K:$K,$A:$A,A211),IF(AND(_xlpm.maxVal=K211,P211&lt;&gt;0),_xlpm.maxVal,""))</f>
        <v>0.12</v>
      </c>
      <c r="Z211" s="27">
        <f>_xlfn.LET(_xlpm.maxVal,_xlfn.MAXIFS($K:$K,$A:$A,A211),IF(AND(_xlpm.maxVal=K211,Q211&lt;&gt;0),_xlpm.maxVal,""))</f>
        <v>0.12</v>
      </c>
      <c r="AA211" s="27">
        <f>_xlfn.LET(_xlpm.maxVal,_xlfn.MAXIFS($K:$K,$A:$A,A211),IF(AND(_xlpm.maxVal=K211,R211&lt;&gt;0),_xlpm.maxVal,""))</f>
        <v>0.12</v>
      </c>
      <c r="AB211" s="27">
        <f>_xlfn.LET(_xlpm.maxVal,_xlfn.MAXIFS($K:$K,$A:$A,A211),IF(AND(_xlpm.maxVal=K211,S211&lt;&gt;0),_xlpm.maxVal,""))</f>
        <v>0.12</v>
      </c>
      <c r="AC211" s="27">
        <f>_xlfn.LET(_xlpm.maxVal,_xlfn.MAXIFS($K:$K,$A:$A,A211),IF(AND(_xlpm.maxVal=K211,T211&lt;&gt;0),_xlpm.maxVal,""))</f>
        <v>0.12</v>
      </c>
      <c r="AD211" s="27">
        <f>$K211*L211*负载统计!$K$3/60</f>
        <v>0</v>
      </c>
      <c r="AE211" s="27">
        <f>$K211*L211*负载统计!$K$4/60</f>
        <v>0</v>
      </c>
      <c r="AF211" s="27">
        <f>$K211*N211*负载统计!$K$5/60</f>
        <v>0</v>
      </c>
      <c r="AG211" s="27">
        <f>$K211*O211*负载统计!$K$6/60</f>
        <v>0.006</v>
      </c>
      <c r="AH211" s="27">
        <f>$K211*P211*负载统计!$K$7/60</f>
        <v>0.01354</v>
      </c>
      <c r="AI211" s="27">
        <f>$K211*Q211*负载统计!$K$8/60</f>
        <v>0.0872</v>
      </c>
      <c r="AJ211" s="27">
        <f>$K211*R211*负载统计!$K$9/60</f>
        <v>0.0277</v>
      </c>
      <c r="AK211" s="27">
        <f>$K211*S211*负载统计!$K$10/60</f>
        <v>0.001</v>
      </c>
      <c r="AL211" s="27">
        <f>$K211*T211*负载统计!$K$11/60</f>
        <v>0.008</v>
      </c>
    </row>
    <row r="212" spans="1:38">
      <c r="A212" s="1">
        <v>94</v>
      </c>
      <c r="B212" s="24" t="s">
        <v>1454</v>
      </c>
      <c r="C212" s="24" t="s">
        <v>1428</v>
      </c>
      <c r="D212" s="24" t="s">
        <v>738</v>
      </c>
      <c r="E212" s="24" t="s">
        <v>736</v>
      </c>
      <c r="F212" s="24" t="s">
        <v>739</v>
      </c>
      <c r="G212" s="25">
        <f>VLOOKUP(A212,负载电气特性!A:G,7,FALSE)</f>
        <v>28</v>
      </c>
      <c r="H212" s="26" t="s">
        <v>61</v>
      </c>
      <c r="I212" s="25" t="s">
        <v>1706</v>
      </c>
      <c r="J212" s="25" t="s">
        <v>1708</v>
      </c>
      <c r="K212" s="25">
        <v>0</v>
      </c>
      <c r="L212" s="25">
        <v>1</v>
      </c>
      <c r="M212" s="25">
        <v>1</v>
      </c>
      <c r="N212" s="25">
        <v>1</v>
      </c>
      <c r="O212" s="25">
        <v>0</v>
      </c>
      <c r="P212" s="25">
        <v>0</v>
      </c>
      <c r="Q212" s="25">
        <v>0</v>
      </c>
      <c r="R212" s="25">
        <v>0</v>
      </c>
      <c r="S212" s="25">
        <v>0</v>
      </c>
      <c r="T212" s="25">
        <v>0</v>
      </c>
      <c r="U212" s="27" t="str">
        <f>_xlfn.LET(_xlpm.maxVal,_xlfn.MAXIFS($K:$K,$A:$A,A212),IF(AND(_xlpm.maxVal=K212,L212&lt;&gt;0),_xlpm.maxVal,""))</f>
        <v/>
      </c>
      <c r="V212" s="27" t="str">
        <f>_xlfn.LET(_xlpm.maxVal,_xlfn.MAXIFS($K:$K,$A:$A,A212),IF(AND(_xlpm.maxVal=K212,M212&lt;&gt;0),_xlpm.maxVal,""))</f>
        <v/>
      </c>
      <c r="W212" s="27" t="str">
        <f>_xlfn.LET(_xlpm.maxVal,_xlfn.MAXIFS($K:$K,$A:$A,A212),IF(AND(_xlpm.maxVal=K212,N212&lt;&gt;0),_xlpm.maxVal,""))</f>
        <v/>
      </c>
      <c r="X212" s="27" t="str">
        <f>_xlfn.LET(_xlpm.maxVal,_xlfn.MAXIFS($K:$K,$A:$A,A212),IF(AND(_xlpm.maxVal=K212,O212&lt;&gt;0),_xlpm.maxVal,""))</f>
        <v/>
      </c>
      <c r="Y212" s="27" t="str">
        <f>_xlfn.LET(_xlpm.maxVal,_xlfn.MAXIFS($K:$K,$A:$A,A212),IF(AND(_xlpm.maxVal=K212,P212&lt;&gt;0),_xlpm.maxVal,""))</f>
        <v/>
      </c>
      <c r="Z212" s="27" t="str">
        <f>_xlfn.LET(_xlpm.maxVal,_xlfn.MAXIFS($K:$K,$A:$A,A212),IF(AND(_xlpm.maxVal=K212,Q212&lt;&gt;0),_xlpm.maxVal,""))</f>
        <v/>
      </c>
      <c r="AA212" s="27" t="str">
        <f>_xlfn.LET(_xlpm.maxVal,_xlfn.MAXIFS($K:$K,$A:$A,A212),IF(AND(_xlpm.maxVal=K212,R212&lt;&gt;0),_xlpm.maxVal,""))</f>
        <v/>
      </c>
      <c r="AB212" s="27" t="str">
        <f>_xlfn.LET(_xlpm.maxVal,_xlfn.MAXIFS($K:$K,$A:$A,A212),IF(AND(_xlpm.maxVal=K212,S212&lt;&gt;0),_xlpm.maxVal,""))</f>
        <v/>
      </c>
      <c r="AC212" s="27" t="str">
        <f>_xlfn.LET(_xlpm.maxVal,_xlfn.MAXIFS($K:$K,$A:$A,A212),IF(AND(_xlpm.maxVal=K212,T212&lt;&gt;0),_xlpm.maxVal,""))</f>
        <v/>
      </c>
      <c r="AD212" s="27">
        <f>$K212*L212*负载统计!$K$3/60</f>
        <v>0</v>
      </c>
      <c r="AE212" s="27">
        <f>$K212*L212*负载统计!$K$4/60</f>
        <v>0</v>
      </c>
      <c r="AF212" s="27">
        <f>$K212*N212*负载统计!$K$5/60</f>
        <v>0</v>
      </c>
      <c r="AG212" s="27">
        <f>$K212*O212*负载统计!$K$6/60</f>
        <v>0</v>
      </c>
      <c r="AH212" s="27">
        <f>$K212*P212*负载统计!$K$7/60</f>
        <v>0</v>
      </c>
      <c r="AI212" s="27">
        <f>$K212*Q212*负载统计!$K$8/60</f>
        <v>0</v>
      </c>
      <c r="AJ212" s="27">
        <f>$K212*R212*负载统计!$K$9/60</f>
        <v>0</v>
      </c>
      <c r="AK212" s="27">
        <f>$K212*S212*负载统计!$K$10/60</f>
        <v>0</v>
      </c>
      <c r="AL212" s="27">
        <f>$K212*T212*负载统计!$K$11/60</f>
        <v>0</v>
      </c>
    </row>
    <row r="213" spans="1:38">
      <c r="A213" s="1">
        <v>95</v>
      </c>
      <c r="B213" s="24" t="s">
        <v>1455</v>
      </c>
      <c r="C213" s="24" t="s">
        <v>1428</v>
      </c>
      <c r="D213" s="24" t="s">
        <v>741</v>
      </c>
      <c r="E213" s="24" t="s">
        <v>742</v>
      </c>
      <c r="F213" s="24" t="s">
        <v>743</v>
      </c>
      <c r="G213" s="25">
        <f>VLOOKUP(A213,负载电气特性!A:G,7,FALSE)</f>
        <v>28</v>
      </c>
      <c r="H213" s="26" t="s">
        <v>61</v>
      </c>
      <c r="I213" s="25" t="s">
        <v>1706</v>
      </c>
      <c r="J213" s="24" t="s">
        <v>1718</v>
      </c>
      <c r="K213" s="25">
        <v>0.15</v>
      </c>
      <c r="L213" s="25">
        <v>0</v>
      </c>
      <c r="M213" s="25">
        <v>0</v>
      </c>
      <c r="N213" s="25">
        <v>0</v>
      </c>
      <c r="O213" s="25">
        <v>1</v>
      </c>
      <c r="P213" s="25">
        <v>1</v>
      </c>
      <c r="Q213" s="25">
        <v>1</v>
      </c>
      <c r="R213" s="25">
        <v>1</v>
      </c>
      <c r="S213" s="25">
        <v>1</v>
      </c>
      <c r="T213" s="25">
        <v>1</v>
      </c>
      <c r="U213" s="27" t="str">
        <f>_xlfn.LET(_xlpm.maxVal,_xlfn.MAXIFS($K:$K,$A:$A,A213),IF(AND(_xlpm.maxVal=K213,L213&lt;&gt;0),_xlpm.maxVal,""))</f>
        <v/>
      </c>
      <c r="V213" s="27" t="str">
        <f>_xlfn.LET(_xlpm.maxVal,_xlfn.MAXIFS($K:$K,$A:$A,A213),IF(AND(_xlpm.maxVal=K213,M213&lt;&gt;0),_xlpm.maxVal,""))</f>
        <v/>
      </c>
      <c r="W213" s="27" t="str">
        <f>_xlfn.LET(_xlpm.maxVal,_xlfn.MAXIFS($K:$K,$A:$A,A213),IF(AND(_xlpm.maxVal=K213,N213&lt;&gt;0),_xlpm.maxVal,""))</f>
        <v/>
      </c>
      <c r="X213" s="27">
        <f>_xlfn.LET(_xlpm.maxVal,_xlfn.MAXIFS($K:$K,$A:$A,A213),IF(AND(_xlpm.maxVal=K213,O213&lt;&gt;0),_xlpm.maxVal,""))</f>
        <v>0.15</v>
      </c>
      <c r="Y213" s="27">
        <f>_xlfn.LET(_xlpm.maxVal,_xlfn.MAXIFS($K:$K,$A:$A,A213),IF(AND(_xlpm.maxVal=K213,P213&lt;&gt;0),_xlpm.maxVal,""))</f>
        <v>0.15</v>
      </c>
      <c r="Z213" s="27">
        <f>_xlfn.LET(_xlpm.maxVal,_xlfn.MAXIFS($K:$K,$A:$A,A213),IF(AND(_xlpm.maxVal=K213,Q213&lt;&gt;0),_xlpm.maxVal,""))</f>
        <v>0.15</v>
      </c>
      <c r="AA213" s="27">
        <f>_xlfn.LET(_xlpm.maxVal,_xlfn.MAXIFS($K:$K,$A:$A,A213),IF(AND(_xlpm.maxVal=K213,R213&lt;&gt;0),_xlpm.maxVal,""))</f>
        <v>0.15</v>
      </c>
      <c r="AB213" s="27">
        <f>_xlfn.LET(_xlpm.maxVal,_xlfn.MAXIFS($K:$K,$A:$A,A213),IF(AND(_xlpm.maxVal=K213,S213&lt;&gt;0),_xlpm.maxVal,""))</f>
        <v>0.15</v>
      </c>
      <c r="AC213" s="27">
        <f>_xlfn.LET(_xlpm.maxVal,_xlfn.MAXIFS($K:$K,$A:$A,A213),IF(AND(_xlpm.maxVal=K213,T213&lt;&gt;0),_xlpm.maxVal,""))</f>
        <v>0.15</v>
      </c>
      <c r="AD213" s="27">
        <f>$K213*L213*负载统计!$K$3/60</f>
        <v>0</v>
      </c>
      <c r="AE213" s="27">
        <f>$K213*L213*负载统计!$K$4/60</f>
        <v>0</v>
      </c>
      <c r="AF213" s="27">
        <f>$K213*N213*负载统计!$K$5/60</f>
        <v>0</v>
      </c>
      <c r="AG213" s="27">
        <f>$K213*O213*负载统计!$K$6/60</f>
        <v>0.0075</v>
      </c>
      <c r="AH213" s="27">
        <f>$K213*P213*负载统计!$K$7/60</f>
        <v>0.016925</v>
      </c>
      <c r="AI213" s="27">
        <f>$K213*Q213*负载统计!$K$8/60</f>
        <v>0.109</v>
      </c>
      <c r="AJ213" s="27">
        <f>$K213*R213*负载统计!$K$9/60</f>
        <v>0.034625</v>
      </c>
      <c r="AK213" s="27">
        <f>$K213*S213*负载统计!$K$10/60</f>
        <v>0.00125</v>
      </c>
      <c r="AL213" s="27">
        <f>$K213*T213*负载统计!$K$11/60</f>
        <v>0.01</v>
      </c>
    </row>
    <row r="214" spans="1:38">
      <c r="A214" s="1">
        <v>95</v>
      </c>
      <c r="B214" s="24" t="s">
        <v>1455</v>
      </c>
      <c r="C214" s="24" t="s">
        <v>1428</v>
      </c>
      <c r="D214" s="24" t="s">
        <v>741</v>
      </c>
      <c r="E214" s="24" t="s">
        <v>742</v>
      </c>
      <c r="F214" s="24" t="s">
        <v>743</v>
      </c>
      <c r="G214" s="25">
        <f>VLOOKUP(A214,负载电气特性!A:G,7,FALSE)</f>
        <v>28</v>
      </c>
      <c r="H214" s="26" t="s">
        <v>61</v>
      </c>
      <c r="I214" s="25" t="s">
        <v>1706</v>
      </c>
      <c r="J214" s="25" t="s">
        <v>1708</v>
      </c>
      <c r="K214" s="25">
        <v>0</v>
      </c>
      <c r="L214" s="25">
        <v>1</v>
      </c>
      <c r="M214" s="25">
        <v>1</v>
      </c>
      <c r="N214" s="25">
        <v>1</v>
      </c>
      <c r="O214" s="25">
        <v>0</v>
      </c>
      <c r="P214" s="25">
        <v>0</v>
      </c>
      <c r="Q214" s="25">
        <v>0</v>
      </c>
      <c r="R214" s="25">
        <v>0</v>
      </c>
      <c r="S214" s="25">
        <v>0</v>
      </c>
      <c r="T214" s="25">
        <v>0</v>
      </c>
      <c r="U214" s="27" t="str">
        <f>_xlfn.LET(_xlpm.maxVal,_xlfn.MAXIFS($K:$K,$A:$A,A214),IF(AND(_xlpm.maxVal=K214,L214&lt;&gt;0),_xlpm.maxVal,""))</f>
        <v/>
      </c>
      <c r="V214" s="27" t="str">
        <f>_xlfn.LET(_xlpm.maxVal,_xlfn.MAXIFS($K:$K,$A:$A,A214),IF(AND(_xlpm.maxVal=K214,M214&lt;&gt;0),_xlpm.maxVal,""))</f>
        <v/>
      </c>
      <c r="W214" s="27" t="str">
        <f>_xlfn.LET(_xlpm.maxVal,_xlfn.MAXIFS($K:$K,$A:$A,A214),IF(AND(_xlpm.maxVal=K214,N214&lt;&gt;0),_xlpm.maxVal,""))</f>
        <v/>
      </c>
      <c r="X214" s="27" t="str">
        <f>_xlfn.LET(_xlpm.maxVal,_xlfn.MAXIFS($K:$K,$A:$A,A214),IF(AND(_xlpm.maxVal=K214,O214&lt;&gt;0),_xlpm.maxVal,""))</f>
        <v/>
      </c>
      <c r="Y214" s="27" t="str">
        <f>_xlfn.LET(_xlpm.maxVal,_xlfn.MAXIFS($K:$K,$A:$A,A214),IF(AND(_xlpm.maxVal=K214,P214&lt;&gt;0),_xlpm.maxVal,""))</f>
        <v/>
      </c>
      <c r="Z214" s="27" t="str">
        <f>_xlfn.LET(_xlpm.maxVal,_xlfn.MAXIFS($K:$K,$A:$A,A214),IF(AND(_xlpm.maxVal=K214,Q214&lt;&gt;0),_xlpm.maxVal,""))</f>
        <v/>
      </c>
      <c r="AA214" s="27" t="str">
        <f>_xlfn.LET(_xlpm.maxVal,_xlfn.MAXIFS($K:$K,$A:$A,A214),IF(AND(_xlpm.maxVal=K214,R214&lt;&gt;0),_xlpm.maxVal,""))</f>
        <v/>
      </c>
      <c r="AB214" s="27" t="str">
        <f>_xlfn.LET(_xlpm.maxVal,_xlfn.MAXIFS($K:$K,$A:$A,A214),IF(AND(_xlpm.maxVal=K214,S214&lt;&gt;0),_xlpm.maxVal,""))</f>
        <v/>
      </c>
      <c r="AC214" s="27" t="str">
        <f>_xlfn.LET(_xlpm.maxVal,_xlfn.MAXIFS($K:$K,$A:$A,A214),IF(AND(_xlpm.maxVal=K214,T214&lt;&gt;0),_xlpm.maxVal,""))</f>
        <v/>
      </c>
      <c r="AD214" s="27">
        <f>$K214*L214*负载统计!$K$3/60</f>
        <v>0</v>
      </c>
      <c r="AE214" s="27">
        <f>$K214*L214*负载统计!$K$4/60</f>
        <v>0</v>
      </c>
      <c r="AF214" s="27">
        <f>$K214*N214*负载统计!$K$5/60</f>
        <v>0</v>
      </c>
      <c r="AG214" s="27">
        <f>$K214*O214*负载统计!$K$6/60</f>
        <v>0</v>
      </c>
      <c r="AH214" s="27">
        <f>$K214*P214*负载统计!$K$7/60</f>
        <v>0</v>
      </c>
      <c r="AI214" s="27">
        <f>$K214*Q214*负载统计!$K$8/60</f>
        <v>0</v>
      </c>
      <c r="AJ214" s="27">
        <f>$K214*R214*负载统计!$K$9/60</f>
        <v>0</v>
      </c>
      <c r="AK214" s="27">
        <f>$K214*S214*负载统计!$K$10/60</f>
        <v>0</v>
      </c>
      <c r="AL214" s="27">
        <f>$K214*T214*负载统计!$K$11/60</f>
        <v>0</v>
      </c>
    </row>
    <row r="215" spans="1:38">
      <c r="A215" s="1">
        <v>96</v>
      </c>
      <c r="B215" s="24" t="s">
        <v>1456</v>
      </c>
      <c r="C215" s="24" t="s">
        <v>1428</v>
      </c>
      <c r="D215" s="24" t="s">
        <v>744</v>
      </c>
      <c r="E215" s="24" t="s">
        <v>742</v>
      </c>
      <c r="F215" s="24" t="s">
        <v>745</v>
      </c>
      <c r="G215" s="25">
        <f>VLOOKUP(A215,负载电气特性!A:G,7,FALSE)</f>
        <v>28</v>
      </c>
      <c r="H215" s="26" t="s">
        <v>61</v>
      </c>
      <c r="I215" s="25" t="s">
        <v>1706</v>
      </c>
      <c r="J215" s="24" t="s">
        <v>1718</v>
      </c>
      <c r="K215" s="25">
        <v>0.15</v>
      </c>
      <c r="L215" s="25">
        <v>0</v>
      </c>
      <c r="M215" s="25">
        <v>0</v>
      </c>
      <c r="N215" s="25">
        <v>0</v>
      </c>
      <c r="O215" s="25">
        <v>1</v>
      </c>
      <c r="P215" s="25">
        <v>1</v>
      </c>
      <c r="Q215" s="25">
        <v>1</v>
      </c>
      <c r="R215" s="25">
        <v>1</v>
      </c>
      <c r="S215" s="25">
        <v>1</v>
      </c>
      <c r="T215" s="25">
        <v>1</v>
      </c>
      <c r="U215" s="27" t="str">
        <f>_xlfn.LET(_xlpm.maxVal,_xlfn.MAXIFS($K:$K,$A:$A,A215),IF(AND(_xlpm.maxVal=K215,L215&lt;&gt;0),_xlpm.maxVal,""))</f>
        <v/>
      </c>
      <c r="V215" s="27" t="str">
        <f>_xlfn.LET(_xlpm.maxVal,_xlfn.MAXIFS($K:$K,$A:$A,A215),IF(AND(_xlpm.maxVal=K215,M215&lt;&gt;0),_xlpm.maxVal,""))</f>
        <v/>
      </c>
      <c r="W215" s="27" t="str">
        <f>_xlfn.LET(_xlpm.maxVal,_xlfn.MAXIFS($K:$K,$A:$A,A215),IF(AND(_xlpm.maxVal=K215,N215&lt;&gt;0),_xlpm.maxVal,""))</f>
        <v/>
      </c>
      <c r="X215" s="27">
        <f>_xlfn.LET(_xlpm.maxVal,_xlfn.MAXIFS($K:$K,$A:$A,A215),IF(AND(_xlpm.maxVal=K215,O215&lt;&gt;0),_xlpm.maxVal,""))</f>
        <v>0.15</v>
      </c>
      <c r="Y215" s="27">
        <f>_xlfn.LET(_xlpm.maxVal,_xlfn.MAXIFS($K:$K,$A:$A,A215),IF(AND(_xlpm.maxVal=K215,P215&lt;&gt;0),_xlpm.maxVal,""))</f>
        <v>0.15</v>
      </c>
      <c r="Z215" s="27">
        <f>_xlfn.LET(_xlpm.maxVal,_xlfn.MAXIFS($K:$K,$A:$A,A215),IF(AND(_xlpm.maxVal=K215,Q215&lt;&gt;0),_xlpm.maxVal,""))</f>
        <v>0.15</v>
      </c>
      <c r="AA215" s="27">
        <f>_xlfn.LET(_xlpm.maxVal,_xlfn.MAXIFS($K:$K,$A:$A,A215),IF(AND(_xlpm.maxVal=K215,R215&lt;&gt;0),_xlpm.maxVal,""))</f>
        <v>0.15</v>
      </c>
      <c r="AB215" s="27">
        <f>_xlfn.LET(_xlpm.maxVal,_xlfn.MAXIFS($K:$K,$A:$A,A215),IF(AND(_xlpm.maxVal=K215,S215&lt;&gt;0),_xlpm.maxVal,""))</f>
        <v>0.15</v>
      </c>
      <c r="AC215" s="27">
        <f>_xlfn.LET(_xlpm.maxVal,_xlfn.MAXIFS($K:$K,$A:$A,A215),IF(AND(_xlpm.maxVal=K215,T215&lt;&gt;0),_xlpm.maxVal,""))</f>
        <v>0.15</v>
      </c>
      <c r="AD215" s="27">
        <f>$K215*L215*负载统计!$K$3/60</f>
        <v>0</v>
      </c>
      <c r="AE215" s="27">
        <f>$K215*L215*负载统计!$K$4/60</f>
        <v>0</v>
      </c>
      <c r="AF215" s="27">
        <f>$K215*N215*负载统计!$K$5/60</f>
        <v>0</v>
      </c>
      <c r="AG215" s="27">
        <f>$K215*O215*负载统计!$K$6/60</f>
        <v>0.0075</v>
      </c>
      <c r="AH215" s="27">
        <f>$K215*P215*负载统计!$K$7/60</f>
        <v>0.016925</v>
      </c>
      <c r="AI215" s="27">
        <f>$K215*Q215*负载统计!$K$8/60</f>
        <v>0.109</v>
      </c>
      <c r="AJ215" s="27">
        <f>$K215*R215*负载统计!$K$9/60</f>
        <v>0.034625</v>
      </c>
      <c r="AK215" s="27">
        <f>$K215*S215*负载统计!$K$10/60</f>
        <v>0.00125</v>
      </c>
      <c r="AL215" s="27">
        <f>$K215*T215*负载统计!$K$11/60</f>
        <v>0.01</v>
      </c>
    </row>
    <row r="216" spans="1:38">
      <c r="A216" s="1">
        <v>96</v>
      </c>
      <c r="B216" s="24" t="s">
        <v>1456</v>
      </c>
      <c r="C216" s="24" t="s">
        <v>1428</v>
      </c>
      <c r="D216" s="24" t="s">
        <v>744</v>
      </c>
      <c r="E216" s="24" t="s">
        <v>742</v>
      </c>
      <c r="F216" s="24" t="s">
        <v>745</v>
      </c>
      <c r="G216" s="25">
        <f>VLOOKUP(A216,负载电气特性!A:G,7,FALSE)</f>
        <v>28</v>
      </c>
      <c r="H216" s="26" t="s">
        <v>61</v>
      </c>
      <c r="I216" s="25" t="s">
        <v>1706</v>
      </c>
      <c r="J216" s="25" t="s">
        <v>1708</v>
      </c>
      <c r="K216" s="25">
        <v>0</v>
      </c>
      <c r="L216" s="25">
        <v>1</v>
      </c>
      <c r="M216" s="25">
        <v>1</v>
      </c>
      <c r="N216" s="25">
        <v>1</v>
      </c>
      <c r="O216" s="25">
        <v>0</v>
      </c>
      <c r="P216" s="25">
        <v>0</v>
      </c>
      <c r="Q216" s="25">
        <v>0</v>
      </c>
      <c r="R216" s="25">
        <v>0</v>
      </c>
      <c r="S216" s="25">
        <v>0</v>
      </c>
      <c r="T216" s="25">
        <v>0</v>
      </c>
      <c r="U216" s="27" t="str">
        <f>_xlfn.LET(_xlpm.maxVal,_xlfn.MAXIFS($K:$K,$A:$A,A216),IF(AND(_xlpm.maxVal=K216,L216&lt;&gt;0),_xlpm.maxVal,""))</f>
        <v/>
      </c>
      <c r="V216" s="27" t="str">
        <f>_xlfn.LET(_xlpm.maxVal,_xlfn.MAXIFS($K:$K,$A:$A,A216),IF(AND(_xlpm.maxVal=K216,M216&lt;&gt;0),_xlpm.maxVal,""))</f>
        <v/>
      </c>
      <c r="W216" s="27" t="str">
        <f>_xlfn.LET(_xlpm.maxVal,_xlfn.MAXIFS($K:$K,$A:$A,A216),IF(AND(_xlpm.maxVal=K216,N216&lt;&gt;0),_xlpm.maxVal,""))</f>
        <v/>
      </c>
      <c r="X216" s="27" t="str">
        <f>_xlfn.LET(_xlpm.maxVal,_xlfn.MAXIFS($K:$K,$A:$A,A216),IF(AND(_xlpm.maxVal=K216,O216&lt;&gt;0),_xlpm.maxVal,""))</f>
        <v/>
      </c>
      <c r="Y216" s="27" t="str">
        <f>_xlfn.LET(_xlpm.maxVal,_xlfn.MAXIFS($K:$K,$A:$A,A216),IF(AND(_xlpm.maxVal=K216,P216&lt;&gt;0),_xlpm.maxVal,""))</f>
        <v/>
      </c>
      <c r="Z216" s="27" t="str">
        <f>_xlfn.LET(_xlpm.maxVal,_xlfn.MAXIFS($K:$K,$A:$A,A216),IF(AND(_xlpm.maxVal=K216,Q216&lt;&gt;0),_xlpm.maxVal,""))</f>
        <v/>
      </c>
      <c r="AA216" s="27" t="str">
        <f>_xlfn.LET(_xlpm.maxVal,_xlfn.MAXIFS($K:$K,$A:$A,A216),IF(AND(_xlpm.maxVal=K216,R216&lt;&gt;0),_xlpm.maxVal,""))</f>
        <v/>
      </c>
      <c r="AB216" s="27" t="str">
        <f>_xlfn.LET(_xlpm.maxVal,_xlfn.MAXIFS($K:$K,$A:$A,A216),IF(AND(_xlpm.maxVal=K216,S216&lt;&gt;0),_xlpm.maxVal,""))</f>
        <v/>
      </c>
      <c r="AC216" s="27" t="str">
        <f>_xlfn.LET(_xlpm.maxVal,_xlfn.MAXIFS($K:$K,$A:$A,A216),IF(AND(_xlpm.maxVal=K216,T216&lt;&gt;0),_xlpm.maxVal,""))</f>
        <v/>
      </c>
      <c r="AD216" s="27">
        <f>$K216*L216*负载统计!$K$3/60</f>
        <v>0</v>
      </c>
      <c r="AE216" s="27">
        <f>$K216*L216*负载统计!$K$4/60</f>
        <v>0</v>
      </c>
      <c r="AF216" s="27">
        <f>$K216*N216*负载统计!$K$5/60</f>
        <v>0</v>
      </c>
      <c r="AG216" s="27">
        <f>$K216*O216*负载统计!$K$6/60</f>
        <v>0</v>
      </c>
      <c r="AH216" s="27">
        <f>$K216*P216*负载统计!$K$7/60</f>
        <v>0</v>
      </c>
      <c r="AI216" s="27">
        <f>$K216*Q216*负载统计!$K$8/60</f>
        <v>0</v>
      </c>
      <c r="AJ216" s="27">
        <f>$K216*R216*负载统计!$K$9/60</f>
        <v>0</v>
      </c>
      <c r="AK216" s="27">
        <f>$K216*S216*负载统计!$K$10/60</f>
        <v>0</v>
      </c>
      <c r="AL216" s="27">
        <f>$K216*T216*负载统计!$K$11/60</f>
        <v>0</v>
      </c>
    </row>
    <row r="217" spans="1:38">
      <c r="A217" s="1">
        <v>97</v>
      </c>
      <c r="B217" s="24" t="s">
        <v>1457</v>
      </c>
      <c r="C217" s="24" t="s">
        <v>1428</v>
      </c>
      <c r="D217" s="24" t="s">
        <v>1458</v>
      </c>
      <c r="E217" s="24" t="s">
        <v>742</v>
      </c>
      <c r="F217" s="24" t="s">
        <v>747</v>
      </c>
      <c r="G217" s="25">
        <f>VLOOKUP(A217,负载电气特性!A:G,7,FALSE)</f>
        <v>28</v>
      </c>
      <c r="H217" s="26" t="s">
        <v>61</v>
      </c>
      <c r="I217" s="25" t="s">
        <v>1706</v>
      </c>
      <c r="J217" s="24" t="s">
        <v>1718</v>
      </c>
      <c r="K217" s="25">
        <v>0.15</v>
      </c>
      <c r="L217" s="25">
        <v>0</v>
      </c>
      <c r="M217" s="25">
        <v>0</v>
      </c>
      <c r="N217" s="25">
        <v>0</v>
      </c>
      <c r="O217" s="25">
        <v>1</v>
      </c>
      <c r="P217" s="25">
        <v>1</v>
      </c>
      <c r="Q217" s="25">
        <v>1</v>
      </c>
      <c r="R217" s="25">
        <v>1</v>
      </c>
      <c r="S217" s="25">
        <v>1</v>
      </c>
      <c r="T217" s="25">
        <v>1</v>
      </c>
      <c r="U217" s="27" t="str">
        <f>_xlfn.LET(_xlpm.maxVal,_xlfn.MAXIFS($K:$K,$A:$A,A217),IF(AND(_xlpm.maxVal=K217,L217&lt;&gt;0),_xlpm.maxVal,""))</f>
        <v/>
      </c>
      <c r="V217" s="27" t="str">
        <f>_xlfn.LET(_xlpm.maxVal,_xlfn.MAXIFS($K:$K,$A:$A,A217),IF(AND(_xlpm.maxVal=K217,M217&lt;&gt;0),_xlpm.maxVal,""))</f>
        <v/>
      </c>
      <c r="W217" s="27" t="str">
        <f>_xlfn.LET(_xlpm.maxVal,_xlfn.MAXIFS($K:$K,$A:$A,A217),IF(AND(_xlpm.maxVal=K217,N217&lt;&gt;0),_xlpm.maxVal,""))</f>
        <v/>
      </c>
      <c r="X217" s="27">
        <f>_xlfn.LET(_xlpm.maxVal,_xlfn.MAXIFS($K:$K,$A:$A,A217),IF(AND(_xlpm.maxVal=K217,O217&lt;&gt;0),_xlpm.maxVal,""))</f>
        <v>0.15</v>
      </c>
      <c r="Y217" s="27">
        <f>_xlfn.LET(_xlpm.maxVal,_xlfn.MAXIFS($K:$K,$A:$A,A217),IF(AND(_xlpm.maxVal=K217,P217&lt;&gt;0),_xlpm.maxVal,""))</f>
        <v>0.15</v>
      </c>
      <c r="Z217" s="27">
        <f>_xlfn.LET(_xlpm.maxVal,_xlfn.MAXIFS($K:$K,$A:$A,A217),IF(AND(_xlpm.maxVal=K217,Q217&lt;&gt;0),_xlpm.maxVal,""))</f>
        <v>0.15</v>
      </c>
      <c r="AA217" s="27">
        <f>_xlfn.LET(_xlpm.maxVal,_xlfn.MAXIFS($K:$K,$A:$A,A217),IF(AND(_xlpm.maxVal=K217,R217&lt;&gt;0),_xlpm.maxVal,""))</f>
        <v>0.15</v>
      </c>
      <c r="AB217" s="27">
        <f>_xlfn.LET(_xlpm.maxVal,_xlfn.MAXIFS($K:$K,$A:$A,A217),IF(AND(_xlpm.maxVal=K217,S217&lt;&gt;0),_xlpm.maxVal,""))</f>
        <v>0.15</v>
      </c>
      <c r="AC217" s="27">
        <f>_xlfn.LET(_xlpm.maxVal,_xlfn.MAXIFS($K:$K,$A:$A,A217),IF(AND(_xlpm.maxVal=K217,T217&lt;&gt;0),_xlpm.maxVal,""))</f>
        <v>0.15</v>
      </c>
      <c r="AD217" s="27">
        <f>$K217*L217*负载统计!$K$3/60</f>
        <v>0</v>
      </c>
      <c r="AE217" s="27">
        <f>$K217*L217*负载统计!$K$4/60</f>
        <v>0</v>
      </c>
      <c r="AF217" s="27">
        <f>$K217*N217*负载统计!$K$5/60</f>
        <v>0</v>
      </c>
      <c r="AG217" s="27">
        <f>$K217*O217*负载统计!$K$6/60</f>
        <v>0.0075</v>
      </c>
      <c r="AH217" s="27">
        <f>$K217*P217*负载统计!$K$7/60</f>
        <v>0.016925</v>
      </c>
      <c r="AI217" s="27">
        <f>$K217*Q217*负载统计!$K$8/60</f>
        <v>0.109</v>
      </c>
      <c r="AJ217" s="27">
        <f>$K217*R217*负载统计!$K$9/60</f>
        <v>0.034625</v>
      </c>
      <c r="AK217" s="27">
        <f>$K217*S217*负载统计!$K$10/60</f>
        <v>0.00125</v>
      </c>
      <c r="AL217" s="27">
        <f>$K217*T217*负载统计!$K$11/60</f>
        <v>0.01</v>
      </c>
    </row>
    <row r="218" spans="1:38">
      <c r="A218" s="1">
        <v>97</v>
      </c>
      <c r="B218" s="24" t="s">
        <v>1457</v>
      </c>
      <c r="C218" s="24" t="s">
        <v>1428</v>
      </c>
      <c r="D218" s="24" t="s">
        <v>1458</v>
      </c>
      <c r="E218" s="24" t="s">
        <v>742</v>
      </c>
      <c r="F218" s="24" t="s">
        <v>747</v>
      </c>
      <c r="G218" s="25">
        <f>VLOOKUP(A218,负载电气特性!A:G,7,FALSE)</f>
        <v>28</v>
      </c>
      <c r="H218" s="26" t="s">
        <v>61</v>
      </c>
      <c r="I218" s="25" t="s">
        <v>1706</v>
      </c>
      <c r="J218" s="25" t="s">
        <v>1708</v>
      </c>
      <c r="K218" s="25">
        <v>0</v>
      </c>
      <c r="L218" s="25">
        <v>1</v>
      </c>
      <c r="M218" s="25">
        <v>1</v>
      </c>
      <c r="N218" s="25">
        <v>1</v>
      </c>
      <c r="O218" s="25">
        <v>0</v>
      </c>
      <c r="P218" s="25">
        <v>0</v>
      </c>
      <c r="Q218" s="25">
        <v>0</v>
      </c>
      <c r="R218" s="25">
        <v>0</v>
      </c>
      <c r="S218" s="25">
        <v>0</v>
      </c>
      <c r="T218" s="25">
        <v>0</v>
      </c>
      <c r="U218" s="27" t="str">
        <f>_xlfn.LET(_xlpm.maxVal,_xlfn.MAXIFS($K:$K,$A:$A,A218),IF(AND(_xlpm.maxVal=K218,L218&lt;&gt;0),_xlpm.maxVal,""))</f>
        <v/>
      </c>
      <c r="V218" s="27" t="str">
        <f>_xlfn.LET(_xlpm.maxVal,_xlfn.MAXIFS($K:$K,$A:$A,A218),IF(AND(_xlpm.maxVal=K218,M218&lt;&gt;0),_xlpm.maxVal,""))</f>
        <v/>
      </c>
      <c r="W218" s="27" t="str">
        <f>_xlfn.LET(_xlpm.maxVal,_xlfn.MAXIFS($K:$K,$A:$A,A218),IF(AND(_xlpm.maxVal=K218,N218&lt;&gt;0),_xlpm.maxVal,""))</f>
        <v/>
      </c>
      <c r="X218" s="27" t="str">
        <f>_xlfn.LET(_xlpm.maxVal,_xlfn.MAXIFS($K:$K,$A:$A,A218),IF(AND(_xlpm.maxVal=K218,O218&lt;&gt;0),_xlpm.maxVal,""))</f>
        <v/>
      </c>
      <c r="Y218" s="27" t="str">
        <f>_xlfn.LET(_xlpm.maxVal,_xlfn.MAXIFS($K:$K,$A:$A,A218),IF(AND(_xlpm.maxVal=K218,P218&lt;&gt;0),_xlpm.maxVal,""))</f>
        <v/>
      </c>
      <c r="Z218" s="27" t="str">
        <f>_xlfn.LET(_xlpm.maxVal,_xlfn.MAXIFS($K:$K,$A:$A,A218),IF(AND(_xlpm.maxVal=K218,Q218&lt;&gt;0),_xlpm.maxVal,""))</f>
        <v/>
      </c>
      <c r="AA218" s="27" t="str">
        <f>_xlfn.LET(_xlpm.maxVal,_xlfn.MAXIFS($K:$K,$A:$A,A218),IF(AND(_xlpm.maxVal=K218,R218&lt;&gt;0),_xlpm.maxVal,""))</f>
        <v/>
      </c>
      <c r="AB218" s="27" t="str">
        <f>_xlfn.LET(_xlpm.maxVal,_xlfn.MAXIFS($K:$K,$A:$A,A218),IF(AND(_xlpm.maxVal=K218,S218&lt;&gt;0),_xlpm.maxVal,""))</f>
        <v/>
      </c>
      <c r="AC218" s="27" t="str">
        <f>_xlfn.LET(_xlpm.maxVal,_xlfn.MAXIFS($K:$K,$A:$A,A218),IF(AND(_xlpm.maxVal=K218,T218&lt;&gt;0),_xlpm.maxVal,""))</f>
        <v/>
      </c>
      <c r="AD218" s="27">
        <f>$K218*L218*负载统计!$K$3/60</f>
        <v>0</v>
      </c>
      <c r="AE218" s="27">
        <f>$K218*L218*负载统计!$K$4/60</f>
        <v>0</v>
      </c>
      <c r="AF218" s="27">
        <f>$K218*N218*负载统计!$K$5/60</f>
        <v>0</v>
      </c>
      <c r="AG218" s="27">
        <f>$K218*O218*负载统计!$K$6/60</f>
        <v>0</v>
      </c>
      <c r="AH218" s="27">
        <f>$K218*P218*负载统计!$K$7/60</f>
        <v>0</v>
      </c>
      <c r="AI218" s="27">
        <f>$K218*Q218*负载统计!$K$8/60</f>
        <v>0</v>
      </c>
      <c r="AJ218" s="27">
        <f>$K218*R218*负载统计!$K$9/60</f>
        <v>0</v>
      </c>
      <c r="AK218" s="27">
        <f>$K218*S218*负载统计!$K$10/60</f>
        <v>0</v>
      </c>
      <c r="AL218" s="27">
        <f>$K218*T218*负载统计!$K$11/60</f>
        <v>0</v>
      </c>
    </row>
    <row r="219" spans="1:38">
      <c r="A219" s="1">
        <v>98</v>
      </c>
      <c r="B219" s="24" t="s">
        <v>1459</v>
      </c>
      <c r="C219" s="24" t="s">
        <v>1428</v>
      </c>
      <c r="D219" s="24" t="s">
        <v>1460</v>
      </c>
      <c r="E219" s="24" t="s">
        <v>742</v>
      </c>
      <c r="F219" s="24" t="s">
        <v>749</v>
      </c>
      <c r="G219" s="25">
        <f>VLOOKUP(A219,负载电气特性!A:G,7,FALSE)</f>
        <v>28</v>
      </c>
      <c r="H219" s="26" t="s">
        <v>61</v>
      </c>
      <c r="I219" s="25" t="s">
        <v>1706</v>
      </c>
      <c r="J219" s="24" t="s">
        <v>1718</v>
      </c>
      <c r="K219" s="25">
        <v>0.15</v>
      </c>
      <c r="L219" s="25">
        <v>0</v>
      </c>
      <c r="M219" s="25">
        <v>0</v>
      </c>
      <c r="N219" s="25">
        <v>0</v>
      </c>
      <c r="O219" s="25">
        <v>1</v>
      </c>
      <c r="P219" s="25">
        <v>1</v>
      </c>
      <c r="Q219" s="25">
        <v>1</v>
      </c>
      <c r="R219" s="25">
        <v>1</v>
      </c>
      <c r="S219" s="25">
        <v>1</v>
      </c>
      <c r="T219" s="25">
        <v>1</v>
      </c>
      <c r="U219" s="27" t="str">
        <f>_xlfn.LET(_xlpm.maxVal,_xlfn.MAXIFS($K:$K,$A:$A,A219),IF(AND(_xlpm.maxVal=K219,L219&lt;&gt;0),_xlpm.maxVal,""))</f>
        <v/>
      </c>
      <c r="V219" s="27" t="str">
        <f>_xlfn.LET(_xlpm.maxVal,_xlfn.MAXIFS($K:$K,$A:$A,A219),IF(AND(_xlpm.maxVal=K219,M219&lt;&gt;0),_xlpm.maxVal,""))</f>
        <v/>
      </c>
      <c r="W219" s="27" t="str">
        <f>_xlfn.LET(_xlpm.maxVal,_xlfn.MAXIFS($K:$K,$A:$A,A219),IF(AND(_xlpm.maxVal=K219,N219&lt;&gt;0),_xlpm.maxVal,""))</f>
        <v/>
      </c>
      <c r="X219" s="27">
        <f>_xlfn.LET(_xlpm.maxVal,_xlfn.MAXIFS($K:$K,$A:$A,A219),IF(AND(_xlpm.maxVal=K219,O219&lt;&gt;0),_xlpm.maxVal,""))</f>
        <v>0.15</v>
      </c>
      <c r="Y219" s="27">
        <f>_xlfn.LET(_xlpm.maxVal,_xlfn.MAXIFS($K:$K,$A:$A,A219),IF(AND(_xlpm.maxVal=K219,P219&lt;&gt;0),_xlpm.maxVal,""))</f>
        <v>0.15</v>
      </c>
      <c r="Z219" s="27">
        <f>_xlfn.LET(_xlpm.maxVal,_xlfn.MAXIFS($K:$K,$A:$A,A219),IF(AND(_xlpm.maxVal=K219,Q219&lt;&gt;0),_xlpm.maxVal,""))</f>
        <v>0.15</v>
      </c>
      <c r="AA219" s="27">
        <f>_xlfn.LET(_xlpm.maxVal,_xlfn.MAXIFS($K:$K,$A:$A,A219),IF(AND(_xlpm.maxVal=K219,R219&lt;&gt;0),_xlpm.maxVal,""))</f>
        <v>0.15</v>
      </c>
      <c r="AB219" s="27">
        <f>_xlfn.LET(_xlpm.maxVal,_xlfn.MAXIFS($K:$K,$A:$A,A219),IF(AND(_xlpm.maxVal=K219,S219&lt;&gt;0),_xlpm.maxVal,""))</f>
        <v>0.15</v>
      </c>
      <c r="AC219" s="27">
        <f>_xlfn.LET(_xlpm.maxVal,_xlfn.MAXIFS($K:$K,$A:$A,A219),IF(AND(_xlpm.maxVal=K219,T219&lt;&gt;0),_xlpm.maxVal,""))</f>
        <v>0.15</v>
      </c>
      <c r="AD219" s="27">
        <f>$K219*L219*负载统计!$K$3/60</f>
        <v>0</v>
      </c>
      <c r="AE219" s="27">
        <f>$K219*L219*负载统计!$K$4/60</f>
        <v>0</v>
      </c>
      <c r="AF219" s="27">
        <f>$K219*N219*负载统计!$K$5/60</f>
        <v>0</v>
      </c>
      <c r="AG219" s="27">
        <f>$K219*O219*负载统计!$K$6/60</f>
        <v>0.0075</v>
      </c>
      <c r="AH219" s="27">
        <f>$K219*P219*负载统计!$K$7/60</f>
        <v>0.016925</v>
      </c>
      <c r="AI219" s="27">
        <f>$K219*Q219*负载统计!$K$8/60</f>
        <v>0.109</v>
      </c>
      <c r="AJ219" s="27">
        <f>$K219*R219*负载统计!$K$9/60</f>
        <v>0.034625</v>
      </c>
      <c r="AK219" s="27">
        <f>$K219*S219*负载统计!$K$10/60</f>
        <v>0.00125</v>
      </c>
      <c r="AL219" s="27">
        <f>$K219*T219*负载统计!$K$11/60</f>
        <v>0.01</v>
      </c>
    </row>
    <row r="220" spans="1:38">
      <c r="A220" s="1">
        <v>98</v>
      </c>
      <c r="B220" s="24" t="s">
        <v>1459</v>
      </c>
      <c r="C220" s="24" t="s">
        <v>1428</v>
      </c>
      <c r="D220" s="24" t="s">
        <v>1460</v>
      </c>
      <c r="E220" s="24" t="s">
        <v>742</v>
      </c>
      <c r="F220" s="24" t="s">
        <v>749</v>
      </c>
      <c r="G220" s="25">
        <f>VLOOKUP(A220,负载电气特性!A:G,7,FALSE)</f>
        <v>28</v>
      </c>
      <c r="H220" s="26" t="s">
        <v>61</v>
      </c>
      <c r="I220" s="25" t="s">
        <v>1706</v>
      </c>
      <c r="J220" s="25" t="s">
        <v>1708</v>
      </c>
      <c r="K220" s="25">
        <v>0</v>
      </c>
      <c r="L220" s="25">
        <v>1</v>
      </c>
      <c r="M220" s="25">
        <v>1</v>
      </c>
      <c r="N220" s="25">
        <v>1</v>
      </c>
      <c r="O220" s="25">
        <v>0</v>
      </c>
      <c r="P220" s="25">
        <v>0</v>
      </c>
      <c r="Q220" s="25">
        <v>0</v>
      </c>
      <c r="R220" s="25">
        <v>0</v>
      </c>
      <c r="S220" s="25">
        <v>0</v>
      </c>
      <c r="T220" s="25">
        <v>0</v>
      </c>
      <c r="U220" s="27" t="str">
        <f>_xlfn.LET(_xlpm.maxVal,_xlfn.MAXIFS($K:$K,$A:$A,A220),IF(AND(_xlpm.maxVal=K220,L220&lt;&gt;0),_xlpm.maxVal,""))</f>
        <v/>
      </c>
      <c r="V220" s="27" t="str">
        <f>_xlfn.LET(_xlpm.maxVal,_xlfn.MAXIFS($K:$K,$A:$A,A220),IF(AND(_xlpm.maxVal=K220,M220&lt;&gt;0),_xlpm.maxVal,""))</f>
        <v/>
      </c>
      <c r="W220" s="27" t="str">
        <f>_xlfn.LET(_xlpm.maxVal,_xlfn.MAXIFS($K:$K,$A:$A,A220),IF(AND(_xlpm.maxVal=K220,N220&lt;&gt;0),_xlpm.maxVal,""))</f>
        <v/>
      </c>
      <c r="X220" s="27" t="str">
        <f>_xlfn.LET(_xlpm.maxVal,_xlfn.MAXIFS($K:$K,$A:$A,A220),IF(AND(_xlpm.maxVal=K220,O220&lt;&gt;0),_xlpm.maxVal,""))</f>
        <v/>
      </c>
      <c r="Y220" s="27" t="str">
        <f>_xlfn.LET(_xlpm.maxVal,_xlfn.MAXIFS($K:$K,$A:$A,A220),IF(AND(_xlpm.maxVal=K220,P220&lt;&gt;0),_xlpm.maxVal,""))</f>
        <v/>
      </c>
      <c r="Z220" s="27" t="str">
        <f>_xlfn.LET(_xlpm.maxVal,_xlfn.MAXIFS($K:$K,$A:$A,A220),IF(AND(_xlpm.maxVal=K220,Q220&lt;&gt;0),_xlpm.maxVal,""))</f>
        <v/>
      </c>
      <c r="AA220" s="27" t="str">
        <f>_xlfn.LET(_xlpm.maxVal,_xlfn.MAXIFS($K:$K,$A:$A,A220),IF(AND(_xlpm.maxVal=K220,R220&lt;&gt;0),_xlpm.maxVal,""))</f>
        <v/>
      </c>
      <c r="AB220" s="27" t="str">
        <f>_xlfn.LET(_xlpm.maxVal,_xlfn.MAXIFS($K:$K,$A:$A,A220),IF(AND(_xlpm.maxVal=K220,S220&lt;&gt;0),_xlpm.maxVal,""))</f>
        <v/>
      </c>
      <c r="AC220" s="27" t="str">
        <f>_xlfn.LET(_xlpm.maxVal,_xlfn.MAXIFS($K:$K,$A:$A,A220),IF(AND(_xlpm.maxVal=K220,T220&lt;&gt;0),_xlpm.maxVal,""))</f>
        <v/>
      </c>
      <c r="AD220" s="27">
        <f>$K220*L220*负载统计!$K$3/60</f>
        <v>0</v>
      </c>
      <c r="AE220" s="27">
        <f>$K220*L220*负载统计!$K$4/60</f>
        <v>0</v>
      </c>
      <c r="AF220" s="27">
        <f>$K220*N220*负载统计!$K$5/60</f>
        <v>0</v>
      </c>
      <c r="AG220" s="27">
        <f>$K220*O220*负载统计!$K$6/60</f>
        <v>0</v>
      </c>
      <c r="AH220" s="27">
        <f>$K220*P220*负载统计!$K$7/60</f>
        <v>0</v>
      </c>
      <c r="AI220" s="27">
        <f>$K220*Q220*负载统计!$K$8/60</f>
        <v>0</v>
      </c>
      <c r="AJ220" s="27">
        <f>$K220*R220*负载统计!$K$9/60</f>
        <v>0</v>
      </c>
      <c r="AK220" s="27">
        <f>$K220*S220*负载统计!$K$10/60</f>
        <v>0</v>
      </c>
      <c r="AL220" s="27">
        <f>$K220*T220*负载统计!$K$11/60</f>
        <v>0</v>
      </c>
    </row>
    <row r="221" spans="1:38">
      <c r="A221" s="1">
        <v>99</v>
      </c>
      <c r="B221" s="24" t="s">
        <v>1461</v>
      </c>
      <c r="C221" s="24" t="s">
        <v>1428</v>
      </c>
      <c r="D221" s="24" t="s">
        <v>1462</v>
      </c>
      <c r="E221" s="24" t="s">
        <v>751</v>
      </c>
      <c r="F221" s="24" t="s">
        <v>752</v>
      </c>
      <c r="G221" s="25">
        <f>VLOOKUP(A221,负载电气特性!A:G,7,FALSE)</f>
        <v>28</v>
      </c>
      <c r="H221" s="26" t="s">
        <v>66</v>
      </c>
      <c r="I221" s="25" t="s">
        <v>1706</v>
      </c>
      <c r="J221" s="24" t="s">
        <v>1718</v>
      </c>
      <c r="K221" s="25">
        <v>0.12</v>
      </c>
      <c r="L221" s="25">
        <v>0</v>
      </c>
      <c r="M221" s="25">
        <v>0</v>
      </c>
      <c r="N221" s="25">
        <v>0</v>
      </c>
      <c r="O221" s="25">
        <v>1</v>
      </c>
      <c r="P221" s="25">
        <v>1</v>
      </c>
      <c r="Q221" s="25">
        <v>0</v>
      </c>
      <c r="R221" s="25">
        <v>0</v>
      </c>
      <c r="S221" s="25">
        <v>0</v>
      </c>
      <c r="T221" s="25">
        <v>0</v>
      </c>
      <c r="U221" s="27" t="str">
        <f>_xlfn.LET(_xlpm.maxVal,_xlfn.MAXIFS($K:$K,$A:$A,A221),IF(AND(_xlpm.maxVal=K221,L221&lt;&gt;0),_xlpm.maxVal,""))</f>
        <v/>
      </c>
      <c r="V221" s="27" t="str">
        <f>_xlfn.LET(_xlpm.maxVal,_xlfn.MAXIFS($K:$K,$A:$A,A221),IF(AND(_xlpm.maxVal=K221,M221&lt;&gt;0),_xlpm.maxVal,""))</f>
        <v/>
      </c>
      <c r="W221" s="27" t="str">
        <f>_xlfn.LET(_xlpm.maxVal,_xlfn.MAXIFS($K:$K,$A:$A,A221),IF(AND(_xlpm.maxVal=K221,N221&lt;&gt;0),_xlpm.maxVal,""))</f>
        <v/>
      </c>
      <c r="X221" s="27">
        <f>_xlfn.LET(_xlpm.maxVal,_xlfn.MAXIFS($K:$K,$A:$A,A221),IF(AND(_xlpm.maxVal=K221,O221&lt;&gt;0),_xlpm.maxVal,""))</f>
        <v>0.12</v>
      </c>
      <c r="Y221" s="27">
        <f>_xlfn.LET(_xlpm.maxVal,_xlfn.MAXIFS($K:$K,$A:$A,A221),IF(AND(_xlpm.maxVal=K221,P221&lt;&gt;0),_xlpm.maxVal,""))</f>
        <v>0.12</v>
      </c>
      <c r="Z221" s="27" t="str">
        <f>_xlfn.LET(_xlpm.maxVal,_xlfn.MAXIFS($K:$K,$A:$A,A221),IF(AND(_xlpm.maxVal=K221,Q221&lt;&gt;0),_xlpm.maxVal,""))</f>
        <v/>
      </c>
      <c r="AA221" s="27" t="str">
        <f>_xlfn.LET(_xlpm.maxVal,_xlfn.MAXIFS($K:$K,$A:$A,A221),IF(AND(_xlpm.maxVal=K221,R221&lt;&gt;0),_xlpm.maxVal,""))</f>
        <v/>
      </c>
      <c r="AB221" s="27" t="str">
        <f>_xlfn.LET(_xlpm.maxVal,_xlfn.MAXIFS($K:$K,$A:$A,A221),IF(AND(_xlpm.maxVal=K221,S221&lt;&gt;0),_xlpm.maxVal,""))</f>
        <v/>
      </c>
      <c r="AC221" s="27" t="str">
        <f>_xlfn.LET(_xlpm.maxVal,_xlfn.MAXIFS($K:$K,$A:$A,A221),IF(AND(_xlpm.maxVal=K221,T221&lt;&gt;0),_xlpm.maxVal,""))</f>
        <v/>
      </c>
      <c r="AD221" s="27">
        <f>$K221*L221*负载统计!$K$3/60</f>
        <v>0</v>
      </c>
      <c r="AE221" s="27">
        <f>$K221*L221*负载统计!$K$4/60</f>
        <v>0</v>
      </c>
      <c r="AF221" s="27">
        <f>$K221*N221*负载统计!$K$5/60</f>
        <v>0</v>
      </c>
      <c r="AG221" s="27">
        <f>$K221*O221*负载统计!$K$6/60</f>
        <v>0.006</v>
      </c>
      <c r="AH221" s="27">
        <f>$K221*P221*负载统计!$K$7/60</f>
        <v>0.01354</v>
      </c>
      <c r="AI221" s="27">
        <f>$K221*Q221*负载统计!$K$8/60</f>
        <v>0</v>
      </c>
      <c r="AJ221" s="27">
        <f>$K221*R221*负载统计!$K$9/60</f>
        <v>0</v>
      </c>
      <c r="AK221" s="27">
        <f>$K221*S221*负载统计!$K$10/60</f>
        <v>0</v>
      </c>
      <c r="AL221" s="27">
        <f>$K221*T221*负载统计!$K$11/60</f>
        <v>0</v>
      </c>
    </row>
    <row r="222" spans="1:38">
      <c r="A222" s="1">
        <v>99</v>
      </c>
      <c r="B222" s="24" t="s">
        <v>1461</v>
      </c>
      <c r="C222" s="24" t="s">
        <v>1428</v>
      </c>
      <c r="D222" s="24" t="s">
        <v>1462</v>
      </c>
      <c r="E222" s="24" t="s">
        <v>751</v>
      </c>
      <c r="F222" s="24" t="s">
        <v>752</v>
      </c>
      <c r="G222" s="25">
        <f>VLOOKUP(A222,负载电气特性!A:G,7,FALSE)</f>
        <v>28</v>
      </c>
      <c r="H222" s="26" t="s">
        <v>66</v>
      </c>
      <c r="I222" s="25" t="s">
        <v>1706</v>
      </c>
      <c r="J222" s="25" t="s">
        <v>1708</v>
      </c>
      <c r="K222" s="25">
        <v>0</v>
      </c>
      <c r="L222" s="25">
        <v>1</v>
      </c>
      <c r="M222" s="25">
        <v>1</v>
      </c>
      <c r="N222" s="25">
        <v>1</v>
      </c>
      <c r="O222" s="25">
        <v>0</v>
      </c>
      <c r="P222" s="25">
        <v>0</v>
      </c>
      <c r="Q222" s="25">
        <v>0</v>
      </c>
      <c r="R222" s="25">
        <v>1</v>
      </c>
      <c r="S222" s="25">
        <v>1</v>
      </c>
      <c r="T222" s="25">
        <v>1</v>
      </c>
      <c r="U222" s="27" t="str">
        <f>_xlfn.LET(_xlpm.maxVal,_xlfn.MAXIFS($K:$K,$A:$A,A222),IF(AND(_xlpm.maxVal=K222,L222&lt;&gt;0),_xlpm.maxVal,""))</f>
        <v/>
      </c>
      <c r="V222" s="27" t="str">
        <f>_xlfn.LET(_xlpm.maxVal,_xlfn.MAXIFS($K:$K,$A:$A,A222),IF(AND(_xlpm.maxVal=K222,M222&lt;&gt;0),_xlpm.maxVal,""))</f>
        <v/>
      </c>
      <c r="W222" s="27" t="str">
        <f>_xlfn.LET(_xlpm.maxVal,_xlfn.MAXIFS($K:$K,$A:$A,A222),IF(AND(_xlpm.maxVal=K222,N222&lt;&gt;0),_xlpm.maxVal,""))</f>
        <v/>
      </c>
      <c r="X222" s="27" t="str">
        <f>_xlfn.LET(_xlpm.maxVal,_xlfn.MAXIFS($K:$K,$A:$A,A222),IF(AND(_xlpm.maxVal=K222,O222&lt;&gt;0),_xlpm.maxVal,""))</f>
        <v/>
      </c>
      <c r="Y222" s="27" t="str">
        <f>_xlfn.LET(_xlpm.maxVal,_xlfn.MAXIFS($K:$K,$A:$A,A222),IF(AND(_xlpm.maxVal=K222,P222&lt;&gt;0),_xlpm.maxVal,""))</f>
        <v/>
      </c>
      <c r="Z222" s="27" t="str">
        <f>_xlfn.LET(_xlpm.maxVal,_xlfn.MAXIFS($K:$K,$A:$A,A222),IF(AND(_xlpm.maxVal=K222,Q222&lt;&gt;0),_xlpm.maxVal,""))</f>
        <v/>
      </c>
      <c r="AA222" s="27" t="str">
        <f>_xlfn.LET(_xlpm.maxVal,_xlfn.MAXIFS($K:$K,$A:$A,A222),IF(AND(_xlpm.maxVal=K222,R222&lt;&gt;0),_xlpm.maxVal,""))</f>
        <v/>
      </c>
      <c r="AB222" s="27" t="str">
        <f>_xlfn.LET(_xlpm.maxVal,_xlfn.MAXIFS($K:$K,$A:$A,A222),IF(AND(_xlpm.maxVal=K222,S222&lt;&gt;0),_xlpm.maxVal,""))</f>
        <v/>
      </c>
      <c r="AC222" s="27" t="str">
        <f>_xlfn.LET(_xlpm.maxVal,_xlfn.MAXIFS($K:$K,$A:$A,A222),IF(AND(_xlpm.maxVal=K222,T222&lt;&gt;0),_xlpm.maxVal,""))</f>
        <v/>
      </c>
      <c r="AD222" s="27">
        <f>$K222*L222*负载统计!$K$3/60</f>
        <v>0</v>
      </c>
      <c r="AE222" s="27">
        <f>$K222*L222*负载统计!$K$4/60</f>
        <v>0</v>
      </c>
      <c r="AF222" s="27">
        <f>$K222*N222*负载统计!$K$5/60</f>
        <v>0</v>
      </c>
      <c r="AG222" s="27">
        <f>$K222*O222*负载统计!$K$6/60</f>
        <v>0</v>
      </c>
      <c r="AH222" s="27">
        <f>$K222*P222*负载统计!$K$7/60</f>
        <v>0</v>
      </c>
      <c r="AI222" s="27">
        <f>$K222*Q222*负载统计!$K$8/60</f>
        <v>0</v>
      </c>
      <c r="AJ222" s="27">
        <f>$K222*R222*负载统计!$K$9/60</f>
        <v>0</v>
      </c>
      <c r="AK222" s="27">
        <f>$K222*S222*负载统计!$K$10/60</f>
        <v>0</v>
      </c>
      <c r="AL222" s="27">
        <f>$K222*T222*负载统计!$K$11/60</f>
        <v>0</v>
      </c>
    </row>
    <row r="223" spans="1:38">
      <c r="A223" s="1">
        <v>100</v>
      </c>
      <c r="B223" s="24" t="s">
        <v>1463</v>
      </c>
      <c r="C223" s="24" t="s">
        <v>1428</v>
      </c>
      <c r="D223" s="24" t="s">
        <v>1464</v>
      </c>
      <c r="E223" s="24" t="s">
        <v>751</v>
      </c>
      <c r="F223" s="24" t="s">
        <v>754</v>
      </c>
      <c r="G223" s="25">
        <f>VLOOKUP(A223,负载电气特性!A:G,7,FALSE)</f>
        <v>28</v>
      </c>
      <c r="H223" s="26" t="s">
        <v>66</v>
      </c>
      <c r="I223" s="25" t="s">
        <v>1706</v>
      </c>
      <c r="J223" s="24" t="s">
        <v>1718</v>
      </c>
      <c r="K223" s="25">
        <v>0.12</v>
      </c>
      <c r="L223" s="25">
        <v>0</v>
      </c>
      <c r="M223" s="25">
        <v>0</v>
      </c>
      <c r="N223" s="25">
        <v>0</v>
      </c>
      <c r="O223" s="25">
        <v>1</v>
      </c>
      <c r="P223" s="25">
        <v>1</v>
      </c>
      <c r="Q223" s="25">
        <v>0</v>
      </c>
      <c r="R223" s="25">
        <v>0</v>
      </c>
      <c r="S223" s="25">
        <v>0</v>
      </c>
      <c r="T223" s="25">
        <v>0</v>
      </c>
      <c r="U223" s="27" t="str">
        <f>_xlfn.LET(_xlpm.maxVal,_xlfn.MAXIFS($K:$K,$A:$A,A223),IF(AND(_xlpm.maxVal=K223,L223&lt;&gt;0),_xlpm.maxVal,""))</f>
        <v/>
      </c>
      <c r="V223" s="27" t="str">
        <f>_xlfn.LET(_xlpm.maxVal,_xlfn.MAXIFS($K:$K,$A:$A,A223),IF(AND(_xlpm.maxVal=K223,M223&lt;&gt;0),_xlpm.maxVal,""))</f>
        <v/>
      </c>
      <c r="W223" s="27" t="str">
        <f>_xlfn.LET(_xlpm.maxVal,_xlfn.MAXIFS($K:$K,$A:$A,A223),IF(AND(_xlpm.maxVal=K223,N223&lt;&gt;0),_xlpm.maxVal,""))</f>
        <v/>
      </c>
      <c r="X223" s="27">
        <f>_xlfn.LET(_xlpm.maxVal,_xlfn.MAXIFS($K:$K,$A:$A,A223),IF(AND(_xlpm.maxVal=K223,O223&lt;&gt;0),_xlpm.maxVal,""))</f>
        <v>0.12</v>
      </c>
      <c r="Y223" s="27">
        <f>_xlfn.LET(_xlpm.maxVal,_xlfn.MAXIFS($K:$K,$A:$A,A223),IF(AND(_xlpm.maxVal=K223,P223&lt;&gt;0),_xlpm.maxVal,""))</f>
        <v>0.12</v>
      </c>
      <c r="Z223" s="27" t="str">
        <f>_xlfn.LET(_xlpm.maxVal,_xlfn.MAXIFS($K:$K,$A:$A,A223),IF(AND(_xlpm.maxVal=K223,Q223&lt;&gt;0),_xlpm.maxVal,""))</f>
        <v/>
      </c>
      <c r="AA223" s="27" t="str">
        <f>_xlfn.LET(_xlpm.maxVal,_xlfn.MAXIFS($K:$K,$A:$A,A223),IF(AND(_xlpm.maxVal=K223,R223&lt;&gt;0),_xlpm.maxVal,""))</f>
        <v/>
      </c>
      <c r="AB223" s="27" t="str">
        <f>_xlfn.LET(_xlpm.maxVal,_xlfn.MAXIFS($K:$K,$A:$A,A223),IF(AND(_xlpm.maxVal=K223,S223&lt;&gt;0),_xlpm.maxVal,""))</f>
        <v/>
      </c>
      <c r="AC223" s="27" t="str">
        <f>_xlfn.LET(_xlpm.maxVal,_xlfn.MAXIFS($K:$K,$A:$A,A223),IF(AND(_xlpm.maxVal=K223,T223&lt;&gt;0),_xlpm.maxVal,""))</f>
        <v/>
      </c>
      <c r="AD223" s="27">
        <f>$K223*L223*负载统计!$K$3/60</f>
        <v>0</v>
      </c>
      <c r="AE223" s="27">
        <f>$K223*L223*负载统计!$K$4/60</f>
        <v>0</v>
      </c>
      <c r="AF223" s="27">
        <f>$K223*N223*负载统计!$K$5/60</f>
        <v>0</v>
      </c>
      <c r="AG223" s="27">
        <f>$K223*O223*负载统计!$K$6/60</f>
        <v>0.006</v>
      </c>
      <c r="AH223" s="27">
        <f>$K223*P223*负载统计!$K$7/60</f>
        <v>0.01354</v>
      </c>
      <c r="AI223" s="27">
        <f>$K223*Q223*负载统计!$K$8/60</f>
        <v>0</v>
      </c>
      <c r="AJ223" s="27">
        <f>$K223*R223*负载统计!$K$9/60</f>
        <v>0</v>
      </c>
      <c r="AK223" s="27">
        <f>$K223*S223*负载统计!$K$10/60</f>
        <v>0</v>
      </c>
      <c r="AL223" s="27">
        <f>$K223*T223*负载统计!$K$11/60</f>
        <v>0</v>
      </c>
    </row>
    <row r="224" spans="1:38">
      <c r="A224" s="1">
        <v>100</v>
      </c>
      <c r="B224" s="24" t="s">
        <v>1463</v>
      </c>
      <c r="C224" s="24" t="s">
        <v>1428</v>
      </c>
      <c r="D224" s="24" t="s">
        <v>1464</v>
      </c>
      <c r="E224" s="24" t="s">
        <v>751</v>
      </c>
      <c r="F224" s="24" t="s">
        <v>754</v>
      </c>
      <c r="G224" s="25">
        <f>VLOOKUP(A224,负载电气特性!A:G,7,FALSE)</f>
        <v>28</v>
      </c>
      <c r="H224" s="26" t="s">
        <v>66</v>
      </c>
      <c r="I224" s="25" t="s">
        <v>1706</v>
      </c>
      <c r="J224" s="25" t="s">
        <v>1708</v>
      </c>
      <c r="K224" s="25">
        <v>0</v>
      </c>
      <c r="L224" s="25">
        <v>1</v>
      </c>
      <c r="M224" s="25">
        <v>1</v>
      </c>
      <c r="N224" s="25">
        <v>1</v>
      </c>
      <c r="O224" s="25">
        <v>0</v>
      </c>
      <c r="P224" s="25">
        <v>0</v>
      </c>
      <c r="Q224" s="25">
        <v>0</v>
      </c>
      <c r="R224" s="25">
        <v>1</v>
      </c>
      <c r="S224" s="25">
        <v>1</v>
      </c>
      <c r="T224" s="25">
        <v>1</v>
      </c>
      <c r="U224" s="27" t="str">
        <f>_xlfn.LET(_xlpm.maxVal,_xlfn.MAXIFS($K:$K,$A:$A,A224),IF(AND(_xlpm.maxVal=K224,L224&lt;&gt;0),_xlpm.maxVal,""))</f>
        <v/>
      </c>
      <c r="V224" s="27" t="str">
        <f>_xlfn.LET(_xlpm.maxVal,_xlfn.MAXIFS($K:$K,$A:$A,A224),IF(AND(_xlpm.maxVal=K224,M224&lt;&gt;0),_xlpm.maxVal,""))</f>
        <v/>
      </c>
      <c r="W224" s="27" t="str">
        <f>_xlfn.LET(_xlpm.maxVal,_xlfn.MAXIFS($K:$K,$A:$A,A224),IF(AND(_xlpm.maxVal=K224,N224&lt;&gt;0),_xlpm.maxVal,""))</f>
        <v/>
      </c>
      <c r="X224" s="27" t="str">
        <f>_xlfn.LET(_xlpm.maxVal,_xlfn.MAXIFS($K:$K,$A:$A,A224),IF(AND(_xlpm.maxVal=K224,O224&lt;&gt;0),_xlpm.maxVal,""))</f>
        <v/>
      </c>
      <c r="Y224" s="27" t="str">
        <f>_xlfn.LET(_xlpm.maxVal,_xlfn.MAXIFS($K:$K,$A:$A,A224),IF(AND(_xlpm.maxVal=K224,P224&lt;&gt;0),_xlpm.maxVal,""))</f>
        <v/>
      </c>
      <c r="Z224" s="27" t="str">
        <f>_xlfn.LET(_xlpm.maxVal,_xlfn.MAXIFS($K:$K,$A:$A,A224),IF(AND(_xlpm.maxVal=K224,Q224&lt;&gt;0),_xlpm.maxVal,""))</f>
        <v/>
      </c>
      <c r="AA224" s="27" t="str">
        <f>_xlfn.LET(_xlpm.maxVal,_xlfn.MAXIFS($K:$K,$A:$A,A224),IF(AND(_xlpm.maxVal=K224,R224&lt;&gt;0),_xlpm.maxVal,""))</f>
        <v/>
      </c>
      <c r="AB224" s="27" t="str">
        <f>_xlfn.LET(_xlpm.maxVal,_xlfn.MAXIFS($K:$K,$A:$A,A224),IF(AND(_xlpm.maxVal=K224,S224&lt;&gt;0),_xlpm.maxVal,""))</f>
        <v/>
      </c>
      <c r="AC224" s="27" t="str">
        <f>_xlfn.LET(_xlpm.maxVal,_xlfn.MAXIFS($K:$K,$A:$A,A224),IF(AND(_xlpm.maxVal=K224,T224&lt;&gt;0),_xlpm.maxVal,""))</f>
        <v/>
      </c>
      <c r="AD224" s="27">
        <f>$K224*L224*负载统计!$K$3/60</f>
        <v>0</v>
      </c>
      <c r="AE224" s="27">
        <f>$K224*L224*负载统计!$K$4/60</f>
        <v>0</v>
      </c>
      <c r="AF224" s="27">
        <f>$K224*N224*负载统计!$K$5/60</f>
        <v>0</v>
      </c>
      <c r="AG224" s="27">
        <f>$K224*O224*负载统计!$K$6/60</f>
        <v>0</v>
      </c>
      <c r="AH224" s="27">
        <f>$K224*P224*负载统计!$K$7/60</f>
        <v>0</v>
      </c>
      <c r="AI224" s="27">
        <f>$K224*Q224*负载统计!$K$8/60</f>
        <v>0</v>
      </c>
      <c r="AJ224" s="27">
        <f>$K224*R224*负载统计!$K$9/60</f>
        <v>0</v>
      </c>
      <c r="AK224" s="27">
        <f>$K224*S224*负载统计!$K$10/60</f>
        <v>0</v>
      </c>
      <c r="AL224" s="27">
        <f>$K224*T224*负载统计!$K$11/60</f>
        <v>0</v>
      </c>
    </row>
    <row r="225" spans="1:38">
      <c r="A225" s="1">
        <v>101</v>
      </c>
      <c r="B225" s="24" t="s">
        <v>1465</v>
      </c>
      <c r="C225" s="24" t="s">
        <v>1428</v>
      </c>
      <c r="D225" s="24" t="s">
        <v>1466</v>
      </c>
      <c r="E225" s="24" t="s">
        <v>751</v>
      </c>
      <c r="F225" s="24" t="s">
        <v>756</v>
      </c>
      <c r="G225" s="25">
        <f>VLOOKUP(A225,负载电气特性!A:G,7,FALSE)</f>
        <v>28</v>
      </c>
      <c r="H225" s="26" t="s">
        <v>66</v>
      </c>
      <c r="I225" s="25" t="s">
        <v>1706</v>
      </c>
      <c r="J225" s="24" t="s">
        <v>1718</v>
      </c>
      <c r="K225" s="25">
        <v>0.12</v>
      </c>
      <c r="L225" s="25">
        <v>0</v>
      </c>
      <c r="M225" s="25">
        <v>0</v>
      </c>
      <c r="N225" s="25">
        <v>0</v>
      </c>
      <c r="O225" s="25">
        <v>1</v>
      </c>
      <c r="P225" s="25">
        <v>1</v>
      </c>
      <c r="Q225" s="25">
        <v>0</v>
      </c>
      <c r="R225" s="25">
        <v>0</v>
      </c>
      <c r="S225" s="25">
        <v>0</v>
      </c>
      <c r="T225" s="25">
        <v>0</v>
      </c>
      <c r="U225" s="27" t="str">
        <f>_xlfn.LET(_xlpm.maxVal,_xlfn.MAXIFS($K:$K,$A:$A,A225),IF(AND(_xlpm.maxVal=K225,L225&lt;&gt;0),_xlpm.maxVal,""))</f>
        <v/>
      </c>
      <c r="V225" s="27" t="str">
        <f>_xlfn.LET(_xlpm.maxVal,_xlfn.MAXIFS($K:$K,$A:$A,A225),IF(AND(_xlpm.maxVal=K225,M225&lt;&gt;0),_xlpm.maxVal,""))</f>
        <v/>
      </c>
      <c r="W225" s="27" t="str">
        <f>_xlfn.LET(_xlpm.maxVal,_xlfn.MAXIFS($K:$K,$A:$A,A225),IF(AND(_xlpm.maxVal=K225,N225&lt;&gt;0),_xlpm.maxVal,""))</f>
        <v/>
      </c>
      <c r="X225" s="27">
        <f>_xlfn.LET(_xlpm.maxVal,_xlfn.MAXIFS($K:$K,$A:$A,A225),IF(AND(_xlpm.maxVal=K225,O225&lt;&gt;0),_xlpm.maxVal,""))</f>
        <v>0.12</v>
      </c>
      <c r="Y225" s="27">
        <f>_xlfn.LET(_xlpm.maxVal,_xlfn.MAXIFS($K:$K,$A:$A,A225),IF(AND(_xlpm.maxVal=K225,P225&lt;&gt;0),_xlpm.maxVal,""))</f>
        <v>0.12</v>
      </c>
      <c r="Z225" s="27" t="str">
        <f>_xlfn.LET(_xlpm.maxVal,_xlfn.MAXIFS($K:$K,$A:$A,A225),IF(AND(_xlpm.maxVal=K225,Q225&lt;&gt;0),_xlpm.maxVal,""))</f>
        <v/>
      </c>
      <c r="AA225" s="27" t="str">
        <f>_xlfn.LET(_xlpm.maxVal,_xlfn.MAXIFS($K:$K,$A:$A,A225),IF(AND(_xlpm.maxVal=K225,R225&lt;&gt;0),_xlpm.maxVal,""))</f>
        <v/>
      </c>
      <c r="AB225" s="27" t="str">
        <f>_xlfn.LET(_xlpm.maxVal,_xlfn.MAXIFS($K:$K,$A:$A,A225),IF(AND(_xlpm.maxVal=K225,S225&lt;&gt;0),_xlpm.maxVal,""))</f>
        <v/>
      </c>
      <c r="AC225" s="27" t="str">
        <f>_xlfn.LET(_xlpm.maxVal,_xlfn.MAXIFS($K:$K,$A:$A,A225),IF(AND(_xlpm.maxVal=K225,T225&lt;&gt;0),_xlpm.maxVal,""))</f>
        <v/>
      </c>
      <c r="AD225" s="27">
        <f>$K225*L225*负载统计!$K$3/60</f>
        <v>0</v>
      </c>
      <c r="AE225" s="27">
        <f>$K225*L225*负载统计!$K$4/60</f>
        <v>0</v>
      </c>
      <c r="AF225" s="27">
        <f>$K225*N225*负载统计!$K$5/60</f>
        <v>0</v>
      </c>
      <c r="AG225" s="27">
        <f>$K225*O225*负载统计!$K$6/60</f>
        <v>0.006</v>
      </c>
      <c r="AH225" s="27">
        <f>$K225*P225*负载统计!$K$7/60</f>
        <v>0.01354</v>
      </c>
      <c r="AI225" s="27">
        <f>$K225*Q225*负载统计!$K$8/60</f>
        <v>0</v>
      </c>
      <c r="AJ225" s="27">
        <f>$K225*R225*负载统计!$K$9/60</f>
        <v>0</v>
      </c>
      <c r="AK225" s="27">
        <f>$K225*S225*负载统计!$K$10/60</f>
        <v>0</v>
      </c>
      <c r="AL225" s="27">
        <f>$K225*T225*负载统计!$K$11/60</f>
        <v>0</v>
      </c>
    </row>
    <row r="226" spans="1:38">
      <c r="A226" s="1">
        <v>101</v>
      </c>
      <c r="B226" s="24" t="s">
        <v>1465</v>
      </c>
      <c r="C226" s="24" t="s">
        <v>1428</v>
      </c>
      <c r="D226" s="24" t="s">
        <v>1466</v>
      </c>
      <c r="E226" s="24" t="s">
        <v>751</v>
      </c>
      <c r="F226" s="24" t="s">
        <v>756</v>
      </c>
      <c r="G226" s="25">
        <f>VLOOKUP(A226,负载电气特性!A:G,7,FALSE)</f>
        <v>28</v>
      </c>
      <c r="H226" s="26" t="s">
        <v>66</v>
      </c>
      <c r="I226" s="25" t="s">
        <v>1706</v>
      </c>
      <c r="J226" s="25" t="s">
        <v>1708</v>
      </c>
      <c r="K226" s="25">
        <v>0</v>
      </c>
      <c r="L226" s="25">
        <v>1</v>
      </c>
      <c r="M226" s="25">
        <v>1</v>
      </c>
      <c r="N226" s="25">
        <v>1</v>
      </c>
      <c r="O226" s="25">
        <v>0</v>
      </c>
      <c r="P226" s="25">
        <v>0</v>
      </c>
      <c r="Q226" s="25">
        <v>0</v>
      </c>
      <c r="R226" s="25">
        <v>1</v>
      </c>
      <c r="S226" s="25">
        <v>1</v>
      </c>
      <c r="T226" s="25">
        <v>1</v>
      </c>
      <c r="U226" s="27" t="str">
        <f>_xlfn.LET(_xlpm.maxVal,_xlfn.MAXIFS($K:$K,$A:$A,A226),IF(AND(_xlpm.maxVal=K226,L226&lt;&gt;0),_xlpm.maxVal,""))</f>
        <v/>
      </c>
      <c r="V226" s="27" t="str">
        <f>_xlfn.LET(_xlpm.maxVal,_xlfn.MAXIFS($K:$K,$A:$A,A226),IF(AND(_xlpm.maxVal=K226,M226&lt;&gt;0),_xlpm.maxVal,""))</f>
        <v/>
      </c>
      <c r="W226" s="27" t="str">
        <f>_xlfn.LET(_xlpm.maxVal,_xlfn.MAXIFS($K:$K,$A:$A,A226),IF(AND(_xlpm.maxVal=K226,N226&lt;&gt;0),_xlpm.maxVal,""))</f>
        <v/>
      </c>
      <c r="X226" s="27" t="str">
        <f>_xlfn.LET(_xlpm.maxVal,_xlfn.MAXIFS($K:$K,$A:$A,A226),IF(AND(_xlpm.maxVal=K226,O226&lt;&gt;0),_xlpm.maxVal,""))</f>
        <v/>
      </c>
      <c r="Y226" s="27" t="str">
        <f>_xlfn.LET(_xlpm.maxVal,_xlfn.MAXIFS($K:$K,$A:$A,A226),IF(AND(_xlpm.maxVal=K226,P226&lt;&gt;0),_xlpm.maxVal,""))</f>
        <v/>
      </c>
      <c r="Z226" s="27" t="str">
        <f>_xlfn.LET(_xlpm.maxVal,_xlfn.MAXIFS($K:$K,$A:$A,A226),IF(AND(_xlpm.maxVal=K226,Q226&lt;&gt;0),_xlpm.maxVal,""))</f>
        <v/>
      </c>
      <c r="AA226" s="27" t="str">
        <f>_xlfn.LET(_xlpm.maxVal,_xlfn.MAXIFS($K:$K,$A:$A,A226),IF(AND(_xlpm.maxVal=K226,R226&lt;&gt;0),_xlpm.maxVal,""))</f>
        <v/>
      </c>
      <c r="AB226" s="27" t="str">
        <f>_xlfn.LET(_xlpm.maxVal,_xlfn.MAXIFS($K:$K,$A:$A,A226),IF(AND(_xlpm.maxVal=K226,S226&lt;&gt;0),_xlpm.maxVal,""))</f>
        <v/>
      </c>
      <c r="AC226" s="27" t="str">
        <f>_xlfn.LET(_xlpm.maxVal,_xlfn.MAXIFS($K:$K,$A:$A,A226),IF(AND(_xlpm.maxVal=K226,T226&lt;&gt;0),_xlpm.maxVal,""))</f>
        <v/>
      </c>
      <c r="AD226" s="27">
        <f>$K226*L226*负载统计!$K$3/60</f>
        <v>0</v>
      </c>
      <c r="AE226" s="27">
        <f>$K226*L226*负载统计!$K$4/60</f>
        <v>0</v>
      </c>
      <c r="AF226" s="27">
        <f>$K226*N226*负载统计!$K$5/60</f>
        <v>0</v>
      </c>
      <c r="AG226" s="27">
        <f>$K226*O226*负载统计!$K$6/60</f>
        <v>0</v>
      </c>
      <c r="AH226" s="27">
        <f>$K226*P226*负载统计!$K$7/60</f>
        <v>0</v>
      </c>
      <c r="AI226" s="27">
        <f>$K226*Q226*负载统计!$K$8/60</f>
        <v>0</v>
      </c>
      <c r="AJ226" s="27">
        <f>$K226*R226*负载统计!$K$9/60</f>
        <v>0</v>
      </c>
      <c r="AK226" s="27">
        <f>$K226*S226*负载统计!$K$10/60</f>
        <v>0</v>
      </c>
      <c r="AL226" s="27">
        <f>$K226*T226*负载统计!$K$11/60</f>
        <v>0</v>
      </c>
    </row>
    <row r="227" spans="1:38">
      <c r="A227" s="1">
        <v>102</v>
      </c>
      <c r="B227" s="24" t="s">
        <v>1467</v>
      </c>
      <c r="C227" s="24" t="s">
        <v>1428</v>
      </c>
      <c r="D227" s="24" t="s">
        <v>1468</v>
      </c>
      <c r="E227" s="24" t="s">
        <v>751</v>
      </c>
      <c r="F227" s="24" t="s">
        <v>758</v>
      </c>
      <c r="G227" s="25">
        <f>VLOOKUP(A227,负载电气特性!A:G,7,FALSE)</f>
        <v>28</v>
      </c>
      <c r="H227" s="26" t="s">
        <v>66</v>
      </c>
      <c r="I227" s="25" t="s">
        <v>1706</v>
      </c>
      <c r="J227" s="24" t="s">
        <v>1718</v>
      </c>
      <c r="K227" s="25">
        <v>0.12</v>
      </c>
      <c r="L227" s="25">
        <v>0</v>
      </c>
      <c r="M227" s="25">
        <v>0</v>
      </c>
      <c r="N227" s="25">
        <v>0</v>
      </c>
      <c r="O227" s="25">
        <v>1</v>
      </c>
      <c r="P227" s="25">
        <v>1</v>
      </c>
      <c r="Q227" s="25">
        <v>0</v>
      </c>
      <c r="R227" s="25">
        <v>0</v>
      </c>
      <c r="S227" s="25">
        <v>0</v>
      </c>
      <c r="T227" s="25">
        <v>0</v>
      </c>
      <c r="U227" s="27" t="str">
        <f>_xlfn.LET(_xlpm.maxVal,_xlfn.MAXIFS($K:$K,$A:$A,A227),IF(AND(_xlpm.maxVal=K227,L227&lt;&gt;0),_xlpm.maxVal,""))</f>
        <v/>
      </c>
      <c r="V227" s="27" t="str">
        <f>_xlfn.LET(_xlpm.maxVal,_xlfn.MAXIFS($K:$K,$A:$A,A227),IF(AND(_xlpm.maxVal=K227,M227&lt;&gt;0),_xlpm.maxVal,""))</f>
        <v/>
      </c>
      <c r="W227" s="27" t="str">
        <f>_xlfn.LET(_xlpm.maxVal,_xlfn.MAXIFS($K:$K,$A:$A,A227),IF(AND(_xlpm.maxVal=K227,N227&lt;&gt;0),_xlpm.maxVal,""))</f>
        <v/>
      </c>
      <c r="X227" s="27">
        <f>_xlfn.LET(_xlpm.maxVal,_xlfn.MAXIFS($K:$K,$A:$A,A227),IF(AND(_xlpm.maxVal=K227,O227&lt;&gt;0),_xlpm.maxVal,""))</f>
        <v>0.12</v>
      </c>
      <c r="Y227" s="27">
        <f>_xlfn.LET(_xlpm.maxVal,_xlfn.MAXIFS($K:$K,$A:$A,A227),IF(AND(_xlpm.maxVal=K227,P227&lt;&gt;0),_xlpm.maxVal,""))</f>
        <v>0.12</v>
      </c>
      <c r="Z227" s="27" t="str">
        <f>_xlfn.LET(_xlpm.maxVal,_xlfn.MAXIFS($K:$K,$A:$A,A227),IF(AND(_xlpm.maxVal=K227,Q227&lt;&gt;0),_xlpm.maxVal,""))</f>
        <v/>
      </c>
      <c r="AA227" s="27" t="str">
        <f>_xlfn.LET(_xlpm.maxVal,_xlfn.MAXIFS($K:$K,$A:$A,A227),IF(AND(_xlpm.maxVal=K227,R227&lt;&gt;0),_xlpm.maxVal,""))</f>
        <v/>
      </c>
      <c r="AB227" s="27" t="str">
        <f>_xlfn.LET(_xlpm.maxVal,_xlfn.MAXIFS($K:$K,$A:$A,A227),IF(AND(_xlpm.maxVal=K227,S227&lt;&gt;0),_xlpm.maxVal,""))</f>
        <v/>
      </c>
      <c r="AC227" s="27" t="str">
        <f>_xlfn.LET(_xlpm.maxVal,_xlfn.MAXIFS($K:$K,$A:$A,A227),IF(AND(_xlpm.maxVal=K227,T227&lt;&gt;0),_xlpm.maxVal,""))</f>
        <v/>
      </c>
      <c r="AD227" s="27">
        <f>$K227*L227*负载统计!$K$3/60</f>
        <v>0</v>
      </c>
      <c r="AE227" s="27">
        <f>$K227*L227*负载统计!$K$4/60</f>
        <v>0</v>
      </c>
      <c r="AF227" s="27">
        <f>$K227*N227*负载统计!$K$5/60</f>
        <v>0</v>
      </c>
      <c r="AG227" s="27">
        <f>$K227*O227*负载统计!$K$6/60</f>
        <v>0.006</v>
      </c>
      <c r="AH227" s="27">
        <f>$K227*P227*负载统计!$K$7/60</f>
        <v>0.01354</v>
      </c>
      <c r="AI227" s="27">
        <f>$K227*Q227*负载统计!$K$8/60</f>
        <v>0</v>
      </c>
      <c r="AJ227" s="27">
        <f>$K227*R227*负载统计!$K$9/60</f>
        <v>0</v>
      </c>
      <c r="AK227" s="27">
        <f>$K227*S227*负载统计!$K$10/60</f>
        <v>0</v>
      </c>
      <c r="AL227" s="27">
        <f>$K227*T227*负载统计!$K$11/60</f>
        <v>0</v>
      </c>
    </row>
    <row r="228" spans="1:38">
      <c r="A228" s="1">
        <v>102</v>
      </c>
      <c r="B228" s="24" t="s">
        <v>1467</v>
      </c>
      <c r="C228" s="24" t="s">
        <v>1428</v>
      </c>
      <c r="D228" s="24" t="s">
        <v>1468</v>
      </c>
      <c r="E228" s="24" t="s">
        <v>751</v>
      </c>
      <c r="F228" s="24" t="s">
        <v>758</v>
      </c>
      <c r="G228" s="25">
        <f>VLOOKUP(A228,负载电气特性!A:G,7,FALSE)</f>
        <v>28</v>
      </c>
      <c r="H228" s="26" t="s">
        <v>66</v>
      </c>
      <c r="I228" s="25" t="s">
        <v>1706</v>
      </c>
      <c r="J228" s="25" t="s">
        <v>1708</v>
      </c>
      <c r="K228" s="25">
        <v>0</v>
      </c>
      <c r="L228" s="25">
        <v>1</v>
      </c>
      <c r="M228" s="25">
        <v>1</v>
      </c>
      <c r="N228" s="25">
        <v>1</v>
      </c>
      <c r="O228" s="25">
        <v>0</v>
      </c>
      <c r="P228" s="25">
        <v>0</v>
      </c>
      <c r="Q228" s="25">
        <v>0</v>
      </c>
      <c r="R228" s="25">
        <v>1</v>
      </c>
      <c r="S228" s="25">
        <v>1</v>
      </c>
      <c r="T228" s="25">
        <v>1</v>
      </c>
      <c r="U228" s="27" t="str">
        <f>_xlfn.LET(_xlpm.maxVal,_xlfn.MAXIFS($K:$K,$A:$A,A228),IF(AND(_xlpm.maxVal=K228,L228&lt;&gt;0),_xlpm.maxVal,""))</f>
        <v/>
      </c>
      <c r="V228" s="27" t="str">
        <f>_xlfn.LET(_xlpm.maxVal,_xlfn.MAXIFS($K:$K,$A:$A,A228),IF(AND(_xlpm.maxVal=K228,M228&lt;&gt;0),_xlpm.maxVal,""))</f>
        <v/>
      </c>
      <c r="W228" s="27" t="str">
        <f>_xlfn.LET(_xlpm.maxVal,_xlfn.MAXIFS($K:$K,$A:$A,A228),IF(AND(_xlpm.maxVal=K228,N228&lt;&gt;0),_xlpm.maxVal,""))</f>
        <v/>
      </c>
      <c r="X228" s="27" t="str">
        <f>_xlfn.LET(_xlpm.maxVal,_xlfn.MAXIFS($K:$K,$A:$A,A228),IF(AND(_xlpm.maxVal=K228,O228&lt;&gt;0),_xlpm.maxVal,""))</f>
        <v/>
      </c>
      <c r="Y228" s="27" t="str">
        <f>_xlfn.LET(_xlpm.maxVal,_xlfn.MAXIFS($K:$K,$A:$A,A228),IF(AND(_xlpm.maxVal=K228,P228&lt;&gt;0),_xlpm.maxVal,""))</f>
        <v/>
      </c>
      <c r="Z228" s="27" t="str">
        <f>_xlfn.LET(_xlpm.maxVal,_xlfn.MAXIFS($K:$K,$A:$A,A228),IF(AND(_xlpm.maxVal=K228,Q228&lt;&gt;0),_xlpm.maxVal,""))</f>
        <v/>
      </c>
      <c r="AA228" s="27" t="str">
        <f>_xlfn.LET(_xlpm.maxVal,_xlfn.MAXIFS($K:$K,$A:$A,A228),IF(AND(_xlpm.maxVal=K228,R228&lt;&gt;0),_xlpm.maxVal,""))</f>
        <v/>
      </c>
      <c r="AB228" s="27" t="str">
        <f>_xlfn.LET(_xlpm.maxVal,_xlfn.MAXIFS($K:$K,$A:$A,A228),IF(AND(_xlpm.maxVal=K228,S228&lt;&gt;0),_xlpm.maxVal,""))</f>
        <v/>
      </c>
      <c r="AC228" s="27" t="str">
        <f>_xlfn.LET(_xlpm.maxVal,_xlfn.MAXIFS($K:$K,$A:$A,A228),IF(AND(_xlpm.maxVal=K228,T228&lt;&gt;0),_xlpm.maxVal,""))</f>
        <v/>
      </c>
      <c r="AD228" s="27">
        <f>$K228*L228*负载统计!$K$3/60</f>
        <v>0</v>
      </c>
      <c r="AE228" s="27">
        <f>$K228*L228*负载统计!$K$4/60</f>
        <v>0</v>
      </c>
      <c r="AF228" s="27">
        <f>$K228*N228*负载统计!$K$5/60</f>
        <v>0</v>
      </c>
      <c r="AG228" s="27">
        <f>$K228*O228*负载统计!$K$6/60</f>
        <v>0</v>
      </c>
      <c r="AH228" s="27">
        <f>$K228*P228*负载统计!$K$7/60</f>
        <v>0</v>
      </c>
      <c r="AI228" s="27">
        <f>$K228*Q228*负载统计!$K$8/60</f>
        <v>0</v>
      </c>
      <c r="AJ228" s="27">
        <f>$K228*R228*负载统计!$K$9/60</f>
        <v>0</v>
      </c>
      <c r="AK228" s="27">
        <f>$K228*S228*负载统计!$K$10/60</f>
        <v>0</v>
      </c>
      <c r="AL228" s="27">
        <f>$K228*T228*负载统计!$K$11/60</f>
        <v>0</v>
      </c>
    </row>
    <row r="229" spans="1:38">
      <c r="A229" s="1">
        <v>103</v>
      </c>
      <c r="B229" s="24" t="s">
        <v>1469</v>
      </c>
      <c r="C229" s="24" t="s">
        <v>1428</v>
      </c>
      <c r="D229" s="24" t="s">
        <v>765</v>
      </c>
      <c r="E229" s="24" t="s">
        <v>766</v>
      </c>
      <c r="F229" s="24" t="s">
        <v>767</v>
      </c>
      <c r="G229" s="25">
        <f>VLOOKUP(A229,负载电气特性!A:G,7,FALSE)</f>
        <v>28</v>
      </c>
      <c r="H229" s="26" t="s">
        <v>61</v>
      </c>
      <c r="I229" s="25" t="s">
        <v>1706</v>
      </c>
      <c r="J229" s="24" t="s">
        <v>1718</v>
      </c>
      <c r="K229" s="25">
        <v>0.12</v>
      </c>
      <c r="L229" s="25">
        <v>0</v>
      </c>
      <c r="M229" s="25">
        <v>0</v>
      </c>
      <c r="N229" s="25">
        <v>0</v>
      </c>
      <c r="O229" s="25">
        <v>1</v>
      </c>
      <c r="P229" s="25">
        <v>1</v>
      </c>
      <c r="Q229" s="25">
        <v>0</v>
      </c>
      <c r="R229" s="25">
        <v>0</v>
      </c>
      <c r="S229" s="25">
        <v>0</v>
      </c>
      <c r="T229" s="25">
        <v>0</v>
      </c>
      <c r="U229" s="27" t="str">
        <f>_xlfn.LET(_xlpm.maxVal,_xlfn.MAXIFS($K:$K,$A:$A,A229),IF(AND(_xlpm.maxVal=K229,L229&lt;&gt;0),_xlpm.maxVal,""))</f>
        <v/>
      </c>
      <c r="V229" s="27" t="str">
        <f>_xlfn.LET(_xlpm.maxVal,_xlfn.MAXIFS($K:$K,$A:$A,A229),IF(AND(_xlpm.maxVal=K229,M229&lt;&gt;0),_xlpm.maxVal,""))</f>
        <v/>
      </c>
      <c r="W229" s="27" t="str">
        <f>_xlfn.LET(_xlpm.maxVal,_xlfn.MAXIFS($K:$K,$A:$A,A229),IF(AND(_xlpm.maxVal=K229,N229&lt;&gt;0),_xlpm.maxVal,""))</f>
        <v/>
      </c>
      <c r="X229" s="27">
        <f>_xlfn.LET(_xlpm.maxVal,_xlfn.MAXIFS($K:$K,$A:$A,A229),IF(AND(_xlpm.maxVal=K229,O229&lt;&gt;0),_xlpm.maxVal,""))</f>
        <v>0.12</v>
      </c>
      <c r="Y229" s="27">
        <f>_xlfn.LET(_xlpm.maxVal,_xlfn.MAXIFS($K:$K,$A:$A,A229),IF(AND(_xlpm.maxVal=K229,P229&lt;&gt;0),_xlpm.maxVal,""))</f>
        <v>0.12</v>
      </c>
      <c r="Z229" s="27" t="str">
        <f>_xlfn.LET(_xlpm.maxVal,_xlfn.MAXIFS($K:$K,$A:$A,A229),IF(AND(_xlpm.maxVal=K229,Q229&lt;&gt;0),_xlpm.maxVal,""))</f>
        <v/>
      </c>
      <c r="AA229" s="27" t="str">
        <f>_xlfn.LET(_xlpm.maxVal,_xlfn.MAXIFS($K:$K,$A:$A,A229),IF(AND(_xlpm.maxVal=K229,R229&lt;&gt;0),_xlpm.maxVal,""))</f>
        <v/>
      </c>
      <c r="AB229" s="27" t="str">
        <f>_xlfn.LET(_xlpm.maxVal,_xlfn.MAXIFS($K:$K,$A:$A,A229),IF(AND(_xlpm.maxVal=K229,S229&lt;&gt;0),_xlpm.maxVal,""))</f>
        <v/>
      </c>
      <c r="AC229" s="27" t="str">
        <f>_xlfn.LET(_xlpm.maxVal,_xlfn.MAXIFS($K:$K,$A:$A,A229),IF(AND(_xlpm.maxVal=K229,T229&lt;&gt;0),_xlpm.maxVal,""))</f>
        <v/>
      </c>
      <c r="AD229" s="27">
        <f>$K229*L229*负载统计!$K$3/60</f>
        <v>0</v>
      </c>
      <c r="AE229" s="27">
        <f>$K229*L229*负载统计!$K$4/60</f>
        <v>0</v>
      </c>
      <c r="AF229" s="27">
        <f>$K229*N229*负载统计!$K$5/60</f>
        <v>0</v>
      </c>
      <c r="AG229" s="27">
        <f>$K229*O229*负载统计!$K$6/60</f>
        <v>0.006</v>
      </c>
      <c r="AH229" s="27">
        <f>$K229*P229*负载统计!$K$7/60</f>
        <v>0.01354</v>
      </c>
      <c r="AI229" s="27">
        <f>$K229*Q229*负载统计!$K$8/60</f>
        <v>0</v>
      </c>
      <c r="AJ229" s="27">
        <f>$K229*R229*负载统计!$K$9/60</f>
        <v>0</v>
      </c>
      <c r="AK229" s="27">
        <f>$K229*S229*负载统计!$K$10/60</f>
        <v>0</v>
      </c>
      <c r="AL229" s="27">
        <f>$K229*T229*负载统计!$K$11/60</f>
        <v>0</v>
      </c>
    </row>
    <row r="230" spans="1:38">
      <c r="A230" s="1">
        <v>103</v>
      </c>
      <c r="B230" s="24" t="s">
        <v>1469</v>
      </c>
      <c r="C230" s="24" t="s">
        <v>1428</v>
      </c>
      <c r="D230" s="24" t="s">
        <v>765</v>
      </c>
      <c r="E230" s="24" t="s">
        <v>766</v>
      </c>
      <c r="F230" s="24" t="s">
        <v>767</v>
      </c>
      <c r="G230" s="25">
        <f>VLOOKUP(A230,负载电气特性!A:G,7,FALSE)</f>
        <v>28</v>
      </c>
      <c r="H230" s="26" t="s">
        <v>61</v>
      </c>
      <c r="I230" s="25" t="s">
        <v>1706</v>
      </c>
      <c r="J230" s="25" t="s">
        <v>1708</v>
      </c>
      <c r="K230" s="25">
        <v>0</v>
      </c>
      <c r="L230" s="25">
        <v>1</v>
      </c>
      <c r="M230" s="25">
        <v>1</v>
      </c>
      <c r="N230" s="25">
        <v>1</v>
      </c>
      <c r="O230" s="25">
        <v>0</v>
      </c>
      <c r="P230" s="25">
        <v>0</v>
      </c>
      <c r="Q230" s="25">
        <v>1</v>
      </c>
      <c r="R230" s="25">
        <v>1</v>
      </c>
      <c r="S230" s="25">
        <v>1</v>
      </c>
      <c r="T230" s="25">
        <v>1</v>
      </c>
      <c r="U230" s="27" t="str">
        <f>_xlfn.LET(_xlpm.maxVal,_xlfn.MAXIFS($K:$K,$A:$A,A230),IF(AND(_xlpm.maxVal=K230,L230&lt;&gt;0),_xlpm.maxVal,""))</f>
        <v/>
      </c>
      <c r="V230" s="27" t="str">
        <f>_xlfn.LET(_xlpm.maxVal,_xlfn.MAXIFS($K:$K,$A:$A,A230),IF(AND(_xlpm.maxVal=K230,M230&lt;&gt;0),_xlpm.maxVal,""))</f>
        <v/>
      </c>
      <c r="W230" s="27" t="str">
        <f>_xlfn.LET(_xlpm.maxVal,_xlfn.MAXIFS($K:$K,$A:$A,A230),IF(AND(_xlpm.maxVal=K230,N230&lt;&gt;0),_xlpm.maxVal,""))</f>
        <v/>
      </c>
      <c r="X230" s="27" t="str">
        <f>_xlfn.LET(_xlpm.maxVal,_xlfn.MAXIFS($K:$K,$A:$A,A230),IF(AND(_xlpm.maxVal=K230,O230&lt;&gt;0),_xlpm.maxVal,""))</f>
        <v/>
      </c>
      <c r="Y230" s="27" t="str">
        <f>_xlfn.LET(_xlpm.maxVal,_xlfn.MAXIFS($K:$K,$A:$A,A230),IF(AND(_xlpm.maxVal=K230,P230&lt;&gt;0),_xlpm.maxVal,""))</f>
        <v/>
      </c>
      <c r="Z230" s="27" t="str">
        <f>_xlfn.LET(_xlpm.maxVal,_xlfn.MAXIFS($K:$K,$A:$A,A230),IF(AND(_xlpm.maxVal=K230,Q230&lt;&gt;0),_xlpm.maxVal,""))</f>
        <v/>
      </c>
      <c r="AA230" s="27" t="str">
        <f>_xlfn.LET(_xlpm.maxVal,_xlfn.MAXIFS($K:$K,$A:$A,A230),IF(AND(_xlpm.maxVal=K230,R230&lt;&gt;0),_xlpm.maxVal,""))</f>
        <v/>
      </c>
      <c r="AB230" s="27" t="str">
        <f>_xlfn.LET(_xlpm.maxVal,_xlfn.MAXIFS($K:$K,$A:$A,A230),IF(AND(_xlpm.maxVal=K230,S230&lt;&gt;0),_xlpm.maxVal,""))</f>
        <v/>
      </c>
      <c r="AC230" s="27" t="str">
        <f>_xlfn.LET(_xlpm.maxVal,_xlfn.MAXIFS($K:$K,$A:$A,A230),IF(AND(_xlpm.maxVal=K230,T230&lt;&gt;0),_xlpm.maxVal,""))</f>
        <v/>
      </c>
      <c r="AD230" s="27">
        <f>$K230*L230*负载统计!$K$3/60</f>
        <v>0</v>
      </c>
      <c r="AE230" s="27">
        <f>$K230*L230*负载统计!$K$4/60</f>
        <v>0</v>
      </c>
      <c r="AF230" s="27">
        <f>$K230*N230*负载统计!$K$5/60</f>
        <v>0</v>
      </c>
      <c r="AG230" s="27">
        <f>$K230*O230*负载统计!$K$6/60</f>
        <v>0</v>
      </c>
      <c r="AH230" s="27">
        <f>$K230*P230*负载统计!$K$7/60</f>
        <v>0</v>
      </c>
      <c r="AI230" s="27">
        <f>$K230*Q230*负载统计!$K$8/60</f>
        <v>0</v>
      </c>
      <c r="AJ230" s="27">
        <f>$K230*R230*负载统计!$K$9/60</f>
        <v>0</v>
      </c>
      <c r="AK230" s="27">
        <f>$K230*S230*负载统计!$K$10/60</f>
        <v>0</v>
      </c>
      <c r="AL230" s="27">
        <f>$K230*T230*负载统计!$K$11/60</f>
        <v>0</v>
      </c>
    </row>
    <row r="231" spans="1:38">
      <c r="A231" s="1">
        <v>104</v>
      </c>
      <c r="B231" s="24" t="s">
        <v>1470</v>
      </c>
      <c r="C231" s="24" t="s">
        <v>1428</v>
      </c>
      <c r="D231" s="24" t="s">
        <v>768</v>
      </c>
      <c r="E231" s="24" t="s">
        <v>766</v>
      </c>
      <c r="F231" s="24" t="s">
        <v>769</v>
      </c>
      <c r="G231" s="25">
        <f>VLOOKUP(A231,负载电气特性!A:G,7,FALSE)</f>
        <v>28</v>
      </c>
      <c r="H231" s="26" t="s">
        <v>61</v>
      </c>
      <c r="I231" s="25" t="s">
        <v>1706</v>
      </c>
      <c r="J231" s="24" t="s">
        <v>1718</v>
      </c>
      <c r="K231" s="25">
        <v>0.12</v>
      </c>
      <c r="L231" s="25">
        <v>0</v>
      </c>
      <c r="M231" s="25">
        <v>0</v>
      </c>
      <c r="N231" s="25">
        <v>0</v>
      </c>
      <c r="O231" s="25">
        <v>1</v>
      </c>
      <c r="P231" s="25">
        <v>1</v>
      </c>
      <c r="Q231" s="25">
        <v>0</v>
      </c>
      <c r="R231" s="25">
        <v>0</v>
      </c>
      <c r="S231" s="25">
        <v>0</v>
      </c>
      <c r="T231" s="25">
        <v>0</v>
      </c>
      <c r="U231" s="27" t="str">
        <f>_xlfn.LET(_xlpm.maxVal,_xlfn.MAXIFS($K:$K,$A:$A,A231),IF(AND(_xlpm.maxVal=K231,L231&lt;&gt;0),_xlpm.maxVal,""))</f>
        <v/>
      </c>
      <c r="V231" s="27" t="str">
        <f>_xlfn.LET(_xlpm.maxVal,_xlfn.MAXIFS($K:$K,$A:$A,A231),IF(AND(_xlpm.maxVal=K231,M231&lt;&gt;0),_xlpm.maxVal,""))</f>
        <v/>
      </c>
      <c r="W231" s="27" t="str">
        <f>_xlfn.LET(_xlpm.maxVal,_xlfn.MAXIFS($K:$K,$A:$A,A231),IF(AND(_xlpm.maxVal=K231,N231&lt;&gt;0),_xlpm.maxVal,""))</f>
        <v/>
      </c>
      <c r="X231" s="27">
        <f>_xlfn.LET(_xlpm.maxVal,_xlfn.MAXIFS($K:$K,$A:$A,A231),IF(AND(_xlpm.maxVal=K231,O231&lt;&gt;0),_xlpm.maxVal,""))</f>
        <v>0.12</v>
      </c>
      <c r="Y231" s="27">
        <f>_xlfn.LET(_xlpm.maxVal,_xlfn.MAXIFS($K:$K,$A:$A,A231),IF(AND(_xlpm.maxVal=K231,P231&lt;&gt;0),_xlpm.maxVal,""))</f>
        <v>0.12</v>
      </c>
      <c r="Z231" s="27" t="str">
        <f>_xlfn.LET(_xlpm.maxVal,_xlfn.MAXIFS($K:$K,$A:$A,A231),IF(AND(_xlpm.maxVal=K231,Q231&lt;&gt;0),_xlpm.maxVal,""))</f>
        <v/>
      </c>
      <c r="AA231" s="27" t="str">
        <f>_xlfn.LET(_xlpm.maxVal,_xlfn.MAXIFS($K:$K,$A:$A,A231),IF(AND(_xlpm.maxVal=K231,R231&lt;&gt;0),_xlpm.maxVal,""))</f>
        <v/>
      </c>
      <c r="AB231" s="27" t="str">
        <f>_xlfn.LET(_xlpm.maxVal,_xlfn.MAXIFS($K:$K,$A:$A,A231),IF(AND(_xlpm.maxVal=K231,S231&lt;&gt;0),_xlpm.maxVal,""))</f>
        <v/>
      </c>
      <c r="AC231" s="27" t="str">
        <f>_xlfn.LET(_xlpm.maxVal,_xlfn.MAXIFS($K:$K,$A:$A,A231),IF(AND(_xlpm.maxVal=K231,T231&lt;&gt;0),_xlpm.maxVal,""))</f>
        <v/>
      </c>
      <c r="AD231" s="27">
        <f>$K231*L231*负载统计!$K$3/60</f>
        <v>0</v>
      </c>
      <c r="AE231" s="27">
        <f>$K231*L231*负载统计!$K$4/60</f>
        <v>0</v>
      </c>
      <c r="AF231" s="27">
        <f>$K231*N231*负载统计!$K$5/60</f>
        <v>0</v>
      </c>
      <c r="AG231" s="27">
        <f>$K231*O231*负载统计!$K$6/60</f>
        <v>0.006</v>
      </c>
      <c r="AH231" s="27">
        <f>$K231*P231*负载统计!$K$7/60</f>
        <v>0.01354</v>
      </c>
      <c r="AI231" s="27">
        <f>$K231*Q231*负载统计!$K$8/60</f>
        <v>0</v>
      </c>
      <c r="AJ231" s="27">
        <f>$K231*R231*负载统计!$K$9/60</f>
        <v>0</v>
      </c>
      <c r="AK231" s="27">
        <f>$K231*S231*负载统计!$K$10/60</f>
        <v>0</v>
      </c>
      <c r="AL231" s="27">
        <f>$K231*T231*负载统计!$K$11/60</f>
        <v>0</v>
      </c>
    </row>
    <row r="232" spans="1:38">
      <c r="A232" s="1">
        <v>104</v>
      </c>
      <c r="B232" s="24" t="s">
        <v>1470</v>
      </c>
      <c r="C232" s="24" t="s">
        <v>1428</v>
      </c>
      <c r="D232" s="24" t="s">
        <v>768</v>
      </c>
      <c r="E232" s="24" t="s">
        <v>766</v>
      </c>
      <c r="F232" s="24" t="s">
        <v>769</v>
      </c>
      <c r="G232" s="25">
        <f>VLOOKUP(A232,负载电气特性!A:G,7,FALSE)</f>
        <v>28</v>
      </c>
      <c r="H232" s="26" t="s">
        <v>61</v>
      </c>
      <c r="I232" s="25" t="s">
        <v>1706</v>
      </c>
      <c r="J232" s="25" t="s">
        <v>1708</v>
      </c>
      <c r="K232" s="25">
        <v>0</v>
      </c>
      <c r="L232" s="25">
        <v>1</v>
      </c>
      <c r="M232" s="25">
        <v>1</v>
      </c>
      <c r="N232" s="25">
        <v>1</v>
      </c>
      <c r="O232" s="25">
        <v>0</v>
      </c>
      <c r="P232" s="25">
        <v>0</v>
      </c>
      <c r="Q232" s="25">
        <v>1</v>
      </c>
      <c r="R232" s="25">
        <v>1</v>
      </c>
      <c r="S232" s="25">
        <v>1</v>
      </c>
      <c r="T232" s="25">
        <v>1</v>
      </c>
      <c r="U232" s="27" t="str">
        <f>_xlfn.LET(_xlpm.maxVal,_xlfn.MAXIFS($K:$K,$A:$A,A232),IF(AND(_xlpm.maxVal=K232,L232&lt;&gt;0),_xlpm.maxVal,""))</f>
        <v/>
      </c>
      <c r="V232" s="27" t="str">
        <f>_xlfn.LET(_xlpm.maxVal,_xlfn.MAXIFS($K:$K,$A:$A,A232),IF(AND(_xlpm.maxVal=K232,M232&lt;&gt;0),_xlpm.maxVal,""))</f>
        <v/>
      </c>
      <c r="W232" s="27" t="str">
        <f>_xlfn.LET(_xlpm.maxVal,_xlfn.MAXIFS($K:$K,$A:$A,A232),IF(AND(_xlpm.maxVal=K232,N232&lt;&gt;0),_xlpm.maxVal,""))</f>
        <v/>
      </c>
      <c r="X232" s="27" t="str">
        <f>_xlfn.LET(_xlpm.maxVal,_xlfn.MAXIFS($K:$K,$A:$A,A232),IF(AND(_xlpm.maxVal=K232,O232&lt;&gt;0),_xlpm.maxVal,""))</f>
        <v/>
      </c>
      <c r="Y232" s="27" t="str">
        <f>_xlfn.LET(_xlpm.maxVal,_xlfn.MAXIFS($K:$K,$A:$A,A232),IF(AND(_xlpm.maxVal=K232,P232&lt;&gt;0),_xlpm.maxVal,""))</f>
        <v/>
      </c>
      <c r="Z232" s="27" t="str">
        <f>_xlfn.LET(_xlpm.maxVal,_xlfn.MAXIFS($K:$K,$A:$A,A232),IF(AND(_xlpm.maxVal=K232,Q232&lt;&gt;0),_xlpm.maxVal,""))</f>
        <v/>
      </c>
      <c r="AA232" s="27" t="str">
        <f>_xlfn.LET(_xlpm.maxVal,_xlfn.MAXIFS($K:$K,$A:$A,A232),IF(AND(_xlpm.maxVal=K232,R232&lt;&gt;0),_xlpm.maxVal,""))</f>
        <v/>
      </c>
      <c r="AB232" s="27" t="str">
        <f>_xlfn.LET(_xlpm.maxVal,_xlfn.MAXIFS($K:$K,$A:$A,A232),IF(AND(_xlpm.maxVal=K232,S232&lt;&gt;0),_xlpm.maxVal,""))</f>
        <v/>
      </c>
      <c r="AC232" s="27" t="str">
        <f>_xlfn.LET(_xlpm.maxVal,_xlfn.MAXIFS($K:$K,$A:$A,A232),IF(AND(_xlpm.maxVal=K232,T232&lt;&gt;0),_xlpm.maxVal,""))</f>
        <v/>
      </c>
      <c r="AD232" s="27">
        <f>$K232*L232*负载统计!$K$3/60</f>
        <v>0</v>
      </c>
      <c r="AE232" s="27">
        <f>$K232*L232*负载统计!$K$4/60</f>
        <v>0</v>
      </c>
      <c r="AF232" s="27">
        <f>$K232*N232*负载统计!$K$5/60</f>
        <v>0</v>
      </c>
      <c r="AG232" s="27">
        <f>$K232*O232*负载统计!$K$6/60</f>
        <v>0</v>
      </c>
      <c r="AH232" s="27">
        <f>$K232*P232*负载统计!$K$7/60</f>
        <v>0</v>
      </c>
      <c r="AI232" s="27">
        <f>$K232*Q232*负载统计!$K$8/60</f>
        <v>0</v>
      </c>
      <c r="AJ232" s="27">
        <f>$K232*R232*负载统计!$K$9/60</f>
        <v>0</v>
      </c>
      <c r="AK232" s="27">
        <f>$K232*S232*负载统计!$K$10/60</f>
        <v>0</v>
      </c>
      <c r="AL232" s="27">
        <f>$K232*T232*负载统计!$K$11/60</f>
        <v>0</v>
      </c>
    </row>
    <row r="233" spans="1:38">
      <c r="A233" s="1">
        <v>105</v>
      </c>
      <c r="B233" s="24" t="s">
        <v>1471</v>
      </c>
      <c r="C233" s="24" t="s">
        <v>1428</v>
      </c>
      <c r="D233" s="24" t="s">
        <v>770</v>
      </c>
      <c r="E233" s="24" t="s">
        <v>689</v>
      </c>
      <c r="F233" s="24" t="s">
        <v>771</v>
      </c>
      <c r="G233" s="25">
        <f>VLOOKUP(A233,负载电气特性!A:G,7,FALSE)</f>
        <v>28</v>
      </c>
      <c r="H233" s="26" t="s">
        <v>61</v>
      </c>
      <c r="I233" s="25" t="s">
        <v>1706</v>
      </c>
      <c r="J233" s="24" t="s">
        <v>1718</v>
      </c>
      <c r="K233" s="25">
        <v>0.03</v>
      </c>
      <c r="L233" s="25">
        <v>0</v>
      </c>
      <c r="M233" s="25">
        <v>0</v>
      </c>
      <c r="N233" s="25">
        <v>0</v>
      </c>
      <c r="O233" s="25">
        <v>1</v>
      </c>
      <c r="P233" s="25">
        <v>1</v>
      </c>
      <c r="Q233" s="25">
        <v>1</v>
      </c>
      <c r="R233" s="25">
        <v>1</v>
      </c>
      <c r="S233" s="25">
        <v>1</v>
      </c>
      <c r="T233" s="25">
        <v>0</v>
      </c>
      <c r="U233" s="27" t="str">
        <f>_xlfn.LET(_xlpm.maxVal,_xlfn.MAXIFS($K:$K,$A:$A,A233),IF(AND(_xlpm.maxVal=K233,L233&lt;&gt;0),_xlpm.maxVal,""))</f>
        <v/>
      </c>
      <c r="V233" s="27" t="str">
        <f>_xlfn.LET(_xlpm.maxVal,_xlfn.MAXIFS($K:$K,$A:$A,A233),IF(AND(_xlpm.maxVal=K233,M233&lt;&gt;0),_xlpm.maxVal,""))</f>
        <v/>
      </c>
      <c r="W233" s="27" t="str">
        <f>_xlfn.LET(_xlpm.maxVal,_xlfn.MAXIFS($K:$K,$A:$A,A233),IF(AND(_xlpm.maxVal=K233,N233&lt;&gt;0),_xlpm.maxVal,""))</f>
        <v/>
      </c>
      <c r="X233" s="27">
        <f>_xlfn.LET(_xlpm.maxVal,_xlfn.MAXIFS($K:$K,$A:$A,A233),IF(AND(_xlpm.maxVal=K233,O233&lt;&gt;0),_xlpm.maxVal,""))</f>
        <v>0.03</v>
      </c>
      <c r="Y233" s="27">
        <f>_xlfn.LET(_xlpm.maxVal,_xlfn.MAXIFS($K:$K,$A:$A,A233),IF(AND(_xlpm.maxVal=K233,P233&lt;&gt;0),_xlpm.maxVal,""))</f>
        <v>0.03</v>
      </c>
      <c r="Z233" s="27">
        <f>_xlfn.LET(_xlpm.maxVal,_xlfn.MAXIFS($K:$K,$A:$A,A233),IF(AND(_xlpm.maxVal=K233,Q233&lt;&gt;0),_xlpm.maxVal,""))</f>
        <v>0.03</v>
      </c>
      <c r="AA233" s="27">
        <f>_xlfn.LET(_xlpm.maxVal,_xlfn.MAXIFS($K:$K,$A:$A,A233),IF(AND(_xlpm.maxVal=K233,R233&lt;&gt;0),_xlpm.maxVal,""))</f>
        <v>0.03</v>
      </c>
      <c r="AB233" s="27">
        <f>_xlfn.LET(_xlpm.maxVal,_xlfn.MAXIFS($K:$K,$A:$A,A233),IF(AND(_xlpm.maxVal=K233,S233&lt;&gt;0),_xlpm.maxVal,""))</f>
        <v>0.03</v>
      </c>
      <c r="AC233" s="27" t="str">
        <f>_xlfn.LET(_xlpm.maxVal,_xlfn.MAXIFS($K:$K,$A:$A,A233),IF(AND(_xlpm.maxVal=K233,T233&lt;&gt;0),_xlpm.maxVal,""))</f>
        <v/>
      </c>
      <c r="AD233" s="27">
        <f>$K233*L233*负载统计!$K$3/60</f>
        <v>0</v>
      </c>
      <c r="AE233" s="27">
        <f>$K233*L233*负载统计!$K$4/60</f>
        <v>0</v>
      </c>
      <c r="AF233" s="27">
        <f>$K233*N233*负载统计!$K$5/60</f>
        <v>0</v>
      </c>
      <c r="AG233" s="27">
        <f>$K233*O233*负载统计!$K$6/60</f>
        <v>0.0015</v>
      </c>
      <c r="AH233" s="27">
        <f>$K233*P233*负载统计!$K$7/60</f>
        <v>0.003385</v>
      </c>
      <c r="AI233" s="27">
        <f>$K233*Q233*负载统计!$K$8/60</f>
        <v>0.0218</v>
      </c>
      <c r="AJ233" s="27">
        <f>$K233*R233*负载统计!$K$9/60</f>
        <v>0.006925</v>
      </c>
      <c r="AK233" s="27">
        <f>$K233*S233*负载统计!$K$10/60</f>
        <v>0.00025</v>
      </c>
      <c r="AL233" s="27">
        <f>$K233*T233*负载统计!$K$11/60</f>
        <v>0</v>
      </c>
    </row>
    <row r="234" spans="1:38">
      <c r="A234" s="1">
        <v>105</v>
      </c>
      <c r="B234" s="24" t="s">
        <v>1471</v>
      </c>
      <c r="C234" s="24" t="s">
        <v>1428</v>
      </c>
      <c r="D234" s="24" t="s">
        <v>770</v>
      </c>
      <c r="E234" s="24" t="s">
        <v>689</v>
      </c>
      <c r="F234" s="24" t="s">
        <v>771</v>
      </c>
      <c r="G234" s="25">
        <f>VLOOKUP(A234,负载电气特性!A:G,7,FALSE)</f>
        <v>28</v>
      </c>
      <c r="H234" s="26" t="s">
        <v>61</v>
      </c>
      <c r="I234" s="25" t="s">
        <v>1706</v>
      </c>
      <c r="J234" s="25" t="s">
        <v>1708</v>
      </c>
      <c r="K234" s="25">
        <v>0</v>
      </c>
      <c r="L234" s="25">
        <v>1</v>
      </c>
      <c r="M234" s="25">
        <v>1</v>
      </c>
      <c r="N234" s="25">
        <v>1</v>
      </c>
      <c r="O234" s="25">
        <v>0</v>
      </c>
      <c r="P234" s="25">
        <v>0</v>
      </c>
      <c r="Q234" s="25">
        <v>0</v>
      </c>
      <c r="R234" s="25">
        <v>0</v>
      </c>
      <c r="S234" s="25">
        <v>0</v>
      </c>
      <c r="T234" s="25">
        <v>1</v>
      </c>
      <c r="U234" s="27" t="str">
        <f>_xlfn.LET(_xlpm.maxVal,_xlfn.MAXIFS($K:$K,$A:$A,A234),IF(AND(_xlpm.maxVal=K234,L234&lt;&gt;0),_xlpm.maxVal,""))</f>
        <v/>
      </c>
      <c r="V234" s="27" t="str">
        <f>_xlfn.LET(_xlpm.maxVal,_xlfn.MAXIFS($K:$K,$A:$A,A234),IF(AND(_xlpm.maxVal=K234,M234&lt;&gt;0),_xlpm.maxVal,""))</f>
        <v/>
      </c>
      <c r="W234" s="27" t="str">
        <f>_xlfn.LET(_xlpm.maxVal,_xlfn.MAXIFS($K:$K,$A:$A,A234),IF(AND(_xlpm.maxVal=K234,N234&lt;&gt;0),_xlpm.maxVal,""))</f>
        <v/>
      </c>
      <c r="X234" s="27" t="str">
        <f>_xlfn.LET(_xlpm.maxVal,_xlfn.MAXIFS($K:$K,$A:$A,A234),IF(AND(_xlpm.maxVal=K234,O234&lt;&gt;0),_xlpm.maxVal,""))</f>
        <v/>
      </c>
      <c r="Y234" s="27" t="str">
        <f>_xlfn.LET(_xlpm.maxVal,_xlfn.MAXIFS($K:$K,$A:$A,A234),IF(AND(_xlpm.maxVal=K234,P234&lt;&gt;0),_xlpm.maxVal,""))</f>
        <v/>
      </c>
      <c r="Z234" s="27" t="str">
        <f>_xlfn.LET(_xlpm.maxVal,_xlfn.MAXIFS($K:$K,$A:$A,A234),IF(AND(_xlpm.maxVal=K234,Q234&lt;&gt;0),_xlpm.maxVal,""))</f>
        <v/>
      </c>
      <c r="AA234" s="27" t="str">
        <f>_xlfn.LET(_xlpm.maxVal,_xlfn.MAXIFS($K:$K,$A:$A,A234),IF(AND(_xlpm.maxVal=K234,R234&lt;&gt;0),_xlpm.maxVal,""))</f>
        <v/>
      </c>
      <c r="AB234" s="27" t="str">
        <f>_xlfn.LET(_xlpm.maxVal,_xlfn.MAXIFS($K:$K,$A:$A,A234),IF(AND(_xlpm.maxVal=K234,S234&lt;&gt;0),_xlpm.maxVal,""))</f>
        <v/>
      </c>
      <c r="AC234" s="27" t="str">
        <f>_xlfn.LET(_xlpm.maxVal,_xlfn.MAXIFS($K:$K,$A:$A,A234),IF(AND(_xlpm.maxVal=K234,T234&lt;&gt;0),_xlpm.maxVal,""))</f>
        <v/>
      </c>
      <c r="AD234" s="27">
        <f>$K234*L234*负载统计!$K$3/60</f>
        <v>0</v>
      </c>
      <c r="AE234" s="27">
        <f>$K234*L234*负载统计!$K$4/60</f>
        <v>0</v>
      </c>
      <c r="AF234" s="27">
        <f>$K234*N234*负载统计!$K$5/60</f>
        <v>0</v>
      </c>
      <c r="AG234" s="27">
        <f>$K234*O234*负载统计!$K$6/60</f>
        <v>0</v>
      </c>
      <c r="AH234" s="27">
        <f>$K234*P234*负载统计!$K$7/60</f>
        <v>0</v>
      </c>
      <c r="AI234" s="27">
        <f>$K234*Q234*负载统计!$K$8/60</f>
        <v>0</v>
      </c>
      <c r="AJ234" s="27">
        <f>$K234*R234*负载统计!$K$9/60</f>
        <v>0</v>
      </c>
      <c r="AK234" s="27">
        <f>$K234*S234*负载统计!$K$10/60</f>
        <v>0</v>
      </c>
      <c r="AL234" s="27">
        <f>$K234*T234*负载统计!$K$11/60</f>
        <v>0</v>
      </c>
    </row>
    <row r="235" spans="1:38">
      <c r="A235" s="1">
        <v>106</v>
      </c>
      <c r="B235" s="24" t="s">
        <v>1472</v>
      </c>
      <c r="C235" s="24" t="s">
        <v>1428</v>
      </c>
      <c r="D235" s="24" t="s">
        <v>772</v>
      </c>
      <c r="E235" s="24" t="s">
        <v>689</v>
      </c>
      <c r="F235" s="24" t="s">
        <v>773</v>
      </c>
      <c r="G235" s="25">
        <f>VLOOKUP(A235,负载电气特性!A:G,7,FALSE)</f>
        <v>28</v>
      </c>
      <c r="H235" s="26" t="s">
        <v>61</v>
      </c>
      <c r="I235" s="25" t="s">
        <v>1706</v>
      </c>
      <c r="J235" s="24" t="s">
        <v>1718</v>
      </c>
      <c r="K235" s="25">
        <v>0.03</v>
      </c>
      <c r="L235" s="25">
        <v>0</v>
      </c>
      <c r="M235" s="25">
        <v>0</v>
      </c>
      <c r="N235" s="25">
        <v>0</v>
      </c>
      <c r="O235" s="25">
        <v>1</v>
      </c>
      <c r="P235" s="25">
        <v>1</v>
      </c>
      <c r="Q235" s="25">
        <v>1</v>
      </c>
      <c r="R235" s="25">
        <v>1</v>
      </c>
      <c r="S235" s="25">
        <v>1</v>
      </c>
      <c r="T235" s="25">
        <v>0</v>
      </c>
      <c r="U235" s="27" t="str">
        <f>_xlfn.LET(_xlpm.maxVal,_xlfn.MAXIFS($K:$K,$A:$A,A235),IF(AND(_xlpm.maxVal=K235,L235&lt;&gt;0),_xlpm.maxVal,""))</f>
        <v/>
      </c>
      <c r="V235" s="27" t="str">
        <f>_xlfn.LET(_xlpm.maxVal,_xlfn.MAXIFS($K:$K,$A:$A,A235),IF(AND(_xlpm.maxVal=K235,M235&lt;&gt;0),_xlpm.maxVal,""))</f>
        <v/>
      </c>
      <c r="W235" s="27" t="str">
        <f>_xlfn.LET(_xlpm.maxVal,_xlfn.MAXIFS($K:$K,$A:$A,A235),IF(AND(_xlpm.maxVal=K235,N235&lt;&gt;0),_xlpm.maxVal,""))</f>
        <v/>
      </c>
      <c r="X235" s="27">
        <f>_xlfn.LET(_xlpm.maxVal,_xlfn.MAXIFS($K:$K,$A:$A,A235),IF(AND(_xlpm.maxVal=K235,O235&lt;&gt;0),_xlpm.maxVal,""))</f>
        <v>0.03</v>
      </c>
      <c r="Y235" s="27">
        <f>_xlfn.LET(_xlpm.maxVal,_xlfn.MAXIFS($K:$K,$A:$A,A235),IF(AND(_xlpm.maxVal=K235,P235&lt;&gt;0),_xlpm.maxVal,""))</f>
        <v>0.03</v>
      </c>
      <c r="Z235" s="27">
        <f>_xlfn.LET(_xlpm.maxVal,_xlfn.MAXIFS($K:$K,$A:$A,A235),IF(AND(_xlpm.maxVal=K235,Q235&lt;&gt;0),_xlpm.maxVal,""))</f>
        <v>0.03</v>
      </c>
      <c r="AA235" s="27">
        <f>_xlfn.LET(_xlpm.maxVal,_xlfn.MAXIFS($K:$K,$A:$A,A235),IF(AND(_xlpm.maxVal=K235,R235&lt;&gt;0),_xlpm.maxVal,""))</f>
        <v>0.03</v>
      </c>
      <c r="AB235" s="27">
        <f>_xlfn.LET(_xlpm.maxVal,_xlfn.MAXIFS($K:$K,$A:$A,A235),IF(AND(_xlpm.maxVal=K235,S235&lt;&gt;0),_xlpm.maxVal,""))</f>
        <v>0.03</v>
      </c>
      <c r="AC235" s="27" t="str">
        <f>_xlfn.LET(_xlpm.maxVal,_xlfn.MAXIFS($K:$K,$A:$A,A235),IF(AND(_xlpm.maxVal=K235,T235&lt;&gt;0),_xlpm.maxVal,""))</f>
        <v/>
      </c>
      <c r="AD235" s="27">
        <f>$K235*L235*负载统计!$K$3/60</f>
        <v>0</v>
      </c>
      <c r="AE235" s="27">
        <f>$K235*L235*负载统计!$K$4/60</f>
        <v>0</v>
      </c>
      <c r="AF235" s="27">
        <f>$K235*N235*负载统计!$K$5/60</f>
        <v>0</v>
      </c>
      <c r="AG235" s="27">
        <f>$K235*O235*负载统计!$K$6/60</f>
        <v>0.0015</v>
      </c>
      <c r="AH235" s="27">
        <f>$K235*P235*负载统计!$K$7/60</f>
        <v>0.003385</v>
      </c>
      <c r="AI235" s="27">
        <f>$K235*Q235*负载统计!$K$8/60</f>
        <v>0.0218</v>
      </c>
      <c r="AJ235" s="27">
        <f>$K235*R235*负载统计!$K$9/60</f>
        <v>0.006925</v>
      </c>
      <c r="AK235" s="27">
        <f>$K235*S235*负载统计!$K$10/60</f>
        <v>0.00025</v>
      </c>
      <c r="AL235" s="27">
        <f>$K235*T235*负载统计!$K$11/60</f>
        <v>0</v>
      </c>
    </row>
    <row r="236" spans="1:38">
      <c r="A236" s="1">
        <v>106</v>
      </c>
      <c r="B236" s="24" t="s">
        <v>1472</v>
      </c>
      <c r="C236" s="24" t="s">
        <v>1428</v>
      </c>
      <c r="D236" s="24" t="s">
        <v>772</v>
      </c>
      <c r="E236" s="24" t="s">
        <v>689</v>
      </c>
      <c r="F236" s="24" t="s">
        <v>773</v>
      </c>
      <c r="G236" s="25">
        <f>VLOOKUP(A236,负载电气特性!A:G,7,FALSE)</f>
        <v>28</v>
      </c>
      <c r="H236" s="26" t="s">
        <v>61</v>
      </c>
      <c r="I236" s="25" t="s">
        <v>1706</v>
      </c>
      <c r="J236" s="25" t="s">
        <v>1708</v>
      </c>
      <c r="K236" s="25">
        <v>0</v>
      </c>
      <c r="L236" s="25">
        <v>1</v>
      </c>
      <c r="M236" s="25">
        <v>1</v>
      </c>
      <c r="N236" s="25">
        <v>1</v>
      </c>
      <c r="O236" s="25">
        <v>0</v>
      </c>
      <c r="P236" s="25">
        <v>0</v>
      </c>
      <c r="Q236" s="25">
        <v>0</v>
      </c>
      <c r="R236" s="25">
        <v>0</v>
      </c>
      <c r="S236" s="25">
        <v>0</v>
      </c>
      <c r="T236" s="25">
        <v>1</v>
      </c>
      <c r="U236" s="27" t="str">
        <f>_xlfn.LET(_xlpm.maxVal,_xlfn.MAXIFS($K:$K,$A:$A,A236),IF(AND(_xlpm.maxVal=K236,L236&lt;&gt;0),_xlpm.maxVal,""))</f>
        <v/>
      </c>
      <c r="V236" s="27" t="str">
        <f>_xlfn.LET(_xlpm.maxVal,_xlfn.MAXIFS($K:$K,$A:$A,A236),IF(AND(_xlpm.maxVal=K236,M236&lt;&gt;0),_xlpm.maxVal,""))</f>
        <v/>
      </c>
      <c r="W236" s="27" t="str">
        <f>_xlfn.LET(_xlpm.maxVal,_xlfn.MAXIFS($K:$K,$A:$A,A236),IF(AND(_xlpm.maxVal=K236,N236&lt;&gt;0),_xlpm.maxVal,""))</f>
        <v/>
      </c>
      <c r="X236" s="27" t="str">
        <f>_xlfn.LET(_xlpm.maxVal,_xlfn.MAXIFS($K:$K,$A:$A,A236),IF(AND(_xlpm.maxVal=K236,O236&lt;&gt;0),_xlpm.maxVal,""))</f>
        <v/>
      </c>
      <c r="Y236" s="27" t="str">
        <f>_xlfn.LET(_xlpm.maxVal,_xlfn.MAXIFS($K:$K,$A:$A,A236),IF(AND(_xlpm.maxVal=K236,P236&lt;&gt;0),_xlpm.maxVal,""))</f>
        <v/>
      </c>
      <c r="Z236" s="27" t="str">
        <f>_xlfn.LET(_xlpm.maxVal,_xlfn.MAXIFS($K:$K,$A:$A,A236),IF(AND(_xlpm.maxVal=K236,Q236&lt;&gt;0),_xlpm.maxVal,""))</f>
        <v/>
      </c>
      <c r="AA236" s="27" t="str">
        <f>_xlfn.LET(_xlpm.maxVal,_xlfn.MAXIFS($K:$K,$A:$A,A236),IF(AND(_xlpm.maxVal=K236,R236&lt;&gt;0),_xlpm.maxVal,""))</f>
        <v/>
      </c>
      <c r="AB236" s="27" t="str">
        <f>_xlfn.LET(_xlpm.maxVal,_xlfn.MAXIFS($K:$K,$A:$A,A236),IF(AND(_xlpm.maxVal=K236,S236&lt;&gt;0),_xlpm.maxVal,""))</f>
        <v/>
      </c>
      <c r="AC236" s="27" t="str">
        <f>_xlfn.LET(_xlpm.maxVal,_xlfn.MAXIFS($K:$K,$A:$A,A236),IF(AND(_xlpm.maxVal=K236,T236&lt;&gt;0),_xlpm.maxVal,""))</f>
        <v/>
      </c>
      <c r="AD236" s="27">
        <f>$K236*L236*负载统计!$K$3/60</f>
        <v>0</v>
      </c>
      <c r="AE236" s="27">
        <f>$K236*L236*负载统计!$K$4/60</f>
        <v>0</v>
      </c>
      <c r="AF236" s="27">
        <f>$K236*N236*负载统计!$K$5/60</f>
        <v>0</v>
      </c>
      <c r="AG236" s="27">
        <f>$K236*O236*负载统计!$K$6/60</f>
        <v>0</v>
      </c>
      <c r="AH236" s="27">
        <f>$K236*P236*负载统计!$K$7/60</f>
        <v>0</v>
      </c>
      <c r="AI236" s="27">
        <f>$K236*Q236*负载统计!$K$8/60</f>
        <v>0</v>
      </c>
      <c r="AJ236" s="27">
        <f>$K236*R236*负载统计!$K$9/60</f>
        <v>0</v>
      </c>
      <c r="AK236" s="27">
        <f>$K236*S236*负载统计!$K$10/60</f>
        <v>0</v>
      </c>
      <c r="AL236" s="27">
        <f>$K236*T236*负载统计!$K$11/60</f>
        <v>0</v>
      </c>
    </row>
    <row r="237" spans="1:38">
      <c r="A237" s="1">
        <v>107</v>
      </c>
      <c r="B237" s="24" t="s">
        <v>1473</v>
      </c>
      <c r="C237" s="24" t="s">
        <v>1428</v>
      </c>
      <c r="D237" s="24" t="s">
        <v>774</v>
      </c>
      <c r="E237" s="24" t="s">
        <v>689</v>
      </c>
      <c r="F237" s="24" t="s">
        <v>775</v>
      </c>
      <c r="G237" s="25">
        <f>VLOOKUP(A237,负载电气特性!A:G,7,FALSE)</f>
        <v>28</v>
      </c>
      <c r="H237" s="26" t="s">
        <v>61</v>
      </c>
      <c r="I237" s="25" t="s">
        <v>1706</v>
      </c>
      <c r="J237" s="24" t="s">
        <v>1718</v>
      </c>
      <c r="K237" s="25">
        <v>0.03</v>
      </c>
      <c r="L237" s="25">
        <v>0</v>
      </c>
      <c r="M237" s="25">
        <v>1</v>
      </c>
      <c r="N237" s="25">
        <v>1</v>
      </c>
      <c r="O237" s="25">
        <v>1</v>
      </c>
      <c r="P237" s="25">
        <v>0</v>
      </c>
      <c r="Q237" s="25">
        <v>0</v>
      </c>
      <c r="R237" s="25">
        <v>0</v>
      </c>
      <c r="S237" s="25">
        <v>0</v>
      </c>
      <c r="T237" s="25">
        <v>1</v>
      </c>
      <c r="U237" s="27" t="str">
        <f>_xlfn.LET(_xlpm.maxVal,_xlfn.MAXIFS($K:$K,$A:$A,A237),IF(AND(_xlpm.maxVal=K237,L237&lt;&gt;0),_xlpm.maxVal,""))</f>
        <v/>
      </c>
      <c r="V237" s="27">
        <f>_xlfn.LET(_xlpm.maxVal,_xlfn.MAXIFS($K:$K,$A:$A,A237),IF(AND(_xlpm.maxVal=K237,M237&lt;&gt;0),_xlpm.maxVal,""))</f>
        <v>0.03</v>
      </c>
      <c r="W237" s="27">
        <f>_xlfn.LET(_xlpm.maxVal,_xlfn.MAXIFS($K:$K,$A:$A,A237),IF(AND(_xlpm.maxVal=K237,N237&lt;&gt;0),_xlpm.maxVal,""))</f>
        <v>0.03</v>
      </c>
      <c r="X237" s="27">
        <f>_xlfn.LET(_xlpm.maxVal,_xlfn.MAXIFS($K:$K,$A:$A,A237),IF(AND(_xlpm.maxVal=K237,O237&lt;&gt;0),_xlpm.maxVal,""))</f>
        <v>0.03</v>
      </c>
      <c r="Y237" s="27" t="str">
        <f>_xlfn.LET(_xlpm.maxVal,_xlfn.MAXIFS($K:$K,$A:$A,A237),IF(AND(_xlpm.maxVal=K237,P237&lt;&gt;0),_xlpm.maxVal,""))</f>
        <v/>
      </c>
      <c r="Z237" s="27" t="str">
        <f>_xlfn.LET(_xlpm.maxVal,_xlfn.MAXIFS($K:$K,$A:$A,A237),IF(AND(_xlpm.maxVal=K237,Q237&lt;&gt;0),_xlpm.maxVal,""))</f>
        <v/>
      </c>
      <c r="AA237" s="27" t="str">
        <f>_xlfn.LET(_xlpm.maxVal,_xlfn.MAXIFS($K:$K,$A:$A,A237),IF(AND(_xlpm.maxVal=K237,R237&lt;&gt;0),_xlpm.maxVal,""))</f>
        <v/>
      </c>
      <c r="AB237" s="27" t="str">
        <f>_xlfn.LET(_xlpm.maxVal,_xlfn.MAXIFS($K:$K,$A:$A,A237),IF(AND(_xlpm.maxVal=K237,S237&lt;&gt;0),_xlpm.maxVal,""))</f>
        <v/>
      </c>
      <c r="AC237" s="27">
        <f>_xlfn.LET(_xlpm.maxVal,_xlfn.MAXIFS($K:$K,$A:$A,A237),IF(AND(_xlpm.maxVal=K237,T237&lt;&gt;0),_xlpm.maxVal,""))</f>
        <v>0.03</v>
      </c>
      <c r="AD237" s="27">
        <f>$K237*L237*负载统计!$K$3/60</f>
        <v>0</v>
      </c>
      <c r="AE237" s="27">
        <f>$K237*L237*负载统计!$K$4/60</f>
        <v>0</v>
      </c>
      <c r="AF237" s="27">
        <f>$K237*N237*负载统计!$K$5/60</f>
        <v>0.0005</v>
      </c>
      <c r="AG237" s="27">
        <f>$K237*O237*负载统计!$K$6/60</f>
        <v>0.0015</v>
      </c>
      <c r="AH237" s="27">
        <f>$K237*P237*负载统计!$K$7/60</f>
        <v>0</v>
      </c>
      <c r="AI237" s="27">
        <f>$K237*Q237*负载统计!$K$8/60</f>
        <v>0</v>
      </c>
      <c r="AJ237" s="27">
        <f>$K237*R237*负载统计!$K$9/60</f>
        <v>0</v>
      </c>
      <c r="AK237" s="27">
        <f>$K237*S237*负载统计!$K$10/60</f>
        <v>0</v>
      </c>
      <c r="AL237" s="27">
        <f>$K237*T237*负载统计!$K$11/60</f>
        <v>0.002</v>
      </c>
    </row>
    <row r="238" spans="1:38">
      <c r="A238" s="1">
        <v>107</v>
      </c>
      <c r="B238" s="24" t="s">
        <v>1473</v>
      </c>
      <c r="C238" s="24" t="s">
        <v>1428</v>
      </c>
      <c r="D238" s="24" t="s">
        <v>774</v>
      </c>
      <c r="E238" s="24" t="s">
        <v>689</v>
      </c>
      <c r="F238" s="24" t="s">
        <v>775</v>
      </c>
      <c r="G238" s="25">
        <f>VLOOKUP(A238,负载电气特性!A:G,7,FALSE)</f>
        <v>28</v>
      </c>
      <c r="H238" s="26" t="s">
        <v>61</v>
      </c>
      <c r="I238" s="25" t="s">
        <v>1706</v>
      </c>
      <c r="J238" s="25" t="s">
        <v>1708</v>
      </c>
      <c r="K238" s="25">
        <v>0</v>
      </c>
      <c r="L238" s="25">
        <v>1</v>
      </c>
      <c r="M238" s="25">
        <v>0</v>
      </c>
      <c r="N238" s="25">
        <v>0</v>
      </c>
      <c r="O238" s="25">
        <v>0</v>
      </c>
      <c r="P238" s="25">
        <v>1</v>
      </c>
      <c r="Q238" s="25">
        <v>1</v>
      </c>
      <c r="R238" s="25">
        <v>1</v>
      </c>
      <c r="S238" s="25">
        <v>1</v>
      </c>
      <c r="T238" s="25">
        <v>0</v>
      </c>
      <c r="U238" s="27" t="str">
        <f>_xlfn.LET(_xlpm.maxVal,_xlfn.MAXIFS($K:$K,$A:$A,A238),IF(AND(_xlpm.maxVal=K238,L238&lt;&gt;0),_xlpm.maxVal,""))</f>
        <v/>
      </c>
      <c r="V238" s="27" t="str">
        <f>_xlfn.LET(_xlpm.maxVal,_xlfn.MAXIFS($K:$K,$A:$A,A238),IF(AND(_xlpm.maxVal=K238,M238&lt;&gt;0),_xlpm.maxVal,""))</f>
        <v/>
      </c>
      <c r="W238" s="27" t="str">
        <f>_xlfn.LET(_xlpm.maxVal,_xlfn.MAXIFS($K:$K,$A:$A,A238),IF(AND(_xlpm.maxVal=K238,N238&lt;&gt;0),_xlpm.maxVal,""))</f>
        <v/>
      </c>
      <c r="X238" s="27" t="str">
        <f>_xlfn.LET(_xlpm.maxVal,_xlfn.MAXIFS($K:$K,$A:$A,A238),IF(AND(_xlpm.maxVal=K238,O238&lt;&gt;0),_xlpm.maxVal,""))</f>
        <v/>
      </c>
      <c r="Y238" s="27" t="str">
        <f>_xlfn.LET(_xlpm.maxVal,_xlfn.MAXIFS($K:$K,$A:$A,A238),IF(AND(_xlpm.maxVal=K238,P238&lt;&gt;0),_xlpm.maxVal,""))</f>
        <v/>
      </c>
      <c r="Z238" s="27" t="str">
        <f>_xlfn.LET(_xlpm.maxVal,_xlfn.MAXIFS($K:$K,$A:$A,A238),IF(AND(_xlpm.maxVal=K238,Q238&lt;&gt;0),_xlpm.maxVal,""))</f>
        <v/>
      </c>
      <c r="AA238" s="27" t="str">
        <f>_xlfn.LET(_xlpm.maxVal,_xlfn.MAXIFS($K:$K,$A:$A,A238),IF(AND(_xlpm.maxVal=K238,R238&lt;&gt;0),_xlpm.maxVal,""))</f>
        <v/>
      </c>
      <c r="AB238" s="27" t="str">
        <f>_xlfn.LET(_xlpm.maxVal,_xlfn.MAXIFS($K:$K,$A:$A,A238),IF(AND(_xlpm.maxVal=K238,S238&lt;&gt;0),_xlpm.maxVal,""))</f>
        <v/>
      </c>
      <c r="AC238" s="27" t="str">
        <f>_xlfn.LET(_xlpm.maxVal,_xlfn.MAXIFS($K:$K,$A:$A,A238),IF(AND(_xlpm.maxVal=K238,T238&lt;&gt;0),_xlpm.maxVal,""))</f>
        <v/>
      </c>
      <c r="AD238" s="27">
        <f>$K238*L238*负载统计!$K$3/60</f>
        <v>0</v>
      </c>
      <c r="AE238" s="27">
        <f>$K238*L238*负载统计!$K$4/60</f>
        <v>0</v>
      </c>
      <c r="AF238" s="27">
        <f>$K238*N238*负载统计!$K$5/60</f>
        <v>0</v>
      </c>
      <c r="AG238" s="27">
        <f>$K238*O238*负载统计!$K$6/60</f>
        <v>0</v>
      </c>
      <c r="AH238" s="27">
        <f>$K238*P238*负载统计!$K$7/60</f>
        <v>0</v>
      </c>
      <c r="AI238" s="27">
        <f>$K238*Q238*负载统计!$K$8/60</f>
        <v>0</v>
      </c>
      <c r="AJ238" s="27">
        <f>$K238*R238*负载统计!$K$9/60</f>
        <v>0</v>
      </c>
      <c r="AK238" s="27">
        <f>$K238*S238*负载统计!$K$10/60</f>
        <v>0</v>
      </c>
      <c r="AL238" s="27">
        <f>$K238*T238*负载统计!$K$11/60</f>
        <v>0</v>
      </c>
    </row>
    <row r="239" spans="1:38">
      <c r="A239" s="1">
        <v>108</v>
      </c>
      <c r="B239" s="24" t="s">
        <v>1474</v>
      </c>
      <c r="C239" s="24" t="s">
        <v>1428</v>
      </c>
      <c r="D239" s="24" t="s">
        <v>777</v>
      </c>
      <c r="E239" s="24" t="s">
        <v>689</v>
      </c>
      <c r="F239" s="24" t="s">
        <v>778</v>
      </c>
      <c r="G239" s="25">
        <f>VLOOKUP(A239,负载电气特性!A:G,7,FALSE)</f>
        <v>28</v>
      </c>
      <c r="H239" s="26" t="s">
        <v>61</v>
      </c>
      <c r="I239" s="25" t="s">
        <v>1706</v>
      </c>
      <c r="J239" s="24" t="s">
        <v>1718</v>
      </c>
      <c r="K239" s="25">
        <v>0.03</v>
      </c>
      <c r="L239" s="25">
        <v>0</v>
      </c>
      <c r="M239" s="25">
        <v>1</v>
      </c>
      <c r="N239" s="25">
        <v>1</v>
      </c>
      <c r="O239" s="25">
        <v>1</v>
      </c>
      <c r="P239" s="25">
        <v>0</v>
      </c>
      <c r="Q239" s="25">
        <v>0</v>
      </c>
      <c r="R239" s="25">
        <v>0</v>
      </c>
      <c r="S239" s="25">
        <v>0</v>
      </c>
      <c r="T239" s="25">
        <v>1</v>
      </c>
      <c r="U239" s="27" t="str">
        <f>_xlfn.LET(_xlpm.maxVal,_xlfn.MAXIFS($K:$K,$A:$A,A239),IF(AND(_xlpm.maxVal=K239,L239&lt;&gt;0),_xlpm.maxVal,""))</f>
        <v/>
      </c>
      <c r="V239" s="27">
        <f>_xlfn.LET(_xlpm.maxVal,_xlfn.MAXIFS($K:$K,$A:$A,A239),IF(AND(_xlpm.maxVal=K239,M239&lt;&gt;0),_xlpm.maxVal,""))</f>
        <v>0.03</v>
      </c>
      <c r="W239" s="27">
        <f>_xlfn.LET(_xlpm.maxVal,_xlfn.MAXIFS($K:$K,$A:$A,A239),IF(AND(_xlpm.maxVal=K239,N239&lt;&gt;0),_xlpm.maxVal,""))</f>
        <v>0.03</v>
      </c>
      <c r="X239" s="27">
        <f>_xlfn.LET(_xlpm.maxVal,_xlfn.MAXIFS($K:$K,$A:$A,A239),IF(AND(_xlpm.maxVal=K239,O239&lt;&gt;0),_xlpm.maxVal,""))</f>
        <v>0.03</v>
      </c>
      <c r="Y239" s="27" t="str">
        <f>_xlfn.LET(_xlpm.maxVal,_xlfn.MAXIFS($K:$K,$A:$A,A239),IF(AND(_xlpm.maxVal=K239,P239&lt;&gt;0),_xlpm.maxVal,""))</f>
        <v/>
      </c>
      <c r="Z239" s="27" t="str">
        <f>_xlfn.LET(_xlpm.maxVal,_xlfn.MAXIFS($K:$K,$A:$A,A239),IF(AND(_xlpm.maxVal=K239,Q239&lt;&gt;0),_xlpm.maxVal,""))</f>
        <v/>
      </c>
      <c r="AA239" s="27" t="str">
        <f>_xlfn.LET(_xlpm.maxVal,_xlfn.MAXIFS($K:$K,$A:$A,A239),IF(AND(_xlpm.maxVal=K239,R239&lt;&gt;0),_xlpm.maxVal,""))</f>
        <v/>
      </c>
      <c r="AB239" s="27" t="str">
        <f>_xlfn.LET(_xlpm.maxVal,_xlfn.MAXIFS($K:$K,$A:$A,A239),IF(AND(_xlpm.maxVal=K239,S239&lt;&gt;0),_xlpm.maxVal,""))</f>
        <v/>
      </c>
      <c r="AC239" s="27">
        <f>_xlfn.LET(_xlpm.maxVal,_xlfn.MAXIFS($K:$K,$A:$A,A239),IF(AND(_xlpm.maxVal=K239,T239&lt;&gt;0),_xlpm.maxVal,""))</f>
        <v>0.03</v>
      </c>
      <c r="AD239" s="27">
        <f>$K239*L239*负载统计!$K$3/60</f>
        <v>0</v>
      </c>
      <c r="AE239" s="27">
        <f>$K239*L239*负载统计!$K$4/60</f>
        <v>0</v>
      </c>
      <c r="AF239" s="27">
        <f>$K239*N239*负载统计!$K$5/60</f>
        <v>0.0005</v>
      </c>
      <c r="AG239" s="27">
        <f>$K239*O239*负载统计!$K$6/60</f>
        <v>0.0015</v>
      </c>
      <c r="AH239" s="27">
        <f>$K239*P239*负载统计!$K$7/60</f>
        <v>0</v>
      </c>
      <c r="AI239" s="27">
        <f>$K239*Q239*负载统计!$K$8/60</f>
        <v>0</v>
      </c>
      <c r="AJ239" s="27">
        <f>$K239*R239*负载统计!$K$9/60</f>
        <v>0</v>
      </c>
      <c r="AK239" s="27">
        <f>$K239*S239*负载统计!$K$10/60</f>
        <v>0</v>
      </c>
      <c r="AL239" s="27">
        <f>$K239*T239*负载统计!$K$11/60</f>
        <v>0.002</v>
      </c>
    </row>
    <row r="240" spans="1:38">
      <c r="A240" s="1">
        <v>108</v>
      </c>
      <c r="B240" s="24" t="s">
        <v>1474</v>
      </c>
      <c r="C240" s="24" t="s">
        <v>1428</v>
      </c>
      <c r="D240" s="24" t="s">
        <v>777</v>
      </c>
      <c r="E240" s="24" t="s">
        <v>689</v>
      </c>
      <c r="F240" s="24" t="s">
        <v>778</v>
      </c>
      <c r="G240" s="25">
        <f>VLOOKUP(A240,负载电气特性!A:G,7,FALSE)</f>
        <v>28</v>
      </c>
      <c r="H240" s="26" t="s">
        <v>61</v>
      </c>
      <c r="I240" s="25" t="s">
        <v>1706</v>
      </c>
      <c r="J240" s="25" t="s">
        <v>1708</v>
      </c>
      <c r="K240" s="25">
        <v>0</v>
      </c>
      <c r="L240" s="25">
        <v>1</v>
      </c>
      <c r="M240" s="25">
        <v>0</v>
      </c>
      <c r="N240" s="25">
        <v>0</v>
      </c>
      <c r="O240" s="25">
        <v>0</v>
      </c>
      <c r="P240" s="25">
        <v>1</v>
      </c>
      <c r="Q240" s="25">
        <v>1</v>
      </c>
      <c r="R240" s="25">
        <v>1</v>
      </c>
      <c r="S240" s="25">
        <v>1</v>
      </c>
      <c r="T240" s="25">
        <v>0</v>
      </c>
      <c r="U240" s="27" t="str">
        <f>_xlfn.LET(_xlpm.maxVal,_xlfn.MAXIFS($K:$K,$A:$A,A240),IF(AND(_xlpm.maxVal=K240,L240&lt;&gt;0),_xlpm.maxVal,""))</f>
        <v/>
      </c>
      <c r="V240" s="27" t="str">
        <f>_xlfn.LET(_xlpm.maxVal,_xlfn.MAXIFS($K:$K,$A:$A,A240),IF(AND(_xlpm.maxVal=K240,M240&lt;&gt;0),_xlpm.maxVal,""))</f>
        <v/>
      </c>
      <c r="W240" s="27" t="str">
        <f>_xlfn.LET(_xlpm.maxVal,_xlfn.MAXIFS($K:$K,$A:$A,A240),IF(AND(_xlpm.maxVal=K240,N240&lt;&gt;0),_xlpm.maxVal,""))</f>
        <v/>
      </c>
      <c r="X240" s="27" t="str">
        <f>_xlfn.LET(_xlpm.maxVal,_xlfn.MAXIFS($K:$K,$A:$A,A240),IF(AND(_xlpm.maxVal=K240,O240&lt;&gt;0),_xlpm.maxVal,""))</f>
        <v/>
      </c>
      <c r="Y240" s="27" t="str">
        <f>_xlfn.LET(_xlpm.maxVal,_xlfn.MAXIFS($K:$K,$A:$A,A240),IF(AND(_xlpm.maxVal=K240,P240&lt;&gt;0),_xlpm.maxVal,""))</f>
        <v/>
      </c>
      <c r="Z240" s="27" t="str">
        <f>_xlfn.LET(_xlpm.maxVal,_xlfn.MAXIFS($K:$K,$A:$A,A240),IF(AND(_xlpm.maxVal=K240,Q240&lt;&gt;0),_xlpm.maxVal,""))</f>
        <v/>
      </c>
      <c r="AA240" s="27" t="str">
        <f>_xlfn.LET(_xlpm.maxVal,_xlfn.MAXIFS($K:$K,$A:$A,A240),IF(AND(_xlpm.maxVal=K240,R240&lt;&gt;0),_xlpm.maxVal,""))</f>
        <v/>
      </c>
      <c r="AB240" s="27" t="str">
        <f>_xlfn.LET(_xlpm.maxVal,_xlfn.MAXIFS($K:$K,$A:$A,A240),IF(AND(_xlpm.maxVal=K240,S240&lt;&gt;0),_xlpm.maxVal,""))</f>
        <v/>
      </c>
      <c r="AC240" s="27" t="str">
        <f>_xlfn.LET(_xlpm.maxVal,_xlfn.MAXIFS($K:$K,$A:$A,A240),IF(AND(_xlpm.maxVal=K240,T240&lt;&gt;0),_xlpm.maxVal,""))</f>
        <v/>
      </c>
      <c r="AD240" s="27">
        <f>$K240*L240*负载统计!$K$3/60</f>
        <v>0</v>
      </c>
      <c r="AE240" s="27">
        <f>$K240*L240*负载统计!$K$4/60</f>
        <v>0</v>
      </c>
      <c r="AF240" s="27">
        <f>$K240*N240*负载统计!$K$5/60</f>
        <v>0</v>
      </c>
      <c r="AG240" s="27">
        <f>$K240*O240*负载统计!$K$6/60</f>
        <v>0</v>
      </c>
      <c r="AH240" s="27">
        <f>$K240*P240*负载统计!$K$7/60</f>
        <v>0</v>
      </c>
      <c r="AI240" s="27">
        <f>$K240*Q240*负载统计!$K$8/60</f>
        <v>0</v>
      </c>
      <c r="AJ240" s="27">
        <f>$K240*R240*负载统计!$K$9/60</f>
        <v>0</v>
      </c>
      <c r="AK240" s="27">
        <f>$K240*S240*负载统计!$K$10/60</f>
        <v>0</v>
      </c>
      <c r="AL240" s="27">
        <f>$K240*T240*负载统计!$K$11/60</f>
        <v>0</v>
      </c>
    </row>
    <row r="241" spans="1:38">
      <c r="A241" s="1">
        <v>109</v>
      </c>
      <c r="B241" s="24" t="s">
        <v>1475</v>
      </c>
      <c r="C241" s="24" t="s">
        <v>1476</v>
      </c>
      <c r="D241" s="24" t="s">
        <v>1477</v>
      </c>
      <c r="E241" s="24" t="s">
        <v>842</v>
      </c>
      <c r="F241" s="24" t="s">
        <v>843</v>
      </c>
      <c r="G241" s="25">
        <f>VLOOKUP(A241,负载电气特性!A:G,7,FALSE)</f>
        <v>28</v>
      </c>
      <c r="H241" s="26" t="s">
        <v>61</v>
      </c>
      <c r="I241" s="25" t="s">
        <v>1706</v>
      </c>
      <c r="J241" s="25" t="s">
        <v>1707</v>
      </c>
      <c r="K241" s="25">
        <v>0.49</v>
      </c>
      <c r="L241" s="25">
        <v>0</v>
      </c>
      <c r="M241" s="25">
        <v>0</v>
      </c>
      <c r="N241" s="25">
        <v>0</v>
      </c>
      <c r="O241" s="25">
        <v>0</v>
      </c>
      <c r="P241" s="25">
        <v>1</v>
      </c>
      <c r="Q241" s="25">
        <v>1</v>
      </c>
      <c r="R241" s="25">
        <v>1</v>
      </c>
      <c r="S241" s="25">
        <v>1</v>
      </c>
      <c r="T241" s="25">
        <v>0</v>
      </c>
      <c r="U241" s="27" t="str">
        <f>_xlfn.LET(_xlpm.maxVal,_xlfn.MAXIFS($K:$K,$A:$A,A241),IF(AND(_xlpm.maxVal=K241,L241&lt;&gt;0),_xlpm.maxVal,""))</f>
        <v/>
      </c>
      <c r="V241" s="27" t="str">
        <f>_xlfn.LET(_xlpm.maxVal,_xlfn.MAXIFS($K:$K,$A:$A,A241),IF(AND(_xlpm.maxVal=K241,M241&lt;&gt;0),_xlpm.maxVal,""))</f>
        <v/>
      </c>
      <c r="W241" s="27" t="str">
        <f>_xlfn.LET(_xlpm.maxVal,_xlfn.MAXIFS($K:$K,$A:$A,A241),IF(AND(_xlpm.maxVal=K241,N241&lt;&gt;0),_xlpm.maxVal,""))</f>
        <v/>
      </c>
      <c r="X241" s="27" t="str">
        <f>_xlfn.LET(_xlpm.maxVal,_xlfn.MAXIFS($K:$K,$A:$A,A241),IF(AND(_xlpm.maxVal=K241,O241&lt;&gt;0),_xlpm.maxVal,""))</f>
        <v/>
      </c>
      <c r="Y241" s="27">
        <f>_xlfn.LET(_xlpm.maxVal,_xlfn.MAXIFS($K:$K,$A:$A,A241),IF(AND(_xlpm.maxVal=K241,P241&lt;&gt;0),_xlpm.maxVal,""))</f>
        <v>0.49</v>
      </c>
      <c r="Z241" s="27">
        <f>_xlfn.LET(_xlpm.maxVal,_xlfn.MAXIFS($K:$K,$A:$A,A241),IF(AND(_xlpm.maxVal=K241,Q241&lt;&gt;0),_xlpm.maxVal,""))</f>
        <v>0.49</v>
      </c>
      <c r="AA241" s="27">
        <f>_xlfn.LET(_xlpm.maxVal,_xlfn.MAXIFS($K:$K,$A:$A,A241),IF(AND(_xlpm.maxVal=K241,R241&lt;&gt;0),_xlpm.maxVal,""))</f>
        <v>0.49</v>
      </c>
      <c r="AB241" s="27">
        <f>_xlfn.LET(_xlpm.maxVal,_xlfn.MAXIFS($K:$K,$A:$A,A241),IF(AND(_xlpm.maxVal=K241,S241&lt;&gt;0),_xlpm.maxVal,""))</f>
        <v>0.49</v>
      </c>
      <c r="AC241" s="27" t="str">
        <f>_xlfn.LET(_xlpm.maxVal,_xlfn.MAXIFS($K:$K,$A:$A,A241),IF(AND(_xlpm.maxVal=K241,T241&lt;&gt;0),_xlpm.maxVal,""))</f>
        <v/>
      </c>
      <c r="AD241" s="27">
        <f>$K241*L241*负载统计!$K$3/60</f>
        <v>0</v>
      </c>
      <c r="AE241" s="27">
        <f>$K241*L241*负载统计!$K$4/60</f>
        <v>0</v>
      </c>
      <c r="AF241" s="27">
        <f>$K241*N241*负载统计!$K$5/60</f>
        <v>0</v>
      </c>
      <c r="AG241" s="27">
        <f>$K241*O241*负载统计!$K$6/60</f>
        <v>0</v>
      </c>
      <c r="AH241" s="27">
        <f>$K241*P241*负载统计!$K$7/60</f>
        <v>0.0552883333333333</v>
      </c>
      <c r="AI241" s="27">
        <f>$K241*Q241*负载统计!$K$8/60</f>
        <v>0.356066666666667</v>
      </c>
      <c r="AJ241" s="27">
        <f>$K241*R241*负载统计!$K$9/60</f>
        <v>0.113108333333333</v>
      </c>
      <c r="AK241" s="27">
        <f>$K241*S241*负载统计!$K$10/60</f>
        <v>0.00408333333333333</v>
      </c>
      <c r="AL241" s="27">
        <f>$K241*T241*负载统计!$K$11/60</f>
        <v>0</v>
      </c>
    </row>
    <row r="242" spans="1:38">
      <c r="A242" s="1">
        <v>109</v>
      </c>
      <c r="B242" s="24" t="s">
        <v>1475</v>
      </c>
      <c r="C242" s="24" t="s">
        <v>1476</v>
      </c>
      <c r="D242" s="24" t="s">
        <v>1477</v>
      </c>
      <c r="E242" s="24" t="s">
        <v>842</v>
      </c>
      <c r="F242" s="24" t="s">
        <v>843</v>
      </c>
      <c r="G242" s="25">
        <f>VLOOKUP(A242,负载电气特性!A:G,7,FALSE)</f>
        <v>28</v>
      </c>
      <c r="H242" s="26" t="s">
        <v>61</v>
      </c>
      <c r="I242" s="25" t="s">
        <v>1706</v>
      </c>
      <c r="J242" s="25" t="s">
        <v>1708</v>
      </c>
      <c r="K242" s="25">
        <v>0</v>
      </c>
      <c r="L242" s="25">
        <v>1</v>
      </c>
      <c r="M242" s="25">
        <v>1</v>
      </c>
      <c r="N242" s="25">
        <v>1</v>
      </c>
      <c r="O242" s="25">
        <v>1</v>
      </c>
      <c r="P242" s="25">
        <v>0</v>
      </c>
      <c r="Q242" s="25">
        <v>0</v>
      </c>
      <c r="R242" s="25">
        <v>0</v>
      </c>
      <c r="S242" s="25">
        <v>0</v>
      </c>
      <c r="T242" s="25">
        <v>1</v>
      </c>
      <c r="U242" s="27" t="str">
        <f>_xlfn.LET(_xlpm.maxVal,_xlfn.MAXIFS($K:$K,$A:$A,A242),IF(AND(_xlpm.maxVal=K242,L242&lt;&gt;0),_xlpm.maxVal,""))</f>
        <v/>
      </c>
      <c r="V242" s="27" t="str">
        <f>_xlfn.LET(_xlpm.maxVal,_xlfn.MAXIFS($K:$K,$A:$A,A242),IF(AND(_xlpm.maxVal=K242,M242&lt;&gt;0),_xlpm.maxVal,""))</f>
        <v/>
      </c>
      <c r="W242" s="27" t="str">
        <f>_xlfn.LET(_xlpm.maxVal,_xlfn.MAXIFS($K:$K,$A:$A,A242),IF(AND(_xlpm.maxVal=K242,N242&lt;&gt;0),_xlpm.maxVal,""))</f>
        <v/>
      </c>
      <c r="X242" s="27" t="str">
        <f>_xlfn.LET(_xlpm.maxVal,_xlfn.MAXIFS($K:$K,$A:$A,A242),IF(AND(_xlpm.maxVal=K242,O242&lt;&gt;0),_xlpm.maxVal,""))</f>
        <v/>
      </c>
      <c r="Y242" s="27" t="str">
        <f>_xlfn.LET(_xlpm.maxVal,_xlfn.MAXIFS($K:$K,$A:$A,A242),IF(AND(_xlpm.maxVal=K242,P242&lt;&gt;0),_xlpm.maxVal,""))</f>
        <v/>
      </c>
      <c r="Z242" s="27" t="str">
        <f>_xlfn.LET(_xlpm.maxVal,_xlfn.MAXIFS($K:$K,$A:$A,A242),IF(AND(_xlpm.maxVal=K242,Q242&lt;&gt;0),_xlpm.maxVal,""))</f>
        <v/>
      </c>
      <c r="AA242" s="27" t="str">
        <f>_xlfn.LET(_xlpm.maxVal,_xlfn.MAXIFS($K:$K,$A:$A,A242),IF(AND(_xlpm.maxVal=K242,R242&lt;&gt;0),_xlpm.maxVal,""))</f>
        <v/>
      </c>
      <c r="AB242" s="27" t="str">
        <f>_xlfn.LET(_xlpm.maxVal,_xlfn.MAXIFS($K:$K,$A:$A,A242),IF(AND(_xlpm.maxVal=K242,S242&lt;&gt;0),_xlpm.maxVal,""))</f>
        <v/>
      </c>
      <c r="AC242" s="27" t="str">
        <f>_xlfn.LET(_xlpm.maxVal,_xlfn.MAXIFS($K:$K,$A:$A,A242),IF(AND(_xlpm.maxVal=K242,T242&lt;&gt;0),_xlpm.maxVal,""))</f>
        <v/>
      </c>
      <c r="AD242" s="27">
        <f>$K242*L242*负载统计!$K$3/60</f>
        <v>0</v>
      </c>
      <c r="AE242" s="27">
        <f>$K242*L242*负载统计!$K$4/60</f>
        <v>0</v>
      </c>
      <c r="AF242" s="27">
        <f>$K242*N242*负载统计!$K$5/60</f>
        <v>0</v>
      </c>
      <c r="AG242" s="27">
        <f>$K242*O242*负载统计!$K$6/60</f>
        <v>0</v>
      </c>
      <c r="AH242" s="27">
        <f>$K242*P242*负载统计!$K$7/60</f>
        <v>0</v>
      </c>
      <c r="AI242" s="27">
        <f>$K242*Q242*负载统计!$K$8/60</f>
        <v>0</v>
      </c>
      <c r="AJ242" s="27">
        <f>$K242*R242*负载统计!$K$9/60</f>
        <v>0</v>
      </c>
      <c r="AK242" s="27">
        <f>$K242*S242*负载统计!$K$10/60</f>
        <v>0</v>
      </c>
      <c r="AL242" s="27">
        <f>$K242*T242*负载统计!$K$11/60</f>
        <v>0</v>
      </c>
    </row>
    <row r="243" spans="1:38">
      <c r="A243" s="1">
        <v>110</v>
      </c>
      <c r="B243" s="24" t="s">
        <v>1478</v>
      </c>
      <c r="C243" s="24" t="s">
        <v>1476</v>
      </c>
      <c r="D243" s="24" t="s">
        <v>1477</v>
      </c>
      <c r="E243" s="24" t="s">
        <v>842</v>
      </c>
      <c r="F243" s="24" t="s">
        <v>843</v>
      </c>
      <c r="G243" s="25">
        <f>VLOOKUP(A243,负载电气特性!A:G,7,FALSE)</f>
        <v>28</v>
      </c>
      <c r="H243" s="26" t="s">
        <v>61</v>
      </c>
      <c r="I243" s="25" t="s">
        <v>1706</v>
      </c>
      <c r="J243" s="25" t="s">
        <v>1707</v>
      </c>
      <c r="K243" s="25">
        <v>0.01</v>
      </c>
      <c r="L243" s="25">
        <v>1</v>
      </c>
      <c r="M243" s="25">
        <v>1</v>
      </c>
      <c r="N243" s="25">
        <v>1</v>
      </c>
      <c r="O243" s="25">
        <v>1</v>
      </c>
      <c r="P243" s="25">
        <v>1</v>
      </c>
      <c r="Q243" s="25">
        <v>1</v>
      </c>
      <c r="R243" s="25">
        <v>1</v>
      </c>
      <c r="S243" s="25">
        <v>1</v>
      </c>
      <c r="T243" s="25">
        <v>1</v>
      </c>
      <c r="U243" s="27">
        <f>_xlfn.LET(_xlpm.maxVal,_xlfn.MAXIFS($K:$K,$A:$A,A243),IF(AND(_xlpm.maxVal=K243,L243&lt;&gt;0),_xlpm.maxVal,""))</f>
        <v>0.01</v>
      </c>
      <c r="V243" s="27">
        <f>_xlfn.LET(_xlpm.maxVal,_xlfn.MAXIFS($K:$K,$A:$A,A243),IF(AND(_xlpm.maxVal=K243,M243&lt;&gt;0),_xlpm.maxVal,""))</f>
        <v>0.01</v>
      </c>
      <c r="W243" s="27">
        <f>_xlfn.LET(_xlpm.maxVal,_xlfn.MAXIFS($K:$K,$A:$A,A243),IF(AND(_xlpm.maxVal=K243,N243&lt;&gt;0),_xlpm.maxVal,""))</f>
        <v>0.01</v>
      </c>
      <c r="X243" s="27">
        <f>_xlfn.LET(_xlpm.maxVal,_xlfn.MAXIFS($K:$K,$A:$A,A243),IF(AND(_xlpm.maxVal=K243,O243&lt;&gt;0),_xlpm.maxVal,""))</f>
        <v>0.01</v>
      </c>
      <c r="Y243" s="27">
        <f>_xlfn.LET(_xlpm.maxVal,_xlfn.MAXIFS($K:$K,$A:$A,A243),IF(AND(_xlpm.maxVal=K243,P243&lt;&gt;0),_xlpm.maxVal,""))</f>
        <v>0.01</v>
      </c>
      <c r="Z243" s="27">
        <f>_xlfn.LET(_xlpm.maxVal,_xlfn.MAXIFS($K:$K,$A:$A,A243),IF(AND(_xlpm.maxVal=K243,Q243&lt;&gt;0),_xlpm.maxVal,""))</f>
        <v>0.01</v>
      </c>
      <c r="AA243" s="27">
        <f>_xlfn.LET(_xlpm.maxVal,_xlfn.MAXIFS($K:$K,$A:$A,A243),IF(AND(_xlpm.maxVal=K243,R243&lt;&gt;0),_xlpm.maxVal,""))</f>
        <v>0.01</v>
      </c>
      <c r="AB243" s="27">
        <f>_xlfn.LET(_xlpm.maxVal,_xlfn.MAXIFS($K:$K,$A:$A,A243),IF(AND(_xlpm.maxVal=K243,S243&lt;&gt;0),_xlpm.maxVal,""))</f>
        <v>0.01</v>
      </c>
      <c r="AC243" s="27">
        <f>_xlfn.LET(_xlpm.maxVal,_xlfn.MAXIFS($K:$K,$A:$A,A243),IF(AND(_xlpm.maxVal=K243,T243&lt;&gt;0),_xlpm.maxVal,""))</f>
        <v>0.01</v>
      </c>
      <c r="AD243" s="27">
        <f>$K243*L243*负载统计!$K$3/60</f>
        <v>0</v>
      </c>
      <c r="AE243" s="27">
        <f>$K243*L243*负载统计!$K$4/60</f>
        <v>0</v>
      </c>
      <c r="AF243" s="27">
        <f>$K243*N243*负载统计!$K$5/60</f>
        <v>0.000166666666666667</v>
      </c>
      <c r="AG243" s="27">
        <f>$K243*O243*负载统计!$K$6/60</f>
        <v>0.0005</v>
      </c>
      <c r="AH243" s="27">
        <f>$K243*P243*负载统计!$K$7/60</f>
        <v>0.00112833333333333</v>
      </c>
      <c r="AI243" s="27">
        <f>$K243*Q243*负载统计!$K$8/60</f>
        <v>0.00726666666666667</v>
      </c>
      <c r="AJ243" s="27">
        <f>$K243*R243*负载统计!$K$9/60</f>
        <v>0.00230833333333333</v>
      </c>
      <c r="AK243" s="27">
        <f>$K243*S243*负载统计!$K$10/60</f>
        <v>8.33333333333333e-5</v>
      </c>
      <c r="AL243" s="27">
        <f>$K243*T243*负载统计!$K$11/60</f>
        <v>0.000666666666666667</v>
      </c>
    </row>
    <row r="244" spans="1:38">
      <c r="A244" s="1">
        <v>110</v>
      </c>
      <c r="B244" s="24" t="s">
        <v>1478</v>
      </c>
      <c r="C244" s="24" t="s">
        <v>1476</v>
      </c>
      <c r="D244" s="24" t="s">
        <v>1477</v>
      </c>
      <c r="E244" s="24" t="s">
        <v>842</v>
      </c>
      <c r="F244" s="24" t="s">
        <v>843</v>
      </c>
      <c r="G244" s="25">
        <f>VLOOKUP(A244,负载电气特性!A:G,7,FALSE)</f>
        <v>28</v>
      </c>
      <c r="H244" s="26" t="s">
        <v>61</v>
      </c>
      <c r="I244" s="25" t="s">
        <v>1706</v>
      </c>
      <c r="J244" s="25" t="s">
        <v>1708</v>
      </c>
      <c r="K244" s="25">
        <v>0</v>
      </c>
      <c r="L244" s="25">
        <v>0</v>
      </c>
      <c r="M244" s="25">
        <v>0</v>
      </c>
      <c r="N244" s="25">
        <v>0</v>
      </c>
      <c r="O244" s="25">
        <v>0</v>
      </c>
      <c r="P244" s="25">
        <v>0</v>
      </c>
      <c r="Q244" s="25">
        <v>0</v>
      </c>
      <c r="R244" s="25">
        <v>0</v>
      </c>
      <c r="S244" s="25">
        <v>0</v>
      </c>
      <c r="T244" s="25">
        <v>0</v>
      </c>
      <c r="U244" s="27" t="str">
        <f>_xlfn.LET(_xlpm.maxVal,_xlfn.MAXIFS($K:$K,$A:$A,A244),IF(AND(_xlpm.maxVal=K244,L244&lt;&gt;0),_xlpm.maxVal,""))</f>
        <v/>
      </c>
      <c r="V244" s="27" t="str">
        <f>_xlfn.LET(_xlpm.maxVal,_xlfn.MAXIFS($K:$K,$A:$A,A244),IF(AND(_xlpm.maxVal=K244,M244&lt;&gt;0),_xlpm.maxVal,""))</f>
        <v/>
      </c>
      <c r="W244" s="27" t="str">
        <f>_xlfn.LET(_xlpm.maxVal,_xlfn.MAXIFS($K:$K,$A:$A,A244),IF(AND(_xlpm.maxVal=K244,N244&lt;&gt;0),_xlpm.maxVal,""))</f>
        <v/>
      </c>
      <c r="X244" s="27" t="str">
        <f>_xlfn.LET(_xlpm.maxVal,_xlfn.MAXIFS($K:$K,$A:$A,A244),IF(AND(_xlpm.maxVal=K244,O244&lt;&gt;0),_xlpm.maxVal,""))</f>
        <v/>
      </c>
      <c r="Y244" s="27" t="str">
        <f>_xlfn.LET(_xlpm.maxVal,_xlfn.MAXIFS($K:$K,$A:$A,A244),IF(AND(_xlpm.maxVal=K244,P244&lt;&gt;0),_xlpm.maxVal,""))</f>
        <v/>
      </c>
      <c r="Z244" s="27" t="str">
        <f>_xlfn.LET(_xlpm.maxVal,_xlfn.MAXIFS($K:$K,$A:$A,A244),IF(AND(_xlpm.maxVal=K244,Q244&lt;&gt;0),_xlpm.maxVal,""))</f>
        <v/>
      </c>
      <c r="AA244" s="27" t="str">
        <f>_xlfn.LET(_xlpm.maxVal,_xlfn.MAXIFS($K:$K,$A:$A,A244),IF(AND(_xlpm.maxVal=K244,R244&lt;&gt;0),_xlpm.maxVal,""))</f>
        <v/>
      </c>
      <c r="AB244" s="27" t="str">
        <f>_xlfn.LET(_xlpm.maxVal,_xlfn.MAXIFS($K:$K,$A:$A,A244),IF(AND(_xlpm.maxVal=K244,S244&lt;&gt;0),_xlpm.maxVal,""))</f>
        <v/>
      </c>
      <c r="AC244" s="27" t="str">
        <f>_xlfn.LET(_xlpm.maxVal,_xlfn.MAXIFS($K:$K,$A:$A,A244),IF(AND(_xlpm.maxVal=K244,T244&lt;&gt;0),_xlpm.maxVal,""))</f>
        <v/>
      </c>
      <c r="AD244" s="27">
        <f>$K244*L244*负载统计!$K$3/60</f>
        <v>0</v>
      </c>
      <c r="AE244" s="27">
        <f>$K244*L244*负载统计!$K$4/60</f>
        <v>0</v>
      </c>
      <c r="AF244" s="27">
        <f>$K244*N244*负载统计!$K$5/60</f>
        <v>0</v>
      </c>
      <c r="AG244" s="27">
        <f>$K244*O244*负载统计!$K$6/60</f>
        <v>0</v>
      </c>
      <c r="AH244" s="27">
        <f>$K244*P244*负载统计!$K$7/60</f>
        <v>0</v>
      </c>
      <c r="AI244" s="27">
        <f>$K244*Q244*负载统计!$K$8/60</f>
        <v>0</v>
      </c>
      <c r="AJ244" s="27">
        <f>$K244*R244*负载统计!$K$9/60</f>
        <v>0</v>
      </c>
      <c r="AK244" s="27">
        <f>$K244*S244*负载统计!$K$10/60</f>
        <v>0</v>
      </c>
      <c r="AL244" s="27">
        <f>$K244*T244*负载统计!$K$11/60</f>
        <v>0</v>
      </c>
    </row>
    <row r="245" spans="1:38">
      <c r="A245" s="1">
        <v>111</v>
      </c>
      <c r="B245" s="24" t="s">
        <v>1479</v>
      </c>
      <c r="C245" s="24" t="s">
        <v>1476</v>
      </c>
      <c r="D245" s="24" t="s">
        <v>1480</v>
      </c>
      <c r="E245" s="24" t="s">
        <v>842</v>
      </c>
      <c r="F245" s="24" t="s">
        <v>845</v>
      </c>
      <c r="G245" s="25">
        <f>VLOOKUP(A245,负载电气特性!A:G,7,FALSE)</f>
        <v>28</v>
      </c>
      <c r="H245" s="26" t="s">
        <v>61</v>
      </c>
      <c r="I245" s="25" t="s">
        <v>1706</v>
      </c>
      <c r="J245" s="25" t="s">
        <v>1707</v>
      </c>
      <c r="K245" s="25">
        <v>0.61</v>
      </c>
      <c r="L245" s="25">
        <v>0</v>
      </c>
      <c r="M245" s="25">
        <v>0</v>
      </c>
      <c r="N245" s="25">
        <v>0</v>
      </c>
      <c r="O245" s="25">
        <v>0</v>
      </c>
      <c r="P245" s="25">
        <v>1</v>
      </c>
      <c r="Q245" s="25">
        <v>1</v>
      </c>
      <c r="R245" s="25">
        <v>1</v>
      </c>
      <c r="S245" s="25">
        <v>1</v>
      </c>
      <c r="T245" s="25">
        <v>0</v>
      </c>
      <c r="U245" s="27" t="str">
        <f>_xlfn.LET(_xlpm.maxVal,_xlfn.MAXIFS($K:$K,$A:$A,A245),IF(AND(_xlpm.maxVal=K245,L245&lt;&gt;0),_xlpm.maxVal,""))</f>
        <v/>
      </c>
      <c r="V245" s="27" t="str">
        <f>_xlfn.LET(_xlpm.maxVal,_xlfn.MAXIFS($K:$K,$A:$A,A245),IF(AND(_xlpm.maxVal=K245,M245&lt;&gt;0),_xlpm.maxVal,""))</f>
        <v/>
      </c>
      <c r="W245" s="27" t="str">
        <f>_xlfn.LET(_xlpm.maxVal,_xlfn.MAXIFS($K:$K,$A:$A,A245),IF(AND(_xlpm.maxVal=K245,N245&lt;&gt;0),_xlpm.maxVal,""))</f>
        <v/>
      </c>
      <c r="X245" s="27" t="str">
        <f>_xlfn.LET(_xlpm.maxVal,_xlfn.MAXIFS($K:$K,$A:$A,A245),IF(AND(_xlpm.maxVal=K245,O245&lt;&gt;0),_xlpm.maxVal,""))</f>
        <v/>
      </c>
      <c r="Y245" s="27">
        <f>_xlfn.LET(_xlpm.maxVal,_xlfn.MAXIFS($K:$K,$A:$A,A245),IF(AND(_xlpm.maxVal=K245,P245&lt;&gt;0),_xlpm.maxVal,""))</f>
        <v>0.61</v>
      </c>
      <c r="Z245" s="27">
        <f>_xlfn.LET(_xlpm.maxVal,_xlfn.MAXIFS($K:$K,$A:$A,A245),IF(AND(_xlpm.maxVal=K245,Q245&lt;&gt;0),_xlpm.maxVal,""))</f>
        <v>0.61</v>
      </c>
      <c r="AA245" s="27">
        <f>_xlfn.LET(_xlpm.maxVal,_xlfn.MAXIFS($K:$K,$A:$A,A245),IF(AND(_xlpm.maxVal=K245,R245&lt;&gt;0),_xlpm.maxVal,""))</f>
        <v>0.61</v>
      </c>
      <c r="AB245" s="27">
        <f>_xlfn.LET(_xlpm.maxVal,_xlfn.MAXIFS($K:$K,$A:$A,A245),IF(AND(_xlpm.maxVal=K245,S245&lt;&gt;0),_xlpm.maxVal,""))</f>
        <v>0.61</v>
      </c>
      <c r="AC245" s="27" t="str">
        <f>_xlfn.LET(_xlpm.maxVal,_xlfn.MAXIFS($K:$K,$A:$A,A245),IF(AND(_xlpm.maxVal=K245,T245&lt;&gt;0),_xlpm.maxVal,""))</f>
        <v/>
      </c>
      <c r="AD245" s="27">
        <f>$K245*L245*负载统计!$K$3/60</f>
        <v>0</v>
      </c>
      <c r="AE245" s="27">
        <f>$K245*L245*负载统计!$K$4/60</f>
        <v>0</v>
      </c>
      <c r="AF245" s="27">
        <f>$K245*N245*负载统计!$K$5/60</f>
        <v>0</v>
      </c>
      <c r="AG245" s="27">
        <f>$K245*O245*负载统计!$K$6/60</f>
        <v>0</v>
      </c>
      <c r="AH245" s="27">
        <f>$K245*P245*负载统计!$K$7/60</f>
        <v>0.0688283333333333</v>
      </c>
      <c r="AI245" s="27">
        <f>$K245*Q245*负载统计!$K$8/60</f>
        <v>0.443266666666667</v>
      </c>
      <c r="AJ245" s="27">
        <f>$K245*R245*负载统计!$K$9/60</f>
        <v>0.140808333333333</v>
      </c>
      <c r="AK245" s="27">
        <f>$K245*S245*负载统计!$K$10/60</f>
        <v>0.00508333333333333</v>
      </c>
      <c r="AL245" s="27">
        <f>$K245*T245*负载统计!$K$11/60</f>
        <v>0</v>
      </c>
    </row>
    <row r="246" spans="1:38">
      <c r="A246" s="1">
        <v>111</v>
      </c>
      <c r="B246" s="24" t="s">
        <v>1479</v>
      </c>
      <c r="C246" s="24" t="s">
        <v>1476</v>
      </c>
      <c r="D246" s="24" t="s">
        <v>1480</v>
      </c>
      <c r="E246" s="24" t="s">
        <v>842</v>
      </c>
      <c r="F246" s="24" t="s">
        <v>845</v>
      </c>
      <c r="G246" s="25">
        <f>VLOOKUP(A246,负载电气特性!A:G,7,FALSE)</f>
        <v>28</v>
      </c>
      <c r="H246" s="26" t="s">
        <v>61</v>
      </c>
      <c r="I246" s="25" t="s">
        <v>1706</v>
      </c>
      <c r="J246" s="25" t="s">
        <v>1708</v>
      </c>
      <c r="K246" s="25">
        <v>0</v>
      </c>
      <c r="L246" s="25">
        <v>1</v>
      </c>
      <c r="M246" s="25">
        <v>1</v>
      </c>
      <c r="N246" s="25">
        <v>1</v>
      </c>
      <c r="O246" s="25">
        <v>1</v>
      </c>
      <c r="P246" s="25">
        <v>0</v>
      </c>
      <c r="Q246" s="25">
        <v>0</v>
      </c>
      <c r="R246" s="25">
        <v>0</v>
      </c>
      <c r="S246" s="25">
        <v>0</v>
      </c>
      <c r="T246" s="25">
        <v>1</v>
      </c>
      <c r="U246" s="27" t="str">
        <f>_xlfn.LET(_xlpm.maxVal,_xlfn.MAXIFS($K:$K,$A:$A,A246),IF(AND(_xlpm.maxVal=K246,L246&lt;&gt;0),_xlpm.maxVal,""))</f>
        <v/>
      </c>
      <c r="V246" s="27" t="str">
        <f>_xlfn.LET(_xlpm.maxVal,_xlfn.MAXIFS($K:$K,$A:$A,A246),IF(AND(_xlpm.maxVal=K246,M246&lt;&gt;0),_xlpm.maxVal,""))</f>
        <v/>
      </c>
      <c r="W246" s="27" t="str">
        <f>_xlfn.LET(_xlpm.maxVal,_xlfn.MAXIFS($K:$K,$A:$A,A246),IF(AND(_xlpm.maxVal=K246,N246&lt;&gt;0),_xlpm.maxVal,""))</f>
        <v/>
      </c>
      <c r="X246" s="27" t="str">
        <f>_xlfn.LET(_xlpm.maxVal,_xlfn.MAXIFS($K:$K,$A:$A,A246),IF(AND(_xlpm.maxVal=K246,O246&lt;&gt;0),_xlpm.maxVal,""))</f>
        <v/>
      </c>
      <c r="Y246" s="27" t="str">
        <f>_xlfn.LET(_xlpm.maxVal,_xlfn.MAXIFS($K:$K,$A:$A,A246),IF(AND(_xlpm.maxVal=K246,P246&lt;&gt;0),_xlpm.maxVal,""))</f>
        <v/>
      </c>
      <c r="Z246" s="27" t="str">
        <f>_xlfn.LET(_xlpm.maxVal,_xlfn.MAXIFS($K:$K,$A:$A,A246),IF(AND(_xlpm.maxVal=K246,Q246&lt;&gt;0),_xlpm.maxVal,""))</f>
        <v/>
      </c>
      <c r="AA246" s="27" t="str">
        <f>_xlfn.LET(_xlpm.maxVal,_xlfn.MAXIFS($K:$K,$A:$A,A246),IF(AND(_xlpm.maxVal=K246,R246&lt;&gt;0),_xlpm.maxVal,""))</f>
        <v/>
      </c>
      <c r="AB246" s="27" t="str">
        <f>_xlfn.LET(_xlpm.maxVal,_xlfn.MAXIFS($K:$K,$A:$A,A246),IF(AND(_xlpm.maxVal=K246,S246&lt;&gt;0),_xlpm.maxVal,""))</f>
        <v/>
      </c>
      <c r="AC246" s="27" t="str">
        <f>_xlfn.LET(_xlpm.maxVal,_xlfn.MAXIFS($K:$K,$A:$A,A246),IF(AND(_xlpm.maxVal=K246,T246&lt;&gt;0),_xlpm.maxVal,""))</f>
        <v/>
      </c>
      <c r="AD246" s="27">
        <f>$K246*L246*负载统计!$K$3/60</f>
        <v>0</v>
      </c>
      <c r="AE246" s="27">
        <f>$K246*L246*负载统计!$K$4/60</f>
        <v>0</v>
      </c>
      <c r="AF246" s="27">
        <f>$K246*N246*负载统计!$K$5/60</f>
        <v>0</v>
      </c>
      <c r="AG246" s="27">
        <f>$K246*O246*负载统计!$K$6/60</f>
        <v>0</v>
      </c>
      <c r="AH246" s="27">
        <f>$K246*P246*负载统计!$K$7/60</f>
        <v>0</v>
      </c>
      <c r="AI246" s="27">
        <f>$K246*Q246*负载统计!$K$8/60</f>
        <v>0</v>
      </c>
      <c r="AJ246" s="27">
        <f>$K246*R246*负载统计!$K$9/60</f>
        <v>0</v>
      </c>
      <c r="AK246" s="27">
        <f>$K246*S246*负载统计!$K$10/60</f>
        <v>0</v>
      </c>
      <c r="AL246" s="27">
        <f>$K246*T246*负载统计!$K$11/60</f>
        <v>0</v>
      </c>
    </row>
    <row r="247" spans="1:38">
      <c r="A247" s="1">
        <v>112</v>
      </c>
      <c r="B247" s="24" t="s">
        <v>1481</v>
      </c>
      <c r="C247" s="24" t="s">
        <v>1476</v>
      </c>
      <c r="D247" s="24" t="s">
        <v>1480</v>
      </c>
      <c r="E247" s="24" t="s">
        <v>842</v>
      </c>
      <c r="F247" s="24" t="s">
        <v>845</v>
      </c>
      <c r="G247" s="25">
        <f>VLOOKUP(A247,负载电气特性!A:G,7,FALSE)</f>
        <v>28</v>
      </c>
      <c r="H247" s="26" t="s">
        <v>61</v>
      </c>
      <c r="I247" s="25" t="s">
        <v>1706</v>
      </c>
      <c r="J247" s="25" t="s">
        <v>1707</v>
      </c>
      <c r="K247" s="25">
        <v>0.01</v>
      </c>
      <c r="L247" s="25">
        <v>1</v>
      </c>
      <c r="M247" s="25">
        <v>1</v>
      </c>
      <c r="N247" s="25">
        <v>1</v>
      </c>
      <c r="O247" s="25">
        <v>1</v>
      </c>
      <c r="P247" s="25">
        <v>1</v>
      </c>
      <c r="Q247" s="25">
        <v>1</v>
      </c>
      <c r="R247" s="25">
        <v>1</v>
      </c>
      <c r="S247" s="25">
        <v>1</v>
      </c>
      <c r="T247" s="25">
        <v>1</v>
      </c>
      <c r="U247" s="27">
        <f>_xlfn.LET(_xlpm.maxVal,_xlfn.MAXIFS($K:$K,$A:$A,A247),IF(AND(_xlpm.maxVal=K247,L247&lt;&gt;0),_xlpm.maxVal,""))</f>
        <v>0.01</v>
      </c>
      <c r="V247" s="27">
        <f>_xlfn.LET(_xlpm.maxVal,_xlfn.MAXIFS($K:$K,$A:$A,A247),IF(AND(_xlpm.maxVal=K247,M247&lt;&gt;0),_xlpm.maxVal,""))</f>
        <v>0.01</v>
      </c>
      <c r="W247" s="27">
        <f>_xlfn.LET(_xlpm.maxVal,_xlfn.MAXIFS($K:$K,$A:$A,A247),IF(AND(_xlpm.maxVal=K247,N247&lt;&gt;0),_xlpm.maxVal,""))</f>
        <v>0.01</v>
      </c>
      <c r="X247" s="27">
        <f>_xlfn.LET(_xlpm.maxVal,_xlfn.MAXIFS($K:$K,$A:$A,A247),IF(AND(_xlpm.maxVal=K247,O247&lt;&gt;0),_xlpm.maxVal,""))</f>
        <v>0.01</v>
      </c>
      <c r="Y247" s="27">
        <f>_xlfn.LET(_xlpm.maxVal,_xlfn.MAXIFS($K:$K,$A:$A,A247),IF(AND(_xlpm.maxVal=K247,P247&lt;&gt;0),_xlpm.maxVal,""))</f>
        <v>0.01</v>
      </c>
      <c r="Z247" s="27">
        <f>_xlfn.LET(_xlpm.maxVal,_xlfn.MAXIFS($K:$K,$A:$A,A247),IF(AND(_xlpm.maxVal=K247,Q247&lt;&gt;0),_xlpm.maxVal,""))</f>
        <v>0.01</v>
      </c>
      <c r="AA247" s="27">
        <f>_xlfn.LET(_xlpm.maxVal,_xlfn.MAXIFS($K:$K,$A:$A,A247),IF(AND(_xlpm.maxVal=K247,R247&lt;&gt;0),_xlpm.maxVal,""))</f>
        <v>0.01</v>
      </c>
      <c r="AB247" s="27">
        <f>_xlfn.LET(_xlpm.maxVal,_xlfn.MAXIFS($K:$K,$A:$A,A247),IF(AND(_xlpm.maxVal=K247,S247&lt;&gt;0),_xlpm.maxVal,""))</f>
        <v>0.01</v>
      </c>
      <c r="AC247" s="27">
        <f>_xlfn.LET(_xlpm.maxVal,_xlfn.MAXIFS($K:$K,$A:$A,A247),IF(AND(_xlpm.maxVal=K247,T247&lt;&gt;0),_xlpm.maxVal,""))</f>
        <v>0.01</v>
      </c>
      <c r="AD247" s="27">
        <f>$K247*L247*负载统计!$K$3/60</f>
        <v>0</v>
      </c>
      <c r="AE247" s="27">
        <f>$K247*L247*负载统计!$K$4/60</f>
        <v>0</v>
      </c>
      <c r="AF247" s="27">
        <f>$K247*N247*负载统计!$K$5/60</f>
        <v>0.000166666666666667</v>
      </c>
      <c r="AG247" s="27">
        <f>$K247*O247*负载统计!$K$6/60</f>
        <v>0.0005</v>
      </c>
      <c r="AH247" s="27">
        <f>$K247*P247*负载统计!$K$7/60</f>
        <v>0.00112833333333333</v>
      </c>
      <c r="AI247" s="27">
        <f>$K247*Q247*负载统计!$K$8/60</f>
        <v>0.00726666666666667</v>
      </c>
      <c r="AJ247" s="27">
        <f>$K247*R247*负载统计!$K$9/60</f>
        <v>0.00230833333333333</v>
      </c>
      <c r="AK247" s="27">
        <f>$K247*S247*负载统计!$K$10/60</f>
        <v>8.33333333333333e-5</v>
      </c>
      <c r="AL247" s="27">
        <f>$K247*T247*负载统计!$K$11/60</f>
        <v>0.000666666666666667</v>
      </c>
    </row>
    <row r="248" spans="1:38">
      <c r="A248" s="1">
        <v>112</v>
      </c>
      <c r="B248" s="24" t="s">
        <v>1481</v>
      </c>
      <c r="C248" s="24" t="s">
        <v>1476</v>
      </c>
      <c r="D248" s="24" t="s">
        <v>1480</v>
      </c>
      <c r="E248" s="24" t="s">
        <v>842</v>
      </c>
      <c r="F248" s="24" t="s">
        <v>845</v>
      </c>
      <c r="G248" s="25">
        <f>VLOOKUP(A248,负载电气特性!A:G,7,FALSE)</f>
        <v>28</v>
      </c>
      <c r="H248" s="26" t="s">
        <v>61</v>
      </c>
      <c r="I248" s="25" t="s">
        <v>1706</v>
      </c>
      <c r="J248" s="25" t="s">
        <v>1708</v>
      </c>
      <c r="K248" s="25">
        <v>0</v>
      </c>
      <c r="L248" s="25">
        <v>0</v>
      </c>
      <c r="M248" s="25">
        <v>0</v>
      </c>
      <c r="N248" s="25">
        <v>0</v>
      </c>
      <c r="O248" s="25">
        <v>0</v>
      </c>
      <c r="P248" s="25">
        <v>0</v>
      </c>
      <c r="Q248" s="25">
        <v>0</v>
      </c>
      <c r="R248" s="25">
        <v>0</v>
      </c>
      <c r="S248" s="25">
        <v>0</v>
      </c>
      <c r="T248" s="25">
        <v>0</v>
      </c>
      <c r="U248" s="27" t="str">
        <f>_xlfn.LET(_xlpm.maxVal,_xlfn.MAXIFS($K:$K,$A:$A,A248),IF(AND(_xlpm.maxVal=K248,L248&lt;&gt;0),_xlpm.maxVal,""))</f>
        <v/>
      </c>
      <c r="V248" s="27" t="str">
        <f>_xlfn.LET(_xlpm.maxVal,_xlfn.MAXIFS($K:$K,$A:$A,A248),IF(AND(_xlpm.maxVal=K248,M248&lt;&gt;0),_xlpm.maxVal,""))</f>
        <v/>
      </c>
      <c r="W248" s="27" t="str">
        <f>_xlfn.LET(_xlpm.maxVal,_xlfn.MAXIFS($K:$K,$A:$A,A248),IF(AND(_xlpm.maxVal=K248,N248&lt;&gt;0),_xlpm.maxVal,""))</f>
        <v/>
      </c>
      <c r="X248" s="27" t="str">
        <f>_xlfn.LET(_xlpm.maxVal,_xlfn.MAXIFS($K:$K,$A:$A,A248),IF(AND(_xlpm.maxVal=K248,O248&lt;&gt;0),_xlpm.maxVal,""))</f>
        <v/>
      </c>
      <c r="Y248" s="27" t="str">
        <f>_xlfn.LET(_xlpm.maxVal,_xlfn.MAXIFS($K:$K,$A:$A,A248),IF(AND(_xlpm.maxVal=K248,P248&lt;&gt;0),_xlpm.maxVal,""))</f>
        <v/>
      </c>
      <c r="Z248" s="27" t="str">
        <f>_xlfn.LET(_xlpm.maxVal,_xlfn.MAXIFS($K:$K,$A:$A,A248),IF(AND(_xlpm.maxVal=K248,Q248&lt;&gt;0),_xlpm.maxVal,""))</f>
        <v/>
      </c>
      <c r="AA248" s="27" t="str">
        <f>_xlfn.LET(_xlpm.maxVal,_xlfn.MAXIFS($K:$K,$A:$A,A248),IF(AND(_xlpm.maxVal=K248,R248&lt;&gt;0),_xlpm.maxVal,""))</f>
        <v/>
      </c>
      <c r="AB248" s="27" t="str">
        <f>_xlfn.LET(_xlpm.maxVal,_xlfn.MAXIFS($K:$K,$A:$A,A248),IF(AND(_xlpm.maxVal=K248,S248&lt;&gt;0),_xlpm.maxVal,""))</f>
        <v/>
      </c>
      <c r="AC248" s="27" t="str">
        <f>_xlfn.LET(_xlpm.maxVal,_xlfn.MAXIFS($K:$K,$A:$A,A248),IF(AND(_xlpm.maxVal=K248,T248&lt;&gt;0),_xlpm.maxVal,""))</f>
        <v/>
      </c>
      <c r="AD248" s="27">
        <f>$K248*L248*负载统计!$K$3/60</f>
        <v>0</v>
      </c>
      <c r="AE248" s="27">
        <f>$K248*L248*负载统计!$K$4/60</f>
        <v>0</v>
      </c>
      <c r="AF248" s="27">
        <f>$K248*N248*负载统计!$K$5/60</f>
        <v>0</v>
      </c>
      <c r="AG248" s="27">
        <f>$K248*O248*负载统计!$K$6/60</f>
        <v>0</v>
      </c>
      <c r="AH248" s="27">
        <f>$K248*P248*负载统计!$K$7/60</f>
        <v>0</v>
      </c>
      <c r="AI248" s="27">
        <f>$K248*Q248*负载统计!$K$8/60</f>
        <v>0</v>
      </c>
      <c r="AJ248" s="27">
        <f>$K248*R248*负载统计!$K$9/60</f>
        <v>0</v>
      </c>
      <c r="AK248" s="27">
        <f>$K248*S248*负载统计!$K$10/60</f>
        <v>0</v>
      </c>
      <c r="AL248" s="27">
        <f>$K248*T248*负载统计!$K$11/60</f>
        <v>0</v>
      </c>
    </row>
    <row r="249" spans="1:38">
      <c r="A249" s="1">
        <v>113</v>
      </c>
      <c r="B249" s="24" t="s">
        <v>1482</v>
      </c>
      <c r="C249" s="24" t="s">
        <v>1476</v>
      </c>
      <c r="D249" s="24" t="s">
        <v>1483</v>
      </c>
      <c r="E249" s="24" t="s">
        <v>842</v>
      </c>
      <c r="F249" s="24" t="s">
        <v>847</v>
      </c>
      <c r="G249" s="25">
        <f>VLOOKUP(A249,负载电气特性!A:G,7,FALSE)</f>
        <v>28</v>
      </c>
      <c r="H249" s="26" t="s">
        <v>61</v>
      </c>
      <c r="I249" s="25" t="s">
        <v>1706</v>
      </c>
      <c r="J249" s="25" t="s">
        <v>1707</v>
      </c>
      <c r="K249" s="25">
        <v>0.61</v>
      </c>
      <c r="L249" s="25">
        <v>0</v>
      </c>
      <c r="M249" s="25">
        <v>0</v>
      </c>
      <c r="N249" s="25">
        <v>0</v>
      </c>
      <c r="O249" s="25">
        <v>0</v>
      </c>
      <c r="P249" s="25">
        <v>1</v>
      </c>
      <c r="Q249" s="25">
        <v>1</v>
      </c>
      <c r="R249" s="25">
        <v>1</v>
      </c>
      <c r="S249" s="25">
        <v>1</v>
      </c>
      <c r="T249" s="25">
        <v>0</v>
      </c>
      <c r="U249" s="27" t="str">
        <f>_xlfn.LET(_xlpm.maxVal,_xlfn.MAXIFS($K:$K,$A:$A,A249),IF(AND(_xlpm.maxVal=K249,L249&lt;&gt;0),_xlpm.maxVal,""))</f>
        <v/>
      </c>
      <c r="V249" s="27" t="str">
        <f>_xlfn.LET(_xlpm.maxVal,_xlfn.MAXIFS($K:$K,$A:$A,A249),IF(AND(_xlpm.maxVal=K249,M249&lt;&gt;0),_xlpm.maxVal,""))</f>
        <v/>
      </c>
      <c r="W249" s="27" t="str">
        <f>_xlfn.LET(_xlpm.maxVal,_xlfn.MAXIFS($K:$K,$A:$A,A249),IF(AND(_xlpm.maxVal=K249,N249&lt;&gt;0),_xlpm.maxVal,""))</f>
        <v/>
      </c>
      <c r="X249" s="27" t="str">
        <f>_xlfn.LET(_xlpm.maxVal,_xlfn.MAXIFS($K:$K,$A:$A,A249),IF(AND(_xlpm.maxVal=K249,O249&lt;&gt;0),_xlpm.maxVal,""))</f>
        <v/>
      </c>
      <c r="Y249" s="27">
        <f>_xlfn.LET(_xlpm.maxVal,_xlfn.MAXIFS($K:$K,$A:$A,A249),IF(AND(_xlpm.maxVal=K249,P249&lt;&gt;0),_xlpm.maxVal,""))</f>
        <v>0.61</v>
      </c>
      <c r="Z249" s="27">
        <f>_xlfn.LET(_xlpm.maxVal,_xlfn.MAXIFS($K:$K,$A:$A,A249),IF(AND(_xlpm.maxVal=K249,Q249&lt;&gt;0),_xlpm.maxVal,""))</f>
        <v>0.61</v>
      </c>
      <c r="AA249" s="27">
        <f>_xlfn.LET(_xlpm.maxVal,_xlfn.MAXIFS($K:$K,$A:$A,A249),IF(AND(_xlpm.maxVal=K249,R249&lt;&gt;0),_xlpm.maxVal,""))</f>
        <v>0.61</v>
      </c>
      <c r="AB249" s="27">
        <f>_xlfn.LET(_xlpm.maxVal,_xlfn.MAXIFS($K:$K,$A:$A,A249),IF(AND(_xlpm.maxVal=K249,S249&lt;&gt;0),_xlpm.maxVal,""))</f>
        <v>0.61</v>
      </c>
      <c r="AC249" s="27" t="str">
        <f>_xlfn.LET(_xlpm.maxVal,_xlfn.MAXIFS($K:$K,$A:$A,A249),IF(AND(_xlpm.maxVal=K249,T249&lt;&gt;0),_xlpm.maxVal,""))</f>
        <v/>
      </c>
      <c r="AD249" s="27">
        <f>$K249*L249*负载统计!$K$3/60</f>
        <v>0</v>
      </c>
      <c r="AE249" s="27">
        <f>$K249*L249*负载统计!$K$4/60</f>
        <v>0</v>
      </c>
      <c r="AF249" s="27">
        <f>$K249*N249*负载统计!$K$5/60</f>
        <v>0</v>
      </c>
      <c r="AG249" s="27">
        <f>$K249*O249*负载统计!$K$6/60</f>
        <v>0</v>
      </c>
      <c r="AH249" s="27">
        <f>$K249*P249*负载统计!$K$7/60</f>
        <v>0.0688283333333333</v>
      </c>
      <c r="AI249" s="27">
        <f>$K249*Q249*负载统计!$K$8/60</f>
        <v>0.443266666666667</v>
      </c>
      <c r="AJ249" s="27">
        <f>$K249*R249*负载统计!$K$9/60</f>
        <v>0.140808333333333</v>
      </c>
      <c r="AK249" s="27">
        <f>$K249*S249*负载统计!$K$10/60</f>
        <v>0.00508333333333333</v>
      </c>
      <c r="AL249" s="27">
        <f>$K249*T249*负载统计!$K$11/60</f>
        <v>0</v>
      </c>
    </row>
    <row r="250" spans="1:38">
      <c r="A250" s="1">
        <v>113</v>
      </c>
      <c r="B250" s="24" t="s">
        <v>1482</v>
      </c>
      <c r="C250" s="24" t="s">
        <v>1476</v>
      </c>
      <c r="D250" s="24" t="s">
        <v>1483</v>
      </c>
      <c r="E250" s="24" t="s">
        <v>842</v>
      </c>
      <c r="F250" s="24" t="s">
        <v>847</v>
      </c>
      <c r="G250" s="25">
        <f>VLOOKUP(A250,负载电气特性!A:G,7,FALSE)</f>
        <v>28</v>
      </c>
      <c r="H250" s="26" t="s">
        <v>61</v>
      </c>
      <c r="I250" s="25" t="s">
        <v>1706</v>
      </c>
      <c r="J250" s="25" t="s">
        <v>1708</v>
      </c>
      <c r="K250" s="25">
        <v>0</v>
      </c>
      <c r="L250" s="25">
        <v>1</v>
      </c>
      <c r="M250" s="25">
        <v>1</v>
      </c>
      <c r="N250" s="25">
        <v>1</v>
      </c>
      <c r="O250" s="25">
        <v>1</v>
      </c>
      <c r="P250" s="25">
        <v>0</v>
      </c>
      <c r="Q250" s="25">
        <v>0</v>
      </c>
      <c r="R250" s="25">
        <v>0</v>
      </c>
      <c r="S250" s="25">
        <v>0</v>
      </c>
      <c r="T250" s="25">
        <v>1</v>
      </c>
      <c r="U250" s="27" t="str">
        <f>_xlfn.LET(_xlpm.maxVal,_xlfn.MAXIFS($K:$K,$A:$A,A250),IF(AND(_xlpm.maxVal=K250,L250&lt;&gt;0),_xlpm.maxVal,""))</f>
        <v/>
      </c>
      <c r="V250" s="27" t="str">
        <f>_xlfn.LET(_xlpm.maxVal,_xlfn.MAXIFS($K:$K,$A:$A,A250),IF(AND(_xlpm.maxVal=K250,M250&lt;&gt;0),_xlpm.maxVal,""))</f>
        <v/>
      </c>
      <c r="W250" s="27" t="str">
        <f>_xlfn.LET(_xlpm.maxVal,_xlfn.MAXIFS($K:$K,$A:$A,A250),IF(AND(_xlpm.maxVal=K250,N250&lt;&gt;0),_xlpm.maxVal,""))</f>
        <v/>
      </c>
      <c r="X250" s="27" t="str">
        <f>_xlfn.LET(_xlpm.maxVal,_xlfn.MAXIFS($K:$K,$A:$A,A250),IF(AND(_xlpm.maxVal=K250,O250&lt;&gt;0),_xlpm.maxVal,""))</f>
        <v/>
      </c>
      <c r="Y250" s="27" t="str">
        <f>_xlfn.LET(_xlpm.maxVal,_xlfn.MAXIFS($K:$K,$A:$A,A250),IF(AND(_xlpm.maxVal=K250,P250&lt;&gt;0),_xlpm.maxVal,""))</f>
        <v/>
      </c>
      <c r="Z250" s="27" t="str">
        <f>_xlfn.LET(_xlpm.maxVal,_xlfn.MAXIFS($K:$K,$A:$A,A250),IF(AND(_xlpm.maxVal=K250,Q250&lt;&gt;0),_xlpm.maxVal,""))</f>
        <v/>
      </c>
      <c r="AA250" s="27" t="str">
        <f>_xlfn.LET(_xlpm.maxVal,_xlfn.MAXIFS($K:$K,$A:$A,A250),IF(AND(_xlpm.maxVal=K250,R250&lt;&gt;0),_xlpm.maxVal,""))</f>
        <v/>
      </c>
      <c r="AB250" s="27" t="str">
        <f>_xlfn.LET(_xlpm.maxVal,_xlfn.MAXIFS($K:$K,$A:$A,A250),IF(AND(_xlpm.maxVal=K250,S250&lt;&gt;0),_xlpm.maxVal,""))</f>
        <v/>
      </c>
      <c r="AC250" s="27" t="str">
        <f>_xlfn.LET(_xlpm.maxVal,_xlfn.MAXIFS($K:$K,$A:$A,A250),IF(AND(_xlpm.maxVal=K250,T250&lt;&gt;0),_xlpm.maxVal,""))</f>
        <v/>
      </c>
      <c r="AD250" s="27">
        <f>$K250*L250*负载统计!$K$3/60</f>
        <v>0</v>
      </c>
      <c r="AE250" s="27">
        <f>$K250*L250*负载统计!$K$4/60</f>
        <v>0</v>
      </c>
      <c r="AF250" s="27">
        <f>$K250*N250*负载统计!$K$5/60</f>
        <v>0</v>
      </c>
      <c r="AG250" s="27">
        <f>$K250*O250*负载统计!$K$6/60</f>
        <v>0</v>
      </c>
      <c r="AH250" s="27">
        <f>$K250*P250*负载统计!$K$7/60</f>
        <v>0</v>
      </c>
      <c r="AI250" s="27">
        <f>$K250*Q250*负载统计!$K$8/60</f>
        <v>0</v>
      </c>
      <c r="AJ250" s="27">
        <f>$K250*R250*负载统计!$K$9/60</f>
        <v>0</v>
      </c>
      <c r="AK250" s="27">
        <f>$K250*S250*负载统计!$K$10/60</f>
        <v>0</v>
      </c>
      <c r="AL250" s="27">
        <f>$K250*T250*负载统计!$K$11/60</f>
        <v>0</v>
      </c>
    </row>
    <row r="251" spans="1:38">
      <c r="A251" s="1">
        <v>114</v>
      </c>
      <c r="B251" s="24" t="s">
        <v>1484</v>
      </c>
      <c r="C251" s="24" t="s">
        <v>1476</v>
      </c>
      <c r="D251" s="24" t="s">
        <v>1483</v>
      </c>
      <c r="E251" s="24" t="s">
        <v>842</v>
      </c>
      <c r="F251" s="24" t="s">
        <v>847</v>
      </c>
      <c r="G251" s="25">
        <f>VLOOKUP(A251,负载电气特性!A:G,7,FALSE)</f>
        <v>28</v>
      </c>
      <c r="H251" s="26" t="s">
        <v>61</v>
      </c>
      <c r="I251" s="25" t="s">
        <v>1706</v>
      </c>
      <c r="J251" s="25" t="s">
        <v>1707</v>
      </c>
      <c r="K251" s="25">
        <v>0.01</v>
      </c>
      <c r="L251" s="25">
        <v>1</v>
      </c>
      <c r="M251" s="25">
        <v>1</v>
      </c>
      <c r="N251" s="25">
        <v>1</v>
      </c>
      <c r="O251" s="25">
        <v>1</v>
      </c>
      <c r="P251" s="25">
        <v>1</v>
      </c>
      <c r="Q251" s="25">
        <v>1</v>
      </c>
      <c r="R251" s="25">
        <v>1</v>
      </c>
      <c r="S251" s="25">
        <v>1</v>
      </c>
      <c r="T251" s="25">
        <v>1</v>
      </c>
      <c r="U251" s="27">
        <f>_xlfn.LET(_xlpm.maxVal,_xlfn.MAXIFS($K:$K,$A:$A,A251),IF(AND(_xlpm.maxVal=K251,L251&lt;&gt;0),_xlpm.maxVal,""))</f>
        <v>0.01</v>
      </c>
      <c r="V251" s="27">
        <f>_xlfn.LET(_xlpm.maxVal,_xlfn.MAXIFS($K:$K,$A:$A,A251),IF(AND(_xlpm.maxVal=K251,M251&lt;&gt;0),_xlpm.maxVal,""))</f>
        <v>0.01</v>
      </c>
      <c r="W251" s="27">
        <f>_xlfn.LET(_xlpm.maxVal,_xlfn.MAXIFS($K:$K,$A:$A,A251),IF(AND(_xlpm.maxVal=K251,N251&lt;&gt;0),_xlpm.maxVal,""))</f>
        <v>0.01</v>
      </c>
      <c r="X251" s="27">
        <f>_xlfn.LET(_xlpm.maxVal,_xlfn.MAXIFS($K:$K,$A:$A,A251),IF(AND(_xlpm.maxVal=K251,O251&lt;&gt;0),_xlpm.maxVal,""))</f>
        <v>0.01</v>
      </c>
      <c r="Y251" s="27">
        <f>_xlfn.LET(_xlpm.maxVal,_xlfn.MAXIFS($K:$K,$A:$A,A251),IF(AND(_xlpm.maxVal=K251,P251&lt;&gt;0),_xlpm.maxVal,""))</f>
        <v>0.01</v>
      </c>
      <c r="Z251" s="27">
        <f>_xlfn.LET(_xlpm.maxVal,_xlfn.MAXIFS($K:$K,$A:$A,A251),IF(AND(_xlpm.maxVal=K251,Q251&lt;&gt;0),_xlpm.maxVal,""))</f>
        <v>0.01</v>
      </c>
      <c r="AA251" s="27">
        <f>_xlfn.LET(_xlpm.maxVal,_xlfn.MAXIFS($K:$K,$A:$A,A251),IF(AND(_xlpm.maxVal=K251,R251&lt;&gt;0),_xlpm.maxVal,""))</f>
        <v>0.01</v>
      </c>
      <c r="AB251" s="27">
        <f>_xlfn.LET(_xlpm.maxVal,_xlfn.MAXIFS($K:$K,$A:$A,A251),IF(AND(_xlpm.maxVal=K251,S251&lt;&gt;0),_xlpm.maxVal,""))</f>
        <v>0.01</v>
      </c>
      <c r="AC251" s="27">
        <f>_xlfn.LET(_xlpm.maxVal,_xlfn.MAXIFS($K:$K,$A:$A,A251),IF(AND(_xlpm.maxVal=K251,T251&lt;&gt;0),_xlpm.maxVal,""))</f>
        <v>0.01</v>
      </c>
      <c r="AD251" s="27">
        <f>$K251*L251*负载统计!$K$3/60</f>
        <v>0</v>
      </c>
      <c r="AE251" s="27">
        <f>$K251*L251*负载统计!$K$4/60</f>
        <v>0</v>
      </c>
      <c r="AF251" s="27">
        <f>$K251*N251*负载统计!$K$5/60</f>
        <v>0.000166666666666667</v>
      </c>
      <c r="AG251" s="27">
        <f>$K251*O251*负载统计!$K$6/60</f>
        <v>0.0005</v>
      </c>
      <c r="AH251" s="27">
        <f>$K251*P251*负载统计!$K$7/60</f>
        <v>0.00112833333333333</v>
      </c>
      <c r="AI251" s="27">
        <f>$K251*Q251*负载统计!$K$8/60</f>
        <v>0.00726666666666667</v>
      </c>
      <c r="AJ251" s="27">
        <f>$K251*R251*负载统计!$K$9/60</f>
        <v>0.00230833333333333</v>
      </c>
      <c r="AK251" s="27">
        <f>$K251*S251*负载统计!$K$10/60</f>
        <v>8.33333333333333e-5</v>
      </c>
      <c r="AL251" s="27">
        <f>$K251*T251*负载统计!$K$11/60</f>
        <v>0.000666666666666667</v>
      </c>
    </row>
    <row r="252" spans="1:38">
      <c r="A252" s="1">
        <v>114</v>
      </c>
      <c r="B252" s="24" t="s">
        <v>1484</v>
      </c>
      <c r="C252" s="24" t="s">
        <v>1476</v>
      </c>
      <c r="D252" s="24" t="s">
        <v>1483</v>
      </c>
      <c r="E252" s="24" t="s">
        <v>842</v>
      </c>
      <c r="F252" s="24" t="s">
        <v>847</v>
      </c>
      <c r="G252" s="25">
        <f>VLOOKUP(A252,负载电气特性!A:G,7,FALSE)</f>
        <v>28</v>
      </c>
      <c r="H252" s="26" t="s">
        <v>61</v>
      </c>
      <c r="I252" s="25" t="s">
        <v>1706</v>
      </c>
      <c r="J252" s="25" t="s">
        <v>1708</v>
      </c>
      <c r="K252" s="25">
        <v>0</v>
      </c>
      <c r="L252" s="25">
        <v>0</v>
      </c>
      <c r="M252" s="25">
        <v>0</v>
      </c>
      <c r="N252" s="25">
        <v>0</v>
      </c>
      <c r="O252" s="25">
        <v>0</v>
      </c>
      <c r="P252" s="25">
        <v>0</v>
      </c>
      <c r="Q252" s="25">
        <v>0</v>
      </c>
      <c r="R252" s="25">
        <v>0</v>
      </c>
      <c r="S252" s="25">
        <v>0</v>
      </c>
      <c r="T252" s="25">
        <v>0</v>
      </c>
      <c r="U252" s="27" t="str">
        <f>_xlfn.LET(_xlpm.maxVal,_xlfn.MAXIFS($K:$K,$A:$A,A252),IF(AND(_xlpm.maxVal=K252,L252&lt;&gt;0),_xlpm.maxVal,""))</f>
        <v/>
      </c>
      <c r="V252" s="27" t="str">
        <f>_xlfn.LET(_xlpm.maxVal,_xlfn.MAXIFS($K:$K,$A:$A,A252),IF(AND(_xlpm.maxVal=K252,M252&lt;&gt;0),_xlpm.maxVal,""))</f>
        <v/>
      </c>
      <c r="W252" s="27" t="str">
        <f>_xlfn.LET(_xlpm.maxVal,_xlfn.MAXIFS($K:$K,$A:$A,A252),IF(AND(_xlpm.maxVal=K252,N252&lt;&gt;0),_xlpm.maxVal,""))</f>
        <v/>
      </c>
      <c r="X252" s="27" t="str">
        <f>_xlfn.LET(_xlpm.maxVal,_xlfn.MAXIFS($K:$K,$A:$A,A252),IF(AND(_xlpm.maxVal=K252,O252&lt;&gt;0),_xlpm.maxVal,""))</f>
        <v/>
      </c>
      <c r="Y252" s="27" t="str">
        <f>_xlfn.LET(_xlpm.maxVal,_xlfn.MAXIFS($K:$K,$A:$A,A252),IF(AND(_xlpm.maxVal=K252,P252&lt;&gt;0),_xlpm.maxVal,""))</f>
        <v/>
      </c>
      <c r="Z252" s="27" t="str">
        <f>_xlfn.LET(_xlpm.maxVal,_xlfn.MAXIFS($K:$K,$A:$A,A252),IF(AND(_xlpm.maxVal=K252,Q252&lt;&gt;0),_xlpm.maxVal,""))</f>
        <v/>
      </c>
      <c r="AA252" s="27" t="str">
        <f>_xlfn.LET(_xlpm.maxVal,_xlfn.MAXIFS($K:$K,$A:$A,A252),IF(AND(_xlpm.maxVal=K252,R252&lt;&gt;0),_xlpm.maxVal,""))</f>
        <v/>
      </c>
      <c r="AB252" s="27" t="str">
        <f>_xlfn.LET(_xlpm.maxVal,_xlfn.MAXIFS($K:$K,$A:$A,A252),IF(AND(_xlpm.maxVal=K252,S252&lt;&gt;0),_xlpm.maxVal,""))</f>
        <v/>
      </c>
      <c r="AC252" s="27" t="str">
        <f>_xlfn.LET(_xlpm.maxVal,_xlfn.MAXIFS($K:$K,$A:$A,A252),IF(AND(_xlpm.maxVal=K252,T252&lt;&gt;0),_xlpm.maxVal,""))</f>
        <v/>
      </c>
      <c r="AD252" s="27">
        <f>$K252*L252*负载统计!$K$3/60</f>
        <v>0</v>
      </c>
      <c r="AE252" s="27">
        <f>$K252*L252*负载统计!$K$4/60</f>
        <v>0</v>
      </c>
      <c r="AF252" s="27">
        <f>$K252*N252*负载统计!$K$5/60</f>
        <v>0</v>
      </c>
      <c r="AG252" s="27">
        <f>$K252*O252*负载统计!$K$6/60</f>
        <v>0</v>
      </c>
      <c r="AH252" s="27">
        <f>$K252*P252*负载统计!$K$7/60</f>
        <v>0</v>
      </c>
      <c r="AI252" s="27">
        <f>$K252*Q252*负载统计!$K$8/60</f>
        <v>0</v>
      </c>
      <c r="AJ252" s="27">
        <f>$K252*R252*负载统计!$K$9/60</f>
        <v>0</v>
      </c>
      <c r="AK252" s="27">
        <f>$K252*S252*负载统计!$K$10/60</f>
        <v>0</v>
      </c>
      <c r="AL252" s="27">
        <f>$K252*T252*负载统计!$K$11/60</f>
        <v>0</v>
      </c>
    </row>
    <row r="253" spans="1:38">
      <c r="A253" s="1">
        <v>115</v>
      </c>
      <c r="B253" s="24" t="s">
        <v>1485</v>
      </c>
      <c r="C253" s="24" t="s">
        <v>1476</v>
      </c>
      <c r="D253" s="24" t="s">
        <v>848</v>
      </c>
      <c r="E253" s="24" t="s">
        <v>849</v>
      </c>
      <c r="F253" s="24" t="s">
        <v>850</v>
      </c>
      <c r="G253" s="25">
        <f>VLOOKUP(A253,负载电气特性!A:G,7,FALSE)</f>
        <v>28</v>
      </c>
      <c r="H253" s="26" t="s">
        <v>61</v>
      </c>
      <c r="I253" s="25" t="s">
        <v>1706</v>
      </c>
      <c r="J253" s="25" t="s">
        <v>1707</v>
      </c>
      <c r="K253" s="25">
        <v>0.08</v>
      </c>
      <c r="L253" s="25">
        <v>0</v>
      </c>
      <c r="M253" s="25">
        <v>0</v>
      </c>
      <c r="N253" s="25">
        <v>0</v>
      </c>
      <c r="O253" s="25">
        <v>0</v>
      </c>
      <c r="P253" s="25">
        <v>1</v>
      </c>
      <c r="Q253" s="25">
        <v>1</v>
      </c>
      <c r="R253" s="25">
        <v>1</v>
      </c>
      <c r="S253" s="25">
        <v>1</v>
      </c>
      <c r="T253" s="25">
        <v>0</v>
      </c>
      <c r="U253" s="27" t="str">
        <f>_xlfn.LET(_xlpm.maxVal,_xlfn.MAXIFS($K:$K,$A:$A,A253),IF(AND(_xlpm.maxVal=K253,L253&lt;&gt;0),_xlpm.maxVal,""))</f>
        <v/>
      </c>
      <c r="V253" s="27" t="str">
        <f>_xlfn.LET(_xlpm.maxVal,_xlfn.MAXIFS($K:$K,$A:$A,A253),IF(AND(_xlpm.maxVal=K253,M253&lt;&gt;0),_xlpm.maxVal,""))</f>
        <v/>
      </c>
      <c r="W253" s="27" t="str">
        <f>_xlfn.LET(_xlpm.maxVal,_xlfn.MAXIFS($K:$K,$A:$A,A253),IF(AND(_xlpm.maxVal=K253,N253&lt;&gt;0),_xlpm.maxVal,""))</f>
        <v/>
      </c>
      <c r="X253" s="27" t="str">
        <f>_xlfn.LET(_xlpm.maxVal,_xlfn.MAXIFS($K:$K,$A:$A,A253),IF(AND(_xlpm.maxVal=K253,O253&lt;&gt;0),_xlpm.maxVal,""))</f>
        <v/>
      </c>
      <c r="Y253" s="27">
        <f>_xlfn.LET(_xlpm.maxVal,_xlfn.MAXIFS($K:$K,$A:$A,A253),IF(AND(_xlpm.maxVal=K253,P253&lt;&gt;0),_xlpm.maxVal,""))</f>
        <v>0.08</v>
      </c>
      <c r="Z253" s="27">
        <f>_xlfn.LET(_xlpm.maxVal,_xlfn.MAXIFS($K:$K,$A:$A,A253),IF(AND(_xlpm.maxVal=K253,Q253&lt;&gt;0),_xlpm.maxVal,""))</f>
        <v>0.08</v>
      </c>
      <c r="AA253" s="27">
        <f>_xlfn.LET(_xlpm.maxVal,_xlfn.MAXIFS($K:$K,$A:$A,A253),IF(AND(_xlpm.maxVal=K253,R253&lt;&gt;0),_xlpm.maxVal,""))</f>
        <v>0.08</v>
      </c>
      <c r="AB253" s="27">
        <f>_xlfn.LET(_xlpm.maxVal,_xlfn.MAXIFS($K:$K,$A:$A,A253),IF(AND(_xlpm.maxVal=K253,S253&lt;&gt;0),_xlpm.maxVal,""))</f>
        <v>0.08</v>
      </c>
      <c r="AC253" s="27" t="str">
        <f>_xlfn.LET(_xlpm.maxVal,_xlfn.MAXIFS($K:$K,$A:$A,A253),IF(AND(_xlpm.maxVal=K253,T253&lt;&gt;0),_xlpm.maxVal,""))</f>
        <v/>
      </c>
      <c r="AD253" s="27">
        <f>$K253*L253*负载统计!$K$3/60</f>
        <v>0</v>
      </c>
      <c r="AE253" s="27">
        <f>$K253*L253*负载统计!$K$4/60</f>
        <v>0</v>
      </c>
      <c r="AF253" s="27">
        <f>$K253*N253*负载统计!$K$5/60</f>
        <v>0</v>
      </c>
      <c r="AG253" s="27">
        <f>$K253*O253*负载统计!$K$6/60</f>
        <v>0</v>
      </c>
      <c r="AH253" s="27">
        <f>$K253*P253*负载统计!$K$7/60</f>
        <v>0.00902666666666667</v>
      </c>
      <c r="AI253" s="27">
        <f>$K253*Q253*负载统计!$K$8/60</f>
        <v>0.0581333333333333</v>
      </c>
      <c r="AJ253" s="27">
        <f>$K253*R253*负载统计!$K$9/60</f>
        <v>0.0184666666666667</v>
      </c>
      <c r="AK253" s="27">
        <f>$K253*S253*负载统计!$K$10/60</f>
        <v>0.000666666666666667</v>
      </c>
      <c r="AL253" s="27">
        <f>$K253*T253*负载统计!$K$11/60</f>
        <v>0</v>
      </c>
    </row>
    <row r="254" spans="1:38">
      <c r="A254" s="1">
        <v>115</v>
      </c>
      <c r="B254" s="24" t="s">
        <v>1485</v>
      </c>
      <c r="C254" s="24" t="s">
        <v>1476</v>
      </c>
      <c r="D254" s="24" t="s">
        <v>848</v>
      </c>
      <c r="E254" s="24" t="s">
        <v>849</v>
      </c>
      <c r="F254" s="24" t="s">
        <v>850</v>
      </c>
      <c r="G254" s="25">
        <f>VLOOKUP(A254,负载电气特性!A:G,7,FALSE)</f>
        <v>28</v>
      </c>
      <c r="H254" s="26" t="s">
        <v>61</v>
      </c>
      <c r="I254" s="25" t="s">
        <v>1706</v>
      </c>
      <c r="J254" s="25" t="s">
        <v>1708</v>
      </c>
      <c r="K254" s="25">
        <v>0</v>
      </c>
      <c r="L254" s="25">
        <v>1</v>
      </c>
      <c r="M254" s="25">
        <v>1</v>
      </c>
      <c r="N254" s="25">
        <v>1</v>
      </c>
      <c r="O254" s="25">
        <v>1</v>
      </c>
      <c r="P254" s="25">
        <v>0</v>
      </c>
      <c r="Q254" s="25">
        <v>0</v>
      </c>
      <c r="R254" s="25">
        <v>0</v>
      </c>
      <c r="S254" s="25">
        <v>0</v>
      </c>
      <c r="T254" s="25">
        <v>1</v>
      </c>
      <c r="U254" s="27" t="str">
        <f>_xlfn.LET(_xlpm.maxVal,_xlfn.MAXIFS($K:$K,$A:$A,A254),IF(AND(_xlpm.maxVal=K254,L254&lt;&gt;0),_xlpm.maxVal,""))</f>
        <v/>
      </c>
      <c r="V254" s="27" t="str">
        <f>_xlfn.LET(_xlpm.maxVal,_xlfn.MAXIFS($K:$K,$A:$A,A254),IF(AND(_xlpm.maxVal=K254,M254&lt;&gt;0),_xlpm.maxVal,""))</f>
        <v/>
      </c>
      <c r="W254" s="27" t="str">
        <f>_xlfn.LET(_xlpm.maxVal,_xlfn.MAXIFS($K:$K,$A:$A,A254),IF(AND(_xlpm.maxVal=K254,N254&lt;&gt;0),_xlpm.maxVal,""))</f>
        <v/>
      </c>
      <c r="X254" s="27" t="str">
        <f>_xlfn.LET(_xlpm.maxVal,_xlfn.MAXIFS($K:$K,$A:$A,A254),IF(AND(_xlpm.maxVal=K254,O254&lt;&gt;0),_xlpm.maxVal,""))</f>
        <v/>
      </c>
      <c r="Y254" s="27" t="str">
        <f>_xlfn.LET(_xlpm.maxVal,_xlfn.MAXIFS($K:$K,$A:$A,A254),IF(AND(_xlpm.maxVal=K254,P254&lt;&gt;0),_xlpm.maxVal,""))</f>
        <v/>
      </c>
      <c r="Z254" s="27" t="str">
        <f>_xlfn.LET(_xlpm.maxVal,_xlfn.MAXIFS($K:$K,$A:$A,A254),IF(AND(_xlpm.maxVal=K254,Q254&lt;&gt;0),_xlpm.maxVal,""))</f>
        <v/>
      </c>
      <c r="AA254" s="27" t="str">
        <f>_xlfn.LET(_xlpm.maxVal,_xlfn.MAXIFS($K:$K,$A:$A,A254),IF(AND(_xlpm.maxVal=K254,R254&lt;&gt;0),_xlpm.maxVal,""))</f>
        <v/>
      </c>
      <c r="AB254" s="27" t="str">
        <f>_xlfn.LET(_xlpm.maxVal,_xlfn.MAXIFS($K:$K,$A:$A,A254),IF(AND(_xlpm.maxVal=K254,S254&lt;&gt;0),_xlpm.maxVal,""))</f>
        <v/>
      </c>
      <c r="AC254" s="27" t="str">
        <f>_xlfn.LET(_xlpm.maxVal,_xlfn.MAXIFS($K:$K,$A:$A,A254),IF(AND(_xlpm.maxVal=K254,T254&lt;&gt;0),_xlpm.maxVal,""))</f>
        <v/>
      </c>
      <c r="AD254" s="27">
        <f>$K254*L254*负载统计!$K$3/60</f>
        <v>0</v>
      </c>
      <c r="AE254" s="27">
        <f>$K254*L254*负载统计!$K$4/60</f>
        <v>0</v>
      </c>
      <c r="AF254" s="27">
        <f>$K254*N254*负载统计!$K$5/60</f>
        <v>0</v>
      </c>
      <c r="AG254" s="27">
        <f>$K254*O254*负载统计!$K$6/60</f>
        <v>0</v>
      </c>
      <c r="AH254" s="27">
        <f>$K254*P254*负载统计!$K$7/60</f>
        <v>0</v>
      </c>
      <c r="AI254" s="27">
        <f>$K254*Q254*负载统计!$K$8/60</f>
        <v>0</v>
      </c>
      <c r="AJ254" s="27">
        <f>$K254*R254*负载统计!$K$9/60</f>
        <v>0</v>
      </c>
      <c r="AK254" s="27">
        <f>$K254*S254*负载统计!$K$10/60</f>
        <v>0</v>
      </c>
      <c r="AL254" s="27">
        <f>$K254*T254*负载统计!$K$11/60</f>
        <v>0</v>
      </c>
    </row>
    <row r="255" spans="1:38">
      <c r="A255" s="1">
        <v>116</v>
      </c>
      <c r="B255" s="24" t="s">
        <v>1486</v>
      </c>
      <c r="C255" s="24" t="s">
        <v>1476</v>
      </c>
      <c r="D255" s="24" t="s">
        <v>848</v>
      </c>
      <c r="E255" s="24" t="s">
        <v>849</v>
      </c>
      <c r="F255" s="24" t="s">
        <v>850</v>
      </c>
      <c r="G255" s="25">
        <f>VLOOKUP(A255,负载电气特性!A:G,7,FALSE)</f>
        <v>28</v>
      </c>
      <c r="H255" s="26" t="s">
        <v>61</v>
      </c>
      <c r="I255" s="25" t="s">
        <v>1706</v>
      </c>
      <c r="J255" s="25" t="s">
        <v>1707</v>
      </c>
      <c r="K255" s="25">
        <v>0.25</v>
      </c>
      <c r="L255" s="25">
        <v>0</v>
      </c>
      <c r="M255" s="25">
        <v>0</v>
      </c>
      <c r="N255" s="25">
        <v>0</v>
      </c>
      <c r="O255" s="25">
        <v>0</v>
      </c>
      <c r="P255" s="25">
        <v>1</v>
      </c>
      <c r="Q255" s="25">
        <v>1</v>
      </c>
      <c r="R255" s="25">
        <v>1</v>
      </c>
      <c r="S255" s="25">
        <v>1</v>
      </c>
      <c r="T255" s="25">
        <v>0</v>
      </c>
      <c r="U255" s="27" t="str">
        <f>_xlfn.LET(_xlpm.maxVal,_xlfn.MAXIFS($K:$K,$A:$A,A255),IF(AND(_xlpm.maxVal=K255,L255&lt;&gt;0),_xlpm.maxVal,""))</f>
        <v/>
      </c>
      <c r="V255" s="27" t="str">
        <f>_xlfn.LET(_xlpm.maxVal,_xlfn.MAXIFS($K:$K,$A:$A,A255),IF(AND(_xlpm.maxVal=K255,M255&lt;&gt;0),_xlpm.maxVal,""))</f>
        <v/>
      </c>
      <c r="W255" s="27" t="str">
        <f>_xlfn.LET(_xlpm.maxVal,_xlfn.MAXIFS($K:$K,$A:$A,A255),IF(AND(_xlpm.maxVal=K255,N255&lt;&gt;0),_xlpm.maxVal,""))</f>
        <v/>
      </c>
      <c r="X255" s="27" t="str">
        <f>_xlfn.LET(_xlpm.maxVal,_xlfn.MAXIFS($K:$K,$A:$A,A255),IF(AND(_xlpm.maxVal=K255,O255&lt;&gt;0),_xlpm.maxVal,""))</f>
        <v/>
      </c>
      <c r="Y255" s="27">
        <f>_xlfn.LET(_xlpm.maxVal,_xlfn.MAXIFS($K:$K,$A:$A,A255),IF(AND(_xlpm.maxVal=K255,P255&lt;&gt;0),_xlpm.maxVal,""))</f>
        <v>0.25</v>
      </c>
      <c r="Z255" s="27">
        <f>_xlfn.LET(_xlpm.maxVal,_xlfn.MAXIFS($K:$K,$A:$A,A255),IF(AND(_xlpm.maxVal=K255,Q255&lt;&gt;0),_xlpm.maxVal,""))</f>
        <v>0.25</v>
      </c>
      <c r="AA255" s="27">
        <f>_xlfn.LET(_xlpm.maxVal,_xlfn.MAXIFS($K:$K,$A:$A,A255),IF(AND(_xlpm.maxVal=K255,R255&lt;&gt;0),_xlpm.maxVal,""))</f>
        <v>0.25</v>
      </c>
      <c r="AB255" s="27">
        <f>_xlfn.LET(_xlpm.maxVal,_xlfn.MAXIFS($K:$K,$A:$A,A255),IF(AND(_xlpm.maxVal=K255,S255&lt;&gt;0),_xlpm.maxVal,""))</f>
        <v>0.25</v>
      </c>
      <c r="AC255" s="27" t="str">
        <f>_xlfn.LET(_xlpm.maxVal,_xlfn.MAXIFS($K:$K,$A:$A,A255),IF(AND(_xlpm.maxVal=K255,T255&lt;&gt;0),_xlpm.maxVal,""))</f>
        <v/>
      </c>
      <c r="AD255" s="27">
        <f>$K255*L255*负载统计!$K$3/60</f>
        <v>0</v>
      </c>
      <c r="AE255" s="27">
        <f>$K255*L255*负载统计!$K$4/60</f>
        <v>0</v>
      </c>
      <c r="AF255" s="27">
        <f>$K255*N255*负载统计!$K$5/60</f>
        <v>0</v>
      </c>
      <c r="AG255" s="27">
        <f>$K255*O255*负载统计!$K$6/60</f>
        <v>0</v>
      </c>
      <c r="AH255" s="27">
        <f>$K255*P255*负载统计!$K$7/60</f>
        <v>0.0282083333333333</v>
      </c>
      <c r="AI255" s="27">
        <f>$K255*Q255*负载统计!$K$8/60</f>
        <v>0.181666666666667</v>
      </c>
      <c r="AJ255" s="27">
        <f>$K255*R255*负载统计!$K$9/60</f>
        <v>0.0577083333333333</v>
      </c>
      <c r="AK255" s="27">
        <f>$K255*S255*负载统计!$K$10/60</f>
        <v>0.00208333333333333</v>
      </c>
      <c r="AL255" s="27">
        <f>$K255*T255*负载统计!$K$11/60</f>
        <v>0</v>
      </c>
    </row>
    <row r="256" spans="1:38">
      <c r="A256" s="1">
        <v>116</v>
      </c>
      <c r="B256" s="24" t="s">
        <v>1486</v>
      </c>
      <c r="C256" s="24" t="s">
        <v>1476</v>
      </c>
      <c r="D256" s="24" t="s">
        <v>848</v>
      </c>
      <c r="E256" s="24" t="s">
        <v>849</v>
      </c>
      <c r="F256" s="24" t="s">
        <v>850</v>
      </c>
      <c r="G256" s="25">
        <f>VLOOKUP(A256,负载电气特性!A:G,7,FALSE)</f>
        <v>28</v>
      </c>
      <c r="H256" s="26" t="s">
        <v>61</v>
      </c>
      <c r="I256" s="25" t="s">
        <v>1706</v>
      </c>
      <c r="J256" s="25" t="s">
        <v>1708</v>
      </c>
      <c r="K256" s="25">
        <v>0</v>
      </c>
      <c r="L256" s="25">
        <v>1</v>
      </c>
      <c r="M256" s="25">
        <v>1</v>
      </c>
      <c r="N256" s="25">
        <v>1</v>
      </c>
      <c r="O256" s="25">
        <v>1</v>
      </c>
      <c r="P256" s="25">
        <v>0</v>
      </c>
      <c r="Q256" s="25">
        <v>0</v>
      </c>
      <c r="R256" s="25">
        <v>0</v>
      </c>
      <c r="S256" s="25">
        <v>0</v>
      </c>
      <c r="T256" s="25">
        <v>1</v>
      </c>
      <c r="U256" s="27" t="str">
        <f>_xlfn.LET(_xlpm.maxVal,_xlfn.MAXIFS($K:$K,$A:$A,A256),IF(AND(_xlpm.maxVal=K256,L256&lt;&gt;0),_xlpm.maxVal,""))</f>
        <v/>
      </c>
      <c r="V256" s="27" t="str">
        <f>_xlfn.LET(_xlpm.maxVal,_xlfn.MAXIFS($K:$K,$A:$A,A256),IF(AND(_xlpm.maxVal=K256,M256&lt;&gt;0),_xlpm.maxVal,""))</f>
        <v/>
      </c>
      <c r="W256" s="27" t="str">
        <f>_xlfn.LET(_xlpm.maxVal,_xlfn.MAXIFS($K:$K,$A:$A,A256),IF(AND(_xlpm.maxVal=K256,N256&lt;&gt;0),_xlpm.maxVal,""))</f>
        <v/>
      </c>
      <c r="X256" s="27" t="str">
        <f>_xlfn.LET(_xlpm.maxVal,_xlfn.MAXIFS($K:$K,$A:$A,A256),IF(AND(_xlpm.maxVal=K256,O256&lt;&gt;0),_xlpm.maxVal,""))</f>
        <v/>
      </c>
      <c r="Y256" s="27" t="str">
        <f>_xlfn.LET(_xlpm.maxVal,_xlfn.MAXIFS($K:$K,$A:$A,A256),IF(AND(_xlpm.maxVal=K256,P256&lt;&gt;0),_xlpm.maxVal,""))</f>
        <v/>
      </c>
      <c r="Z256" s="27" t="str">
        <f>_xlfn.LET(_xlpm.maxVal,_xlfn.MAXIFS($K:$K,$A:$A,A256),IF(AND(_xlpm.maxVal=K256,Q256&lt;&gt;0),_xlpm.maxVal,""))</f>
        <v/>
      </c>
      <c r="AA256" s="27" t="str">
        <f>_xlfn.LET(_xlpm.maxVal,_xlfn.MAXIFS($K:$K,$A:$A,A256),IF(AND(_xlpm.maxVal=K256,R256&lt;&gt;0),_xlpm.maxVal,""))</f>
        <v/>
      </c>
      <c r="AB256" s="27" t="str">
        <f>_xlfn.LET(_xlpm.maxVal,_xlfn.MAXIFS($K:$K,$A:$A,A256),IF(AND(_xlpm.maxVal=K256,S256&lt;&gt;0),_xlpm.maxVal,""))</f>
        <v/>
      </c>
      <c r="AC256" s="27" t="str">
        <f>_xlfn.LET(_xlpm.maxVal,_xlfn.MAXIFS($K:$K,$A:$A,A256),IF(AND(_xlpm.maxVal=K256,T256&lt;&gt;0),_xlpm.maxVal,""))</f>
        <v/>
      </c>
      <c r="AD256" s="27">
        <f>$K256*L256*负载统计!$K$3/60</f>
        <v>0</v>
      </c>
      <c r="AE256" s="27">
        <f>$K256*L256*负载统计!$K$4/60</f>
        <v>0</v>
      </c>
      <c r="AF256" s="27">
        <f>$K256*N256*负载统计!$K$5/60</f>
        <v>0</v>
      </c>
      <c r="AG256" s="27">
        <f>$K256*O256*负载统计!$K$6/60</f>
        <v>0</v>
      </c>
      <c r="AH256" s="27">
        <f>$K256*P256*负载统计!$K$7/60</f>
        <v>0</v>
      </c>
      <c r="AI256" s="27">
        <f>$K256*Q256*负载统计!$K$8/60</f>
        <v>0</v>
      </c>
      <c r="AJ256" s="27">
        <f>$K256*R256*负载统计!$K$9/60</f>
        <v>0</v>
      </c>
      <c r="AK256" s="27">
        <f>$K256*S256*负载统计!$K$10/60</f>
        <v>0</v>
      </c>
      <c r="AL256" s="27">
        <f>$K256*T256*负载统计!$K$11/60</f>
        <v>0</v>
      </c>
    </row>
    <row r="257" spans="1:38">
      <c r="A257" s="1">
        <v>117</v>
      </c>
      <c r="B257" s="24" t="s">
        <v>1487</v>
      </c>
      <c r="C257" s="24" t="s">
        <v>1476</v>
      </c>
      <c r="D257" s="24" t="s">
        <v>852</v>
      </c>
      <c r="E257" s="24" t="s">
        <v>853</v>
      </c>
      <c r="F257" s="24" t="s">
        <v>854</v>
      </c>
      <c r="G257" s="25">
        <f>VLOOKUP(A257,负载电气特性!A:G,7,FALSE)</f>
        <v>28</v>
      </c>
      <c r="H257" s="26" t="s">
        <v>61</v>
      </c>
      <c r="I257" s="25" t="s">
        <v>1706</v>
      </c>
      <c r="J257" s="25" t="s">
        <v>1707</v>
      </c>
      <c r="K257" s="25">
        <v>0.01</v>
      </c>
      <c r="L257" s="25">
        <v>1</v>
      </c>
      <c r="M257" s="25">
        <v>1</v>
      </c>
      <c r="N257" s="25">
        <v>1</v>
      </c>
      <c r="O257" s="25">
        <v>1</v>
      </c>
      <c r="P257" s="25">
        <v>1</v>
      </c>
      <c r="Q257" s="25">
        <v>1</v>
      </c>
      <c r="R257" s="25">
        <v>1</v>
      </c>
      <c r="S257" s="25">
        <v>1</v>
      </c>
      <c r="T257" s="25">
        <v>1</v>
      </c>
      <c r="U257" s="27">
        <f>_xlfn.LET(_xlpm.maxVal,_xlfn.MAXIFS($K:$K,$A:$A,A257),IF(AND(_xlpm.maxVal=K257,L257&lt;&gt;0),_xlpm.maxVal,""))</f>
        <v>0.01</v>
      </c>
      <c r="V257" s="27">
        <f>_xlfn.LET(_xlpm.maxVal,_xlfn.MAXIFS($K:$K,$A:$A,A257),IF(AND(_xlpm.maxVal=K257,M257&lt;&gt;0),_xlpm.maxVal,""))</f>
        <v>0.01</v>
      </c>
      <c r="W257" s="27">
        <f>_xlfn.LET(_xlpm.maxVal,_xlfn.MAXIFS($K:$K,$A:$A,A257),IF(AND(_xlpm.maxVal=K257,N257&lt;&gt;0),_xlpm.maxVal,""))</f>
        <v>0.01</v>
      </c>
      <c r="X257" s="27">
        <f>_xlfn.LET(_xlpm.maxVal,_xlfn.MAXIFS($K:$K,$A:$A,A257),IF(AND(_xlpm.maxVal=K257,O257&lt;&gt;0),_xlpm.maxVal,""))</f>
        <v>0.01</v>
      </c>
      <c r="Y257" s="27">
        <f>_xlfn.LET(_xlpm.maxVal,_xlfn.MAXIFS($K:$K,$A:$A,A257),IF(AND(_xlpm.maxVal=K257,P257&lt;&gt;0),_xlpm.maxVal,""))</f>
        <v>0.01</v>
      </c>
      <c r="Z257" s="27">
        <f>_xlfn.LET(_xlpm.maxVal,_xlfn.MAXIFS($K:$K,$A:$A,A257),IF(AND(_xlpm.maxVal=K257,Q257&lt;&gt;0),_xlpm.maxVal,""))</f>
        <v>0.01</v>
      </c>
      <c r="AA257" s="27">
        <f>_xlfn.LET(_xlpm.maxVal,_xlfn.MAXIFS($K:$K,$A:$A,A257),IF(AND(_xlpm.maxVal=K257,R257&lt;&gt;0),_xlpm.maxVal,""))</f>
        <v>0.01</v>
      </c>
      <c r="AB257" s="27">
        <f>_xlfn.LET(_xlpm.maxVal,_xlfn.MAXIFS($K:$K,$A:$A,A257),IF(AND(_xlpm.maxVal=K257,S257&lt;&gt;0),_xlpm.maxVal,""))</f>
        <v>0.01</v>
      </c>
      <c r="AC257" s="27">
        <f>_xlfn.LET(_xlpm.maxVal,_xlfn.MAXIFS($K:$K,$A:$A,A257),IF(AND(_xlpm.maxVal=K257,T257&lt;&gt;0),_xlpm.maxVal,""))</f>
        <v>0.01</v>
      </c>
      <c r="AD257" s="27">
        <f>$K257*L257*负载统计!$K$3/60</f>
        <v>0</v>
      </c>
      <c r="AE257" s="27">
        <f>$K257*L257*负载统计!$K$4/60</f>
        <v>0</v>
      </c>
      <c r="AF257" s="27">
        <f>$K257*N257*负载统计!$K$5/60</f>
        <v>0.000166666666666667</v>
      </c>
      <c r="AG257" s="27">
        <f>$K257*O257*负载统计!$K$6/60</f>
        <v>0.0005</v>
      </c>
      <c r="AH257" s="27">
        <f>$K257*P257*负载统计!$K$7/60</f>
        <v>0.00112833333333333</v>
      </c>
      <c r="AI257" s="27">
        <f>$K257*Q257*负载统计!$K$8/60</f>
        <v>0.00726666666666667</v>
      </c>
      <c r="AJ257" s="27">
        <f>$K257*R257*负载统计!$K$9/60</f>
        <v>0.00230833333333333</v>
      </c>
      <c r="AK257" s="27">
        <f>$K257*S257*负载统计!$K$10/60</f>
        <v>8.33333333333333e-5</v>
      </c>
      <c r="AL257" s="27">
        <f>$K257*T257*负载统计!$K$11/60</f>
        <v>0.000666666666666667</v>
      </c>
    </row>
    <row r="258" spans="1:38">
      <c r="A258" s="1">
        <v>117</v>
      </c>
      <c r="B258" s="24" t="s">
        <v>1487</v>
      </c>
      <c r="C258" s="24" t="s">
        <v>1476</v>
      </c>
      <c r="D258" s="24" t="s">
        <v>852</v>
      </c>
      <c r="E258" s="24" t="s">
        <v>853</v>
      </c>
      <c r="F258" s="24" t="s">
        <v>854</v>
      </c>
      <c r="G258" s="25">
        <f>VLOOKUP(A258,负载电气特性!A:G,7,FALSE)</f>
        <v>28</v>
      </c>
      <c r="H258" s="26" t="s">
        <v>61</v>
      </c>
      <c r="I258" s="25" t="s">
        <v>1706</v>
      </c>
      <c r="J258" s="25" t="s">
        <v>1708</v>
      </c>
      <c r="K258" s="25">
        <v>0</v>
      </c>
      <c r="L258" s="25">
        <v>0</v>
      </c>
      <c r="M258" s="25">
        <v>0</v>
      </c>
      <c r="N258" s="25">
        <v>0</v>
      </c>
      <c r="O258" s="25">
        <v>0</v>
      </c>
      <c r="P258" s="25">
        <v>0</v>
      </c>
      <c r="Q258" s="25">
        <v>0</v>
      </c>
      <c r="R258" s="25">
        <v>0</v>
      </c>
      <c r="S258" s="25">
        <v>0</v>
      </c>
      <c r="T258" s="25">
        <v>0</v>
      </c>
      <c r="U258" s="27" t="str">
        <f>_xlfn.LET(_xlpm.maxVal,_xlfn.MAXIFS($K:$K,$A:$A,A258),IF(AND(_xlpm.maxVal=K258,L258&lt;&gt;0),_xlpm.maxVal,""))</f>
        <v/>
      </c>
      <c r="V258" s="27" t="str">
        <f>_xlfn.LET(_xlpm.maxVal,_xlfn.MAXIFS($K:$K,$A:$A,A258),IF(AND(_xlpm.maxVal=K258,M258&lt;&gt;0),_xlpm.maxVal,""))</f>
        <v/>
      </c>
      <c r="W258" s="27" t="str">
        <f>_xlfn.LET(_xlpm.maxVal,_xlfn.MAXIFS($K:$K,$A:$A,A258),IF(AND(_xlpm.maxVal=K258,N258&lt;&gt;0),_xlpm.maxVal,""))</f>
        <v/>
      </c>
      <c r="X258" s="27" t="str">
        <f>_xlfn.LET(_xlpm.maxVal,_xlfn.MAXIFS($K:$K,$A:$A,A258),IF(AND(_xlpm.maxVal=K258,O258&lt;&gt;0),_xlpm.maxVal,""))</f>
        <v/>
      </c>
      <c r="Y258" s="27" t="str">
        <f>_xlfn.LET(_xlpm.maxVal,_xlfn.MAXIFS($K:$K,$A:$A,A258),IF(AND(_xlpm.maxVal=K258,P258&lt;&gt;0),_xlpm.maxVal,""))</f>
        <v/>
      </c>
      <c r="Z258" s="27" t="str">
        <f>_xlfn.LET(_xlpm.maxVal,_xlfn.MAXIFS($K:$K,$A:$A,A258),IF(AND(_xlpm.maxVal=K258,Q258&lt;&gt;0),_xlpm.maxVal,""))</f>
        <v/>
      </c>
      <c r="AA258" s="27" t="str">
        <f>_xlfn.LET(_xlpm.maxVal,_xlfn.MAXIFS($K:$K,$A:$A,A258),IF(AND(_xlpm.maxVal=K258,R258&lt;&gt;0),_xlpm.maxVal,""))</f>
        <v/>
      </c>
      <c r="AB258" s="27" t="str">
        <f>_xlfn.LET(_xlpm.maxVal,_xlfn.MAXIFS($K:$K,$A:$A,A258),IF(AND(_xlpm.maxVal=K258,S258&lt;&gt;0),_xlpm.maxVal,""))</f>
        <v/>
      </c>
      <c r="AC258" s="27" t="str">
        <f>_xlfn.LET(_xlpm.maxVal,_xlfn.MAXIFS($K:$K,$A:$A,A258),IF(AND(_xlpm.maxVal=K258,T258&lt;&gt;0),_xlpm.maxVal,""))</f>
        <v/>
      </c>
      <c r="AD258" s="27">
        <f>$K258*L258*负载统计!$K$3/60</f>
        <v>0</v>
      </c>
      <c r="AE258" s="27">
        <f>$K258*L258*负载统计!$K$4/60</f>
        <v>0</v>
      </c>
      <c r="AF258" s="27">
        <f>$K258*N258*负载统计!$K$5/60</f>
        <v>0</v>
      </c>
      <c r="AG258" s="27">
        <f>$K258*O258*负载统计!$K$6/60</f>
        <v>0</v>
      </c>
      <c r="AH258" s="27">
        <f>$K258*P258*负载统计!$K$7/60</f>
        <v>0</v>
      </c>
      <c r="AI258" s="27">
        <f>$K258*Q258*负载统计!$K$8/60</f>
        <v>0</v>
      </c>
      <c r="AJ258" s="27">
        <f>$K258*R258*负载统计!$K$9/60</f>
        <v>0</v>
      </c>
      <c r="AK258" s="27">
        <f>$K258*S258*负载统计!$K$10/60</f>
        <v>0</v>
      </c>
      <c r="AL258" s="27">
        <f>$K258*T258*负载统计!$K$11/60</f>
        <v>0</v>
      </c>
    </row>
    <row r="259" spans="1:38">
      <c r="A259" s="1">
        <v>118</v>
      </c>
      <c r="B259" s="24" t="s">
        <v>1488</v>
      </c>
      <c r="C259" s="24" t="s">
        <v>1476</v>
      </c>
      <c r="D259" s="24" t="s">
        <v>855</v>
      </c>
      <c r="E259" s="24" t="s">
        <v>856</v>
      </c>
      <c r="F259" s="24" t="s">
        <v>857</v>
      </c>
      <c r="G259" s="25">
        <f>VLOOKUP(A259,负载电气特性!A:G,7,FALSE)</f>
        <v>28</v>
      </c>
      <c r="H259" s="26" t="s">
        <v>66</v>
      </c>
      <c r="I259" s="25" t="s">
        <v>1706</v>
      </c>
      <c r="J259" s="25" t="s">
        <v>1707</v>
      </c>
      <c r="K259" s="25">
        <v>0.02</v>
      </c>
      <c r="L259" s="25">
        <v>1</v>
      </c>
      <c r="M259" s="25">
        <v>1</v>
      </c>
      <c r="N259" s="25">
        <v>1</v>
      </c>
      <c r="O259" s="25">
        <v>1</v>
      </c>
      <c r="P259" s="25">
        <v>1</v>
      </c>
      <c r="Q259" s="25">
        <v>1</v>
      </c>
      <c r="R259" s="25">
        <v>1</v>
      </c>
      <c r="S259" s="25">
        <v>1</v>
      </c>
      <c r="T259" s="25">
        <v>1</v>
      </c>
      <c r="U259" s="27">
        <f>_xlfn.LET(_xlpm.maxVal,_xlfn.MAXIFS($K:$K,$A:$A,A259),IF(AND(_xlpm.maxVal=K259,L259&lt;&gt;0),_xlpm.maxVal,""))</f>
        <v>0.02</v>
      </c>
      <c r="V259" s="27">
        <f>_xlfn.LET(_xlpm.maxVal,_xlfn.MAXIFS($K:$K,$A:$A,A259),IF(AND(_xlpm.maxVal=K259,M259&lt;&gt;0),_xlpm.maxVal,""))</f>
        <v>0.02</v>
      </c>
      <c r="W259" s="27">
        <f>_xlfn.LET(_xlpm.maxVal,_xlfn.MAXIFS($K:$K,$A:$A,A259),IF(AND(_xlpm.maxVal=K259,N259&lt;&gt;0),_xlpm.maxVal,""))</f>
        <v>0.02</v>
      </c>
      <c r="X259" s="27">
        <f>_xlfn.LET(_xlpm.maxVal,_xlfn.MAXIFS($K:$K,$A:$A,A259),IF(AND(_xlpm.maxVal=K259,O259&lt;&gt;0),_xlpm.maxVal,""))</f>
        <v>0.02</v>
      </c>
      <c r="Y259" s="27">
        <f>_xlfn.LET(_xlpm.maxVal,_xlfn.MAXIFS($K:$K,$A:$A,A259),IF(AND(_xlpm.maxVal=K259,P259&lt;&gt;0),_xlpm.maxVal,""))</f>
        <v>0.02</v>
      </c>
      <c r="Z259" s="27">
        <f>_xlfn.LET(_xlpm.maxVal,_xlfn.MAXIFS($K:$K,$A:$A,A259),IF(AND(_xlpm.maxVal=K259,Q259&lt;&gt;0),_xlpm.maxVal,""))</f>
        <v>0.02</v>
      </c>
      <c r="AA259" s="27">
        <f>_xlfn.LET(_xlpm.maxVal,_xlfn.MAXIFS($K:$K,$A:$A,A259),IF(AND(_xlpm.maxVal=K259,R259&lt;&gt;0),_xlpm.maxVal,""))</f>
        <v>0.02</v>
      </c>
      <c r="AB259" s="27">
        <f>_xlfn.LET(_xlpm.maxVal,_xlfn.MAXIFS($K:$K,$A:$A,A259),IF(AND(_xlpm.maxVal=K259,S259&lt;&gt;0),_xlpm.maxVal,""))</f>
        <v>0.02</v>
      </c>
      <c r="AC259" s="27">
        <f>_xlfn.LET(_xlpm.maxVal,_xlfn.MAXIFS($K:$K,$A:$A,A259),IF(AND(_xlpm.maxVal=K259,T259&lt;&gt;0),_xlpm.maxVal,""))</f>
        <v>0.02</v>
      </c>
      <c r="AD259" s="27">
        <f>$K259*L259*负载统计!$K$3/60</f>
        <v>0</v>
      </c>
      <c r="AE259" s="27">
        <f>$K259*L259*负载统计!$K$4/60</f>
        <v>0</v>
      </c>
      <c r="AF259" s="27">
        <f>$K259*N259*负载统计!$K$5/60</f>
        <v>0.000333333333333333</v>
      </c>
      <c r="AG259" s="27">
        <f>$K259*O259*负载统计!$K$6/60</f>
        <v>0.001</v>
      </c>
      <c r="AH259" s="27">
        <f>$K259*P259*负载统计!$K$7/60</f>
        <v>0.00225666666666667</v>
      </c>
      <c r="AI259" s="27">
        <f>$K259*Q259*负载统计!$K$8/60</f>
        <v>0.0145333333333333</v>
      </c>
      <c r="AJ259" s="27">
        <f>$K259*R259*负载统计!$K$9/60</f>
        <v>0.00461666666666667</v>
      </c>
      <c r="AK259" s="27">
        <f>$K259*S259*负载统计!$K$10/60</f>
        <v>0.000166666666666667</v>
      </c>
      <c r="AL259" s="27">
        <f>$K259*T259*负载统计!$K$11/60</f>
        <v>0.00133333333333333</v>
      </c>
    </row>
    <row r="260" spans="1:38">
      <c r="A260" s="1">
        <v>118</v>
      </c>
      <c r="B260" s="24" t="s">
        <v>1488</v>
      </c>
      <c r="C260" s="24" t="s">
        <v>1476</v>
      </c>
      <c r="D260" s="24" t="s">
        <v>855</v>
      </c>
      <c r="E260" s="24" t="s">
        <v>856</v>
      </c>
      <c r="F260" s="24" t="s">
        <v>857</v>
      </c>
      <c r="G260" s="25">
        <f>VLOOKUP(A260,负载电气特性!A:G,7,FALSE)</f>
        <v>28</v>
      </c>
      <c r="H260" s="26" t="s">
        <v>66</v>
      </c>
      <c r="I260" s="25" t="s">
        <v>1706</v>
      </c>
      <c r="J260" s="25" t="s">
        <v>1708</v>
      </c>
      <c r="K260" s="25">
        <v>0</v>
      </c>
      <c r="L260" s="25">
        <v>0</v>
      </c>
      <c r="M260" s="25">
        <v>0</v>
      </c>
      <c r="N260" s="25">
        <v>0</v>
      </c>
      <c r="O260" s="25">
        <v>0</v>
      </c>
      <c r="P260" s="25">
        <v>0</v>
      </c>
      <c r="Q260" s="25">
        <v>0</v>
      </c>
      <c r="R260" s="25">
        <v>0</v>
      </c>
      <c r="S260" s="25">
        <v>0</v>
      </c>
      <c r="T260" s="25">
        <v>0</v>
      </c>
      <c r="U260" s="27" t="str">
        <f>_xlfn.LET(_xlpm.maxVal,_xlfn.MAXIFS($K:$K,$A:$A,A260),IF(AND(_xlpm.maxVal=K260,L260&lt;&gt;0),_xlpm.maxVal,""))</f>
        <v/>
      </c>
      <c r="V260" s="27" t="str">
        <f>_xlfn.LET(_xlpm.maxVal,_xlfn.MAXIFS($K:$K,$A:$A,A260),IF(AND(_xlpm.maxVal=K260,M260&lt;&gt;0),_xlpm.maxVal,""))</f>
        <v/>
      </c>
      <c r="W260" s="27" t="str">
        <f>_xlfn.LET(_xlpm.maxVal,_xlfn.MAXIFS($K:$K,$A:$A,A260),IF(AND(_xlpm.maxVal=K260,N260&lt;&gt;0),_xlpm.maxVal,""))</f>
        <v/>
      </c>
      <c r="X260" s="27" t="str">
        <f>_xlfn.LET(_xlpm.maxVal,_xlfn.MAXIFS($K:$K,$A:$A,A260),IF(AND(_xlpm.maxVal=K260,O260&lt;&gt;0),_xlpm.maxVal,""))</f>
        <v/>
      </c>
      <c r="Y260" s="27" t="str">
        <f>_xlfn.LET(_xlpm.maxVal,_xlfn.MAXIFS($K:$K,$A:$A,A260),IF(AND(_xlpm.maxVal=K260,P260&lt;&gt;0),_xlpm.maxVal,""))</f>
        <v/>
      </c>
      <c r="Z260" s="27" t="str">
        <f>_xlfn.LET(_xlpm.maxVal,_xlfn.MAXIFS($K:$K,$A:$A,A260),IF(AND(_xlpm.maxVal=K260,Q260&lt;&gt;0),_xlpm.maxVal,""))</f>
        <v/>
      </c>
      <c r="AA260" s="27" t="str">
        <f>_xlfn.LET(_xlpm.maxVal,_xlfn.MAXIFS($K:$K,$A:$A,A260),IF(AND(_xlpm.maxVal=K260,R260&lt;&gt;0),_xlpm.maxVal,""))</f>
        <v/>
      </c>
      <c r="AB260" s="27" t="str">
        <f>_xlfn.LET(_xlpm.maxVal,_xlfn.MAXIFS($K:$K,$A:$A,A260),IF(AND(_xlpm.maxVal=K260,S260&lt;&gt;0),_xlpm.maxVal,""))</f>
        <v/>
      </c>
      <c r="AC260" s="27" t="str">
        <f>_xlfn.LET(_xlpm.maxVal,_xlfn.MAXIFS($K:$K,$A:$A,A260),IF(AND(_xlpm.maxVal=K260,T260&lt;&gt;0),_xlpm.maxVal,""))</f>
        <v/>
      </c>
      <c r="AD260" s="27">
        <f>$K260*L260*负载统计!$K$3/60</f>
        <v>0</v>
      </c>
      <c r="AE260" s="27">
        <f>$K260*L260*负载统计!$K$4/60</f>
        <v>0</v>
      </c>
      <c r="AF260" s="27">
        <f>$K260*N260*负载统计!$K$5/60</f>
        <v>0</v>
      </c>
      <c r="AG260" s="27">
        <f>$K260*O260*负载统计!$K$6/60</f>
        <v>0</v>
      </c>
      <c r="AH260" s="27">
        <f>$K260*P260*负载统计!$K$7/60</f>
        <v>0</v>
      </c>
      <c r="AI260" s="27">
        <f>$K260*Q260*负载统计!$K$8/60</f>
        <v>0</v>
      </c>
      <c r="AJ260" s="27">
        <f>$K260*R260*负载统计!$K$9/60</f>
        <v>0</v>
      </c>
      <c r="AK260" s="27">
        <f>$K260*S260*负载统计!$K$10/60</f>
        <v>0</v>
      </c>
      <c r="AL260" s="27">
        <f>$K260*T260*负载统计!$K$11/60</f>
        <v>0</v>
      </c>
    </row>
    <row r="261" spans="1:38">
      <c r="A261" s="1">
        <v>119</v>
      </c>
      <c r="B261" s="24" t="s">
        <v>1489</v>
      </c>
      <c r="C261" s="24" t="s">
        <v>1476</v>
      </c>
      <c r="D261" s="24" t="s">
        <v>858</v>
      </c>
      <c r="E261" s="24" t="s">
        <v>859</v>
      </c>
      <c r="F261" s="24" t="s">
        <v>860</v>
      </c>
      <c r="G261" s="25">
        <f>VLOOKUP(A261,负载电气特性!A:G,7,FALSE)</f>
        <v>28</v>
      </c>
      <c r="H261" s="26" t="s">
        <v>66</v>
      </c>
      <c r="I261" s="25" t="s">
        <v>1706</v>
      </c>
      <c r="J261" s="25" t="s">
        <v>1707</v>
      </c>
      <c r="K261" s="25">
        <v>0.0084</v>
      </c>
      <c r="L261" s="25">
        <v>1</v>
      </c>
      <c r="M261" s="25">
        <v>1</v>
      </c>
      <c r="N261" s="25">
        <v>1</v>
      </c>
      <c r="O261" s="25">
        <v>1</v>
      </c>
      <c r="P261" s="25">
        <v>1</v>
      </c>
      <c r="Q261" s="25">
        <v>1</v>
      </c>
      <c r="R261" s="25">
        <v>1</v>
      </c>
      <c r="S261" s="25">
        <v>1</v>
      </c>
      <c r="T261" s="25">
        <v>1</v>
      </c>
      <c r="U261" s="27">
        <f>_xlfn.LET(_xlpm.maxVal,_xlfn.MAXIFS($K:$K,$A:$A,A261),IF(AND(_xlpm.maxVal=K261,L261&lt;&gt;0),_xlpm.maxVal,""))</f>
        <v>0.0084</v>
      </c>
      <c r="V261" s="27">
        <f>_xlfn.LET(_xlpm.maxVal,_xlfn.MAXIFS($K:$K,$A:$A,A261),IF(AND(_xlpm.maxVal=K261,M261&lt;&gt;0),_xlpm.maxVal,""))</f>
        <v>0.0084</v>
      </c>
      <c r="W261" s="27">
        <f>_xlfn.LET(_xlpm.maxVal,_xlfn.MAXIFS($K:$K,$A:$A,A261),IF(AND(_xlpm.maxVal=K261,N261&lt;&gt;0),_xlpm.maxVal,""))</f>
        <v>0.0084</v>
      </c>
      <c r="X261" s="27">
        <f>_xlfn.LET(_xlpm.maxVal,_xlfn.MAXIFS($K:$K,$A:$A,A261),IF(AND(_xlpm.maxVal=K261,O261&lt;&gt;0),_xlpm.maxVal,""))</f>
        <v>0.0084</v>
      </c>
      <c r="Y261" s="27">
        <f>_xlfn.LET(_xlpm.maxVal,_xlfn.MAXIFS($K:$K,$A:$A,A261),IF(AND(_xlpm.maxVal=K261,P261&lt;&gt;0),_xlpm.maxVal,""))</f>
        <v>0.0084</v>
      </c>
      <c r="Z261" s="27">
        <f>_xlfn.LET(_xlpm.maxVal,_xlfn.MAXIFS($K:$K,$A:$A,A261),IF(AND(_xlpm.maxVal=K261,Q261&lt;&gt;0),_xlpm.maxVal,""))</f>
        <v>0.0084</v>
      </c>
      <c r="AA261" s="27">
        <f>_xlfn.LET(_xlpm.maxVal,_xlfn.MAXIFS($K:$K,$A:$A,A261),IF(AND(_xlpm.maxVal=K261,R261&lt;&gt;0),_xlpm.maxVal,""))</f>
        <v>0.0084</v>
      </c>
      <c r="AB261" s="27">
        <f>_xlfn.LET(_xlpm.maxVal,_xlfn.MAXIFS($K:$K,$A:$A,A261),IF(AND(_xlpm.maxVal=K261,S261&lt;&gt;0),_xlpm.maxVal,""))</f>
        <v>0.0084</v>
      </c>
      <c r="AC261" s="27">
        <f>_xlfn.LET(_xlpm.maxVal,_xlfn.MAXIFS($K:$K,$A:$A,A261),IF(AND(_xlpm.maxVal=K261,T261&lt;&gt;0),_xlpm.maxVal,""))</f>
        <v>0.0084</v>
      </c>
      <c r="AD261" s="27">
        <f>$K261*L261*负载统计!$K$3/60</f>
        <v>0</v>
      </c>
      <c r="AE261" s="27">
        <f>$K261*L261*负载统计!$K$4/60</f>
        <v>0</v>
      </c>
      <c r="AF261" s="27">
        <f>$K261*N261*负载统计!$K$5/60</f>
        <v>0.00014</v>
      </c>
      <c r="AG261" s="27">
        <f>$K261*O261*负载统计!$K$6/60</f>
        <v>0.00042</v>
      </c>
      <c r="AH261" s="27">
        <f>$K261*P261*负载统计!$K$7/60</f>
        <v>0.0009478</v>
      </c>
      <c r="AI261" s="27">
        <f>$K261*Q261*负载统计!$K$8/60</f>
        <v>0.006104</v>
      </c>
      <c r="AJ261" s="27">
        <f>$K261*R261*负载统计!$K$9/60</f>
        <v>0.001939</v>
      </c>
      <c r="AK261" s="27">
        <f>$K261*S261*负载统计!$K$10/60</f>
        <v>7e-5</v>
      </c>
      <c r="AL261" s="27">
        <f>$K261*T261*负载统计!$K$11/60</f>
        <v>0.00056</v>
      </c>
    </row>
    <row r="262" spans="1:38">
      <c r="A262" s="1">
        <v>119</v>
      </c>
      <c r="B262" s="24" t="s">
        <v>1489</v>
      </c>
      <c r="C262" s="24" t="s">
        <v>1476</v>
      </c>
      <c r="D262" s="24" t="s">
        <v>858</v>
      </c>
      <c r="E262" s="24" t="s">
        <v>859</v>
      </c>
      <c r="F262" s="24" t="s">
        <v>860</v>
      </c>
      <c r="G262" s="25">
        <f>VLOOKUP(A262,负载电气特性!A:G,7,FALSE)</f>
        <v>28</v>
      </c>
      <c r="H262" s="26" t="s">
        <v>66</v>
      </c>
      <c r="I262" s="25" t="s">
        <v>1706</v>
      </c>
      <c r="J262" s="25" t="s">
        <v>1708</v>
      </c>
      <c r="K262" s="25">
        <v>0</v>
      </c>
      <c r="L262" s="25">
        <v>0</v>
      </c>
      <c r="M262" s="25">
        <v>0</v>
      </c>
      <c r="N262" s="25">
        <v>0</v>
      </c>
      <c r="O262" s="25">
        <v>0</v>
      </c>
      <c r="P262" s="25">
        <v>0</v>
      </c>
      <c r="Q262" s="25">
        <v>0</v>
      </c>
      <c r="R262" s="25">
        <v>0</v>
      </c>
      <c r="S262" s="25">
        <v>0</v>
      </c>
      <c r="T262" s="25">
        <v>0</v>
      </c>
      <c r="U262" s="27" t="str">
        <f>_xlfn.LET(_xlpm.maxVal,_xlfn.MAXIFS($K:$K,$A:$A,A262),IF(AND(_xlpm.maxVal=K262,L262&lt;&gt;0),_xlpm.maxVal,""))</f>
        <v/>
      </c>
      <c r="V262" s="27" t="str">
        <f>_xlfn.LET(_xlpm.maxVal,_xlfn.MAXIFS($K:$K,$A:$A,A262),IF(AND(_xlpm.maxVal=K262,M262&lt;&gt;0),_xlpm.maxVal,""))</f>
        <v/>
      </c>
      <c r="W262" s="27" t="str">
        <f>_xlfn.LET(_xlpm.maxVal,_xlfn.MAXIFS($K:$K,$A:$A,A262),IF(AND(_xlpm.maxVal=K262,N262&lt;&gt;0),_xlpm.maxVal,""))</f>
        <v/>
      </c>
      <c r="X262" s="27" t="str">
        <f>_xlfn.LET(_xlpm.maxVal,_xlfn.MAXIFS($K:$K,$A:$A,A262),IF(AND(_xlpm.maxVal=K262,O262&lt;&gt;0),_xlpm.maxVal,""))</f>
        <v/>
      </c>
      <c r="Y262" s="27" t="str">
        <f>_xlfn.LET(_xlpm.maxVal,_xlfn.MAXIFS($K:$K,$A:$A,A262),IF(AND(_xlpm.maxVal=K262,P262&lt;&gt;0),_xlpm.maxVal,""))</f>
        <v/>
      </c>
      <c r="Z262" s="27" t="str">
        <f>_xlfn.LET(_xlpm.maxVal,_xlfn.MAXIFS($K:$K,$A:$A,A262),IF(AND(_xlpm.maxVal=K262,Q262&lt;&gt;0),_xlpm.maxVal,""))</f>
        <v/>
      </c>
      <c r="AA262" s="27" t="str">
        <f>_xlfn.LET(_xlpm.maxVal,_xlfn.MAXIFS($K:$K,$A:$A,A262),IF(AND(_xlpm.maxVal=K262,R262&lt;&gt;0),_xlpm.maxVal,""))</f>
        <v/>
      </c>
      <c r="AB262" s="27" t="str">
        <f>_xlfn.LET(_xlpm.maxVal,_xlfn.MAXIFS($K:$K,$A:$A,A262),IF(AND(_xlpm.maxVal=K262,S262&lt;&gt;0),_xlpm.maxVal,""))</f>
        <v/>
      </c>
      <c r="AC262" s="27" t="str">
        <f>_xlfn.LET(_xlpm.maxVal,_xlfn.MAXIFS($K:$K,$A:$A,A262),IF(AND(_xlpm.maxVal=K262,T262&lt;&gt;0),_xlpm.maxVal,""))</f>
        <v/>
      </c>
      <c r="AD262" s="27">
        <f>$K262*L262*负载统计!$K$3/60</f>
        <v>0</v>
      </c>
      <c r="AE262" s="27">
        <f>$K262*L262*负载统计!$K$4/60</f>
        <v>0</v>
      </c>
      <c r="AF262" s="27">
        <f>$K262*N262*负载统计!$K$5/60</f>
        <v>0</v>
      </c>
      <c r="AG262" s="27">
        <f>$K262*O262*负载统计!$K$6/60</f>
        <v>0</v>
      </c>
      <c r="AH262" s="27">
        <f>$K262*P262*负载统计!$K$7/60</f>
        <v>0</v>
      </c>
      <c r="AI262" s="27">
        <f>$K262*Q262*负载统计!$K$8/60</f>
        <v>0</v>
      </c>
      <c r="AJ262" s="27">
        <f>$K262*R262*负载统计!$K$9/60</f>
        <v>0</v>
      </c>
      <c r="AK262" s="27">
        <f>$K262*S262*负载统计!$K$10/60</f>
        <v>0</v>
      </c>
      <c r="AL262" s="27">
        <f>$K262*T262*负载统计!$K$11/60</f>
        <v>0</v>
      </c>
    </row>
    <row r="263" spans="1:38">
      <c r="A263" s="1">
        <v>120</v>
      </c>
      <c r="B263" s="24" t="s">
        <v>1491</v>
      </c>
      <c r="C263" s="24" t="s">
        <v>1476</v>
      </c>
      <c r="D263" s="24" t="s">
        <v>1492</v>
      </c>
      <c r="E263" s="24" t="s">
        <v>884</v>
      </c>
      <c r="F263" s="24" t="s">
        <v>885</v>
      </c>
      <c r="G263" s="25">
        <f>VLOOKUP(A263,负载电气特性!A:G,7,FALSE)</f>
        <v>28</v>
      </c>
      <c r="H263" s="26" t="s">
        <v>66</v>
      </c>
      <c r="I263" s="25" t="s">
        <v>1706</v>
      </c>
      <c r="J263" s="25" t="s">
        <v>1707</v>
      </c>
      <c r="K263" s="25">
        <v>0.02</v>
      </c>
      <c r="L263" s="25">
        <v>1</v>
      </c>
      <c r="M263" s="25">
        <v>1</v>
      </c>
      <c r="N263" s="25">
        <v>1</v>
      </c>
      <c r="O263" s="25">
        <v>1</v>
      </c>
      <c r="P263" s="25">
        <v>1</v>
      </c>
      <c r="Q263" s="25">
        <v>1</v>
      </c>
      <c r="R263" s="25">
        <v>1</v>
      </c>
      <c r="S263" s="25">
        <v>1</v>
      </c>
      <c r="T263" s="25">
        <v>1</v>
      </c>
      <c r="U263" s="27">
        <f>_xlfn.LET(_xlpm.maxVal,_xlfn.MAXIFS($K:$K,$A:$A,A263),IF(AND(_xlpm.maxVal=K263,L263&lt;&gt;0),_xlpm.maxVal,""))</f>
        <v>0.02</v>
      </c>
      <c r="V263" s="27">
        <f>_xlfn.LET(_xlpm.maxVal,_xlfn.MAXIFS($K:$K,$A:$A,A263),IF(AND(_xlpm.maxVal=K263,M263&lt;&gt;0),_xlpm.maxVal,""))</f>
        <v>0.02</v>
      </c>
      <c r="W263" s="27">
        <f>_xlfn.LET(_xlpm.maxVal,_xlfn.MAXIFS($K:$K,$A:$A,A263),IF(AND(_xlpm.maxVal=K263,N263&lt;&gt;0),_xlpm.maxVal,""))</f>
        <v>0.02</v>
      </c>
      <c r="X263" s="27">
        <f>_xlfn.LET(_xlpm.maxVal,_xlfn.MAXIFS($K:$K,$A:$A,A263),IF(AND(_xlpm.maxVal=K263,O263&lt;&gt;0),_xlpm.maxVal,""))</f>
        <v>0.02</v>
      </c>
      <c r="Y263" s="27">
        <f>_xlfn.LET(_xlpm.maxVal,_xlfn.MAXIFS($K:$K,$A:$A,A263),IF(AND(_xlpm.maxVal=K263,P263&lt;&gt;0),_xlpm.maxVal,""))</f>
        <v>0.02</v>
      </c>
      <c r="Z263" s="27">
        <f>_xlfn.LET(_xlpm.maxVal,_xlfn.MAXIFS($K:$K,$A:$A,A263),IF(AND(_xlpm.maxVal=K263,Q263&lt;&gt;0),_xlpm.maxVal,""))</f>
        <v>0.02</v>
      </c>
      <c r="AA263" s="27">
        <f>_xlfn.LET(_xlpm.maxVal,_xlfn.MAXIFS($K:$K,$A:$A,A263),IF(AND(_xlpm.maxVal=K263,R263&lt;&gt;0),_xlpm.maxVal,""))</f>
        <v>0.02</v>
      </c>
      <c r="AB263" s="27">
        <f>_xlfn.LET(_xlpm.maxVal,_xlfn.MAXIFS($K:$K,$A:$A,A263),IF(AND(_xlpm.maxVal=K263,S263&lt;&gt;0),_xlpm.maxVal,""))</f>
        <v>0.02</v>
      </c>
      <c r="AC263" s="27">
        <f>_xlfn.LET(_xlpm.maxVal,_xlfn.MAXIFS($K:$K,$A:$A,A263),IF(AND(_xlpm.maxVal=K263,T263&lt;&gt;0),_xlpm.maxVal,""))</f>
        <v>0.02</v>
      </c>
      <c r="AD263" s="27">
        <f>$K263*L263*负载统计!$K$3/60</f>
        <v>0</v>
      </c>
      <c r="AE263" s="27">
        <f>$K263*L263*负载统计!$K$4/60</f>
        <v>0</v>
      </c>
      <c r="AF263" s="27">
        <f>$K263*N263*负载统计!$K$5/60</f>
        <v>0.000333333333333333</v>
      </c>
      <c r="AG263" s="27">
        <f>$K263*O263*负载统计!$K$6/60</f>
        <v>0.001</v>
      </c>
      <c r="AH263" s="27">
        <f>$K263*P263*负载统计!$K$7/60</f>
        <v>0.00225666666666667</v>
      </c>
      <c r="AI263" s="27">
        <f>$K263*Q263*负载统计!$K$8/60</f>
        <v>0.0145333333333333</v>
      </c>
      <c r="AJ263" s="27">
        <f>$K263*R263*负载统计!$K$9/60</f>
        <v>0.00461666666666667</v>
      </c>
      <c r="AK263" s="27">
        <f>$K263*S263*负载统计!$K$10/60</f>
        <v>0.000166666666666667</v>
      </c>
      <c r="AL263" s="27">
        <f>$K263*T263*负载统计!$K$11/60</f>
        <v>0.00133333333333333</v>
      </c>
    </row>
    <row r="264" spans="1:38">
      <c r="A264" s="1">
        <v>120</v>
      </c>
      <c r="B264" s="24" t="s">
        <v>1491</v>
      </c>
      <c r="C264" s="24" t="s">
        <v>1476</v>
      </c>
      <c r="D264" s="24" t="s">
        <v>1492</v>
      </c>
      <c r="E264" s="24" t="s">
        <v>884</v>
      </c>
      <c r="F264" s="24" t="s">
        <v>885</v>
      </c>
      <c r="G264" s="25">
        <f>VLOOKUP(A264,负载电气特性!A:G,7,FALSE)</f>
        <v>28</v>
      </c>
      <c r="H264" s="26" t="s">
        <v>66</v>
      </c>
      <c r="I264" s="25" t="s">
        <v>1706</v>
      </c>
      <c r="J264" s="25" t="s">
        <v>1708</v>
      </c>
      <c r="K264" s="25">
        <v>0</v>
      </c>
      <c r="L264" s="25">
        <v>0</v>
      </c>
      <c r="M264" s="25">
        <v>0</v>
      </c>
      <c r="N264" s="25">
        <v>0</v>
      </c>
      <c r="O264" s="25">
        <v>0</v>
      </c>
      <c r="P264" s="25">
        <v>0</v>
      </c>
      <c r="Q264" s="25">
        <v>0</v>
      </c>
      <c r="R264" s="25">
        <v>0</v>
      </c>
      <c r="S264" s="25">
        <v>0</v>
      </c>
      <c r="T264" s="25">
        <v>0</v>
      </c>
      <c r="U264" s="27" t="str">
        <f>_xlfn.LET(_xlpm.maxVal,_xlfn.MAXIFS($K:$K,$A:$A,A264),IF(AND(_xlpm.maxVal=K264,L264&lt;&gt;0),_xlpm.maxVal,""))</f>
        <v/>
      </c>
      <c r="V264" s="27" t="str">
        <f>_xlfn.LET(_xlpm.maxVal,_xlfn.MAXIFS($K:$K,$A:$A,A264),IF(AND(_xlpm.maxVal=K264,M264&lt;&gt;0),_xlpm.maxVal,""))</f>
        <v/>
      </c>
      <c r="W264" s="27" t="str">
        <f>_xlfn.LET(_xlpm.maxVal,_xlfn.MAXIFS($K:$K,$A:$A,A264),IF(AND(_xlpm.maxVal=K264,N264&lt;&gt;0),_xlpm.maxVal,""))</f>
        <v/>
      </c>
      <c r="X264" s="27" t="str">
        <f>_xlfn.LET(_xlpm.maxVal,_xlfn.MAXIFS($K:$K,$A:$A,A264),IF(AND(_xlpm.maxVal=K264,O264&lt;&gt;0),_xlpm.maxVal,""))</f>
        <v/>
      </c>
      <c r="Y264" s="27" t="str">
        <f>_xlfn.LET(_xlpm.maxVal,_xlfn.MAXIFS($K:$K,$A:$A,A264),IF(AND(_xlpm.maxVal=K264,P264&lt;&gt;0),_xlpm.maxVal,""))</f>
        <v/>
      </c>
      <c r="Z264" s="27" t="str">
        <f>_xlfn.LET(_xlpm.maxVal,_xlfn.MAXIFS($K:$K,$A:$A,A264),IF(AND(_xlpm.maxVal=K264,Q264&lt;&gt;0),_xlpm.maxVal,""))</f>
        <v/>
      </c>
      <c r="AA264" s="27" t="str">
        <f>_xlfn.LET(_xlpm.maxVal,_xlfn.MAXIFS($K:$K,$A:$A,A264),IF(AND(_xlpm.maxVal=K264,R264&lt;&gt;0),_xlpm.maxVal,""))</f>
        <v/>
      </c>
      <c r="AB264" s="27" t="str">
        <f>_xlfn.LET(_xlpm.maxVal,_xlfn.MAXIFS($K:$K,$A:$A,A264),IF(AND(_xlpm.maxVal=K264,S264&lt;&gt;0),_xlpm.maxVal,""))</f>
        <v/>
      </c>
      <c r="AC264" s="27" t="str">
        <f>_xlfn.LET(_xlpm.maxVal,_xlfn.MAXIFS($K:$K,$A:$A,A264),IF(AND(_xlpm.maxVal=K264,T264&lt;&gt;0),_xlpm.maxVal,""))</f>
        <v/>
      </c>
      <c r="AD264" s="27">
        <f>$K264*L264*负载统计!$K$3/60</f>
        <v>0</v>
      </c>
      <c r="AE264" s="27">
        <f>$K264*L264*负载统计!$K$4/60</f>
        <v>0</v>
      </c>
      <c r="AF264" s="27">
        <f>$K264*N264*负载统计!$K$5/60</f>
        <v>0</v>
      </c>
      <c r="AG264" s="27">
        <f>$K264*O264*负载统计!$K$6/60</f>
        <v>0</v>
      </c>
      <c r="AH264" s="27">
        <f>$K264*P264*负载统计!$K$7/60</f>
        <v>0</v>
      </c>
      <c r="AI264" s="27">
        <f>$K264*Q264*负载统计!$K$8/60</f>
        <v>0</v>
      </c>
      <c r="AJ264" s="27">
        <f>$K264*R264*负载统计!$K$9/60</f>
        <v>0</v>
      </c>
      <c r="AK264" s="27">
        <f>$K264*S264*负载统计!$K$10/60</f>
        <v>0</v>
      </c>
      <c r="AL264" s="27">
        <f>$K264*T264*负载统计!$K$11/60</f>
        <v>0</v>
      </c>
    </row>
    <row r="265" spans="1:38">
      <c r="A265" s="1">
        <v>121</v>
      </c>
      <c r="B265" s="24" t="s">
        <v>1494</v>
      </c>
      <c r="C265" s="24" t="s">
        <v>1476</v>
      </c>
      <c r="D265" s="24" t="s">
        <v>1495</v>
      </c>
      <c r="E265" s="24" t="s">
        <v>884</v>
      </c>
      <c r="F265" s="24" t="s">
        <v>887</v>
      </c>
      <c r="G265" s="25">
        <f>VLOOKUP(A265,负载电气特性!A:G,7,FALSE)</f>
        <v>28</v>
      </c>
      <c r="H265" s="26" t="s">
        <v>66</v>
      </c>
      <c r="I265" s="25" t="s">
        <v>1706</v>
      </c>
      <c r="J265" s="25" t="s">
        <v>1707</v>
      </c>
      <c r="K265" s="25">
        <v>0.02</v>
      </c>
      <c r="L265" s="25">
        <v>1</v>
      </c>
      <c r="M265" s="25">
        <v>1</v>
      </c>
      <c r="N265" s="25">
        <v>1</v>
      </c>
      <c r="O265" s="25">
        <v>1</v>
      </c>
      <c r="P265" s="25">
        <v>1</v>
      </c>
      <c r="Q265" s="25">
        <v>1</v>
      </c>
      <c r="R265" s="25">
        <v>1</v>
      </c>
      <c r="S265" s="25">
        <v>1</v>
      </c>
      <c r="T265" s="25">
        <v>1</v>
      </c>
      <c r="U265" s="27">
        <f>_xlfn.LET(_xlpm.maxVal,_xlfn.MAXIFS($K:$K,$A:$A,A265),IF(AND(_xlpm.maxVal=K265,L265&lt;&gt;0),_xlpm.maxVal,""))</f>
        <v>0.02</v>
      </c>
      <c r="V265" s="27">
        <f>_xlfn.LET(_xlpm.maxVal,_xlfn.MAXIFS($K:$K,$A:$A,A265),IF(AND(_xlpm.maxVal=K265,M265&lt;&gt;0),_xlpm.maxVal,""))</f>
        <v>0.02</v>
      </c>
      <c r="W265" s="27">
        <f>_xlfn.LET(_xlpm.maxVal,_xlfn.MAXIFS($K:$K,$A:$A,A265),IF(AND(_xlpm.maxVal=K265,N265&lt;&gt;0),_xlpm.maxVal,""))</f>
        <v>0.02</v>
      </c>
      <c r="X265" s="27">
        <f>_xlfn.LET(_xlpm.maxVal,_xlfn.MAXIFS($K:$K,$A:$A,A265),IF(AND(_xlpm.maxVal=K265,O265&lt;&gt;0),_xlpm.maxVal,""))</f>
        <v>0.02</v>
      </c>
      <c r="Y265" s="27">
        <f>_xlfn.LET(_xlpm.maxVal,_xlfn.MAXIFS($K:$K,$A:$A,A265),IF(AND(_xlpm.maxVal=K265,P265&lt;&gt;0),_xlpm.maxVal,""))</f>
        <v>0.02</v>
      </c>
      <c r="Z265" s="27">
        <f>_xlfn.LET(_xlpm.maxVal,_xlfn.MAXIFS($K:$K,$A:$A,A265),IF(AND(_xlpm.maxVal=K265,Q265&lt;&gt;0),_xlpm.maxVal,""))</f>
        <v>0.02</v>
      </c>
      <c r="AA265" s="27">
        <f>_xlfn.LET(_xlpm.maxVal,_xlfn.MAXIFS($K:$K,$A:$A,A265),IF(AND(_xlpm.maxVal=K265,R265&lt;&gt;0),_xlpm.maxVal,""))</f>
        <v>0.02</v>
      </c>
      <c r="AB265" s="27">
        <f>_xlfn.LET(_xlpm.maxVal,_xlfn.MAXIFS($K:$K,$A:$A,A265),IF(AND(_xlpm.maxVal=K265,S265&lt;&gt;0),_xlpm.maxVal,""))</f>
        <v>0.02</v>
      </c>
      <c r="AC265" s="27">
        <f>_xlfn.LET(_xlpm.maxVal,_xlfn.MAXIFS($K:$K,$A:$A,A265),IF(AND(_xlpm.maxVal=K265,T265&lt;&gt;0),_xlpm.maxVal,""))</f>
        <v>0.02</v>
      </c>
      <c r="AD265" s="27">
        <f>$K265*L265*负载统计!$K$3/60</f>
        <v>0</v>
      </c>
      <c r="AE265" s="27">
        <f>$K265*L265*负载统计!$K$4/60</f>
        <v>0</v>
      </c>
      <c r="AF265" s="27">
        <f>$K265*N265*负载统计!$K$5/60</f>
        <v>0.000333333333333333</v>
      </c>
      <c r="AG265" s="27">
        <f>$K265*O265*负载统计!$K$6/60</f>
        <v>0.001</v>
      </c>
      <c r="AH265" s="27">
        <f>$K265*P265*负载统计!$K$7/60</f>
        <v>0.00225666666666667</v>
      </c>
      <c r="AI265" s="27">
        <f>$K265*Q265*负载统计!$K$8/60</f>
        <v>0.0145333333333333</v>
      </c>
      <c r="AJ265" s="27">
        <f>$K265*R265*负载统计!$K$9/60</f>
        <v>0.00461666666666667</v>
      </c>
      <c r="AK265" s="27">
        <f>$K265*S265*负载统计!$K$10/60</f>
        <v>0.000166666666666667</v>
      </c>
      <c r="AL265" s="27">
        <f>$K265*T265*负载统计!$K$11/60</f>
        <v>0.00133333333333333</v>
      </c>
    </row>
    <row r="266" spans="1:38">
      <c r="A266" s="1">
        <v>121</v>
      </c>
      <c r="B266" s="24" t="s">
        <v>1494</v>
      </c>
      <c r="C266" s="24" t="s">
        <v>1476</v>
      </c>
      <c r="D266" s="24" t="s">
        <v>1495</v>
      </c>
      <c r="E266" s="24" t="s">
        <v>884</v>
      </c>
      <c r="F266" s="24" t="s">
        <v>887</v>
      </c>
      <c r="G266" s="25">
        <f>VLOOKUP(A266,负载电气特性!A:G,7,FALSE)</f>
        <v>28</v>
      </c>
      <c r="H266" s="26" t="s">
        <v>66</v>
      </c>
      <c r="I266" s="25" t="s">
        <v>1706</v>
      </c>
      <c r="J266" s="25" t="s">
        <v>1708</v>
      </c>
      <c r="K266" s="25">
        <v>0</v>
      </c>
      <c r="L266" s="25">
        <v>0</v>
      </c>
      <c r="M266" s="25">
        <v>0</v>
      </c>
      <c r="N266" s="25">
        <v>0</v>
      </c>
      <c r="O266" s="25">
        <v>0</v>
      </c>
      <c r="P266" s="25">
        <v>0</v>
      </c>
      <c r="Q266" s="25">
        <v>0</v>
      </c>
      <c r="R266" s="25">
        <v>0</v>
      </c>
      <c r="S266" s="25">
        <v>0</v>
      </c>
      <c r="T266" s="25">
        <v>0</v>
      </c>
      <c r="U266" s="27" t="str">
        <f>_xlfn.LET(_xlpm.maxVal,_xlfn.MAXIFS($K:$K,$A:$A,A266),IF(AND(_xlpm.maxVal=K266,L266&lt;&gt;0),_xlpm.maxVal,""))</f>
        <v/>
      </c>
      <c r="V266" s="27" t="str">
        <f>_xlfn.LET(_xlpm.maxVal,_xlfn.MAXIFS($K:$K,$A:$A,A266),IF(AND(_xlpm.maxVal=K266,M266&lt;&gt;0),_xlpm.maxVal,""))</f>
        <v/>
      </c>
      <c r="W266" s="27" t="str">
        <f>_xlfn.LET(_xlpm.maxVal,_xlfn.MAXIFS($K:$K,$A:$A,A266),IF(AND(_xlpm.maxVal=K266,N266&lt;&gt;0),_xlpm.maxVal,""))</f>
        <v/>
      </c>
      <c r="X266" s="27" t="str">
        <f>_xlfn.LET(_xlpm.maxVal,_xlfn.MAXIFS($K:$K,$A:$A,A266),IF(AND(_xlpm.maxVal=K266,O266&lt;&gt;0),_xlpm.maxVal,""))</f>
        <v/>
      </c>
      <c r="Y266" s="27" t="str">
        <f>_xlfn.LET(_xlpm.maxVal,_xlfn.MAXIFS($K:$K,$A:$A,A266),IF(AND(_xlpm.maxVal=K266,P266&lt;&gt;0),_xlpm.maxVal,""))</f>
        <v/>
      </c>
      <c r="Z266" s="27" t="str">
        <f>_xlfn.LET(_xlpm.maxVal,_xlfn.MAXIFS($K:$K,$A:$A,A266),IF(AND(_xlpm.maxVal=K266,Q266&lt;&gt;0),_xlpm.maxVal,""))</f>
        <v/>
      </c>
      <c r="AA266" s="27" t="str">
        <f>_xlfn.LET(_xlpm.maxVal,_xlfn.MAXIFS($K:$K,$A:$A,A266),IF(AND(_xlpm.maxVal=K266,R266&lt;&gt;0),_xlpm.maxVal,""))</f>
        <v/>
      </c>
      <c r="AB266" s="27" t="str">
        <f>_xlfn.LET(_xlpm.maxVal,_xlfn.MAXIFS($K:$K,$A:$A,A266),IF(AND(_xlpm.maxVal=K266,S266&lt;&gt;0),_xlpm.maxVal,""))</f>
        <v/>
      </c>
      <c r="AC266" s="27" t="str">
        <f>_xlfn.LET(_xlpm.maxVal,_xlfn.MAXIFS($K:$K,$A:$A,A266),IF(AND(_xlpm.maxVal=K266,T266&lt;&gt;0),_xlpm.maxVal,""))</f>
        <v/>
      </c>
      <c r="AD266" s="27">
        <f>$K266*L266*负载统计!$K$3/60</f>
        <v>0</v>
      </c>
      <c r="AE266" s="27">
        <f>$K266*L266*负载统计!$K$4/60</f>
        <v>0</v>
      </c>
      <c r="AF266" s="27">
        <f>$K266*N266*负载统计!$K$5/60</f>
        <v>0</v>
      </c>
      <c r="AG266" s="27">
        <f>$K266*O266*负载统计!$K$6/60</f>
        <v>0</v>
      </c>
      <c r="AH266" s="27">
        <f>$K266*P266*负载统计!$K$7/60</f>
        <v>0</v>
      </c>
      <c r="AI266" s="27">
        <f>$K266*Q266*负载统计!$K$8/60</f>
        <v>0</v>
      </c>
      <c r="AJ266" s="27">
        <f>$K266*R266*负载统计!$K$9/60</f>
        <v>0</v>
      </c>
      <c r="AK266" s="27">
        <f>$K266*S266*负载统计!$K$10/60</f>
        <v>0</v>
      </c>
      <c r="AL266" s="27">
        <f>$K266*T266*负载统计!$K$11/60</f>
        <v>0</v>
      </c>
    </row>
    <row r="267" spans="1:38">
      <c r="A267" s="1">
        <v>122</v>
      </c>
      <c r="B267" s="24" t="s">
        <v>1496</v>
      </c>
      <c r="C267" s="24" t="s">
        <v>1476</v>
      </c>
      <c r="D267" s="24" t="s">
        <v>1497</v>
      </c>
      <c r="E267" s="24" t="s">
        <v>889</v>
      </c>
      <c r="F267" s="24" t="s">
        <v>890</v>
      </c>
      <c r="G267" s="25">
        <f>VLOOKUP(A267,负载电气特性!A:G,7,FALSE)</f>
        <v>28</v>
      </c>
      <c r="H267" s="26" t="s">
        <v>66</v>
      </c>
      <c r="I267" s="25" t="s">
        <v>1706</v>
      </c>
      <c r="J267" s="25" t="s">
        <v>1707</v>
      </c>
      <c r="K267" s="25">
        <v>0.02</v>
      </c>
      <c r="L267" s="25">
        <v>1</v>
      </c>
      <c r="M267" s="25">
        <v>1</v>
      </c>
      <c r="N267" s="25">
        <v>1</v>
      </c>
      <c r="O267" s="25">
        <v>1</v>
      </c>
      <c r="P267" s="25">
        <v>1</v>
      </c>
      <c r="Q267" s="25">
        <v>1</v>
      </c>
      <c r="R267" s="25">
        <v>1</v>
      </c>
      <c r="S267" s="25">
        <v>1</v>
      </c>
      <c r="T267" s="25">
        <v>1</v>
      </c>
      <c r="U267" s="27">
        <f>_xlfn.LET(_xlpm.maxVal,_xlfn.MAXIFS($K:$K,$A:$A,A267),IF(AND(_xlpm.maxVal=K267,L267&lt;&gt;0),_xlpm.maxVal,""))</f>
        <v>0.02</v>
      </c>
      <c r="V267" s="27">
        <f>_xlfn.LET(_xlpm.maxVal,_xlfn.MAXIFS($K:$K,$A:$A,A267),IF(AND(_xlpm.maxVal=K267,M267&lt;&gt;0),_xlpm.maxVal,""))</f>
        <v>0.02</v>
      </c>
      <c r="W267" s="27">
        <f>_xlfn.LET(_xlpm.maxVal,_xlfn.MAXIFS($K:$K,$A:$A,A267),IF(AND(_xlpm.maxVal=K267,N267&lt;&gt;0),_xlpm.maxVal,""))</f>
        <v>0.02</v>
      </c>
      <c r="X267" s="27">
        <f>_xlfn.LET(_xlpm.maxVal,_xlfn.MAXIFS($K:$K,$A:$A,A267),IF(AND(_xlpm.maxVal=K267,O267&lt;&gt;0),_xlpm.maxVal,""))</f>
        <v>0.02</v>
      </c>
      <c r="Y267" s="27">
        <f>_xlfn.LET(_xlpm.maxVal,_xlfn.MAXIFS($K:$K,$A:$A,A267),IF(AND(_xlpm.maxVal=K267,P267&lt;&gt;0),_xlpm.maxVal,""))</f>
        <v>0.02</v>
      </c>
      <c r="Z267" s="27">
        <f>_xlfn.LET(_xlpm.maxVal,_xlfn.MAXIFS($K:$K,$A:$A,A267),IF(AND(_xlpm.maxVal=K267,Q267&lt;&gt;0),_xlpm.maxVal,""))</f>
        <v>0.02</v>
      </c>
      <c r="AA267" s="27">
        <f>_xlfn.LET(_xlpm.maxVal,_xlfn.MAXIFS($K:$K,$A:$A,A267),IF(AND(_xlpm.maxVal=K267,R267&lt;&gt;0),_xlpm.maxVal,""))</f>
        <v>0.02</v>
      </c>
      <c r="AB267" s="27">
        <f>_xlfn.LET(_xlpm.maxVal,_xlfn.MAXIFS($K:$K,$A:$A,A267),IF(AND(_xlpm.maxVal=K267,S267&lt;&gt;0),_xlpm.maxVal,""))</f>
        <v>0.02</v>
      </c>
      <c r="AC267" s="27">
        <f>_xlfn.LET(_xlpm.maxVal,_xlfn.MAXIFS($K:$K,$A:$A,A267),IF(AND(_xlpm.maxVal=K267,T267&lt;&gt;0),_xlpm.maxVal,""))</f>
        <v>0.02</v>
      </c>
      <c r="AD267" s="27">
        <f>$K267*L267*负载统计!$K$3/60</f>
        <v>0</v>
      </c>
      <c r="AE267" s="27">
        <f>$K267*L267*负载统计!$K$4/60</f>
        <v>0</v>
      </c>
      <c r="AF267" s="27">
        <f>$K267*N267*负载统计!$K$5/60</f>
        <v>0.000333333333333333</v>
      </c>
      <c r="AG267" s="27">
        <f>$K267*O267*负载统计!$K$6/60</f>
        <v>0.001</v>
      </c>
      <c r="AH267" s="27">
        <f>$K267*P267*负载统计!$K$7/60</f>
        <v>0.00225666666666667</v>
      </c>
      <c r="AI267" s="27">
        <f>$K267*Q267*负载统计!$K$8/60</f>
        <v>0.0145333333333333</v>
      </c>
      <c r="AJ267" s="27">
        <f>$K267*R267*负载统计!$K$9/60</f>
        <v>0.00461666666666667</v>
      </c>
      <c r="AK267" s="27">
        <f>$K267*S267*负载统计!$K$10/60</f>
        <v>0.000166666666666667</v>
      </c>
      <c r="AL267" s="27">
        <f>$K267*T267*负载统计!$K$11/60</f>
        <v>0.00133333333333333</v>
      </c>
    </row>
    <row r="268" spans="1:38">
      <c r="A268" s="1">
        <v>122</v>
      </c>
      <c r="B268" s="24" t="s">
        <v>1496</v>
      </c>
      <c r="C268" s="24" t="s">
        <v>1476</v>
      </c>
      <c r="D268" s="24" t="s">
        <v>1497</v>
      </c>
      <c r="E268" s="24" t="s">
        <v>889</v>
      </c>
      <c r="F268" s="24" t="s">
        <v>890</v>
      </c>
      <c r="G268" s="25">
        <f>VLOOKUP(A268,负载电气特性!A:G,7,FALSE)</f>
        <v>28</v>
      </c>
      <c r="H268" s="26" t="s">
        <v>66</v>
      </c>
      <c r="I268" s="25" t="s">
        <v>1706</v>
      </c>
      <c r="J268" s="25" t="s">
        <v>1708</v>
      </c>
      <c r="K268" s="25">
        <v>0</v>
      </c>
      <c r="L268" s="25">
        <v>0</v>
      </c>
      <c r="M268" s="25">
        <v>0</v>
      </c>
      <c r="N268" s="25">
        <v>0</v>
      </c>
      <c r="O268" s="25">
        <v>0</v>
      </c>
      <c r="P268" s="25">
        <v>0</v>
      </c>
      <c r="Q268" s="25">
        <v>0</v>
      </c>
      <c r="R268" s="25">
        <v>0</v>
      </c>
      <c r="S268" s="25">
        <v>0</v>
      </c>
      <c r="T268" s="25">
        <v>0</v>
      </c>
      <c r="U268" s="27" t="str">
        <f>_xlfn.LET(_xlpm.maxVal,_xlfn.MAXIFS($K:$K,$A:$A,A268),IF(AND(_xlpm.maxVal=K268,L268&lt;&gt;0),_xlpm.maxVal,""))</f>
        <v/>
      </c>
      <c r="V268" s="27" t="str">
        <f>_xlfn.LET(_xlpm.maxVal,_xlfn.MAXIFS($K:$K,$A:$A,A268),IF(AND(_xlpm.maxVal=K268,M268&lt;&gt;0),_xlpm.maxVal,""))</f>
        <v/>
      </c>
      <c r="W268" s="27" t="str">
        <f>_xlfn.LET(_xlpm.maxVal,_xlfn.MAXIFS($K:$K,$A:$A,A268),IF(AND(_xlpm.maxVal=K268,N268&lt;&gt;0),_xlpm.maxVal,""))</f>
        <v/>
      </c>
      <c r="X268" s="27" t="str">
        <f>_xlfn.LET(_xlpm.maxVal,_xlfn.MAXIFS($K:$K,$A:$A,A268),IF(AND(_xlpm.maxVal=K268,O268&lt;&gt;0),_xlpm.maxVal,""))</f>
        <v/>
      </c>
      <c r="Y268" s="27" t="str">
        <f>_xlfn.LET(_xlpm.maxVal,_xlfn.MAXIFS($K:$K,$A:$A,A268),IF(AND(_xlpm.maxVal=K268,P268&lt;&gt;0),_xlpm.maxVal,""))</f>
        <v/>
      </c>
      <c r="Z268" s="27" t="str">
        <f>_xlfn.LET(_xlpm.maxVal,_xlfn.MAXIFS($K:$K,$A:$A,A268),IF(AND(_xlpm.maxVal=K268,Q268&lt;&gt;0),_xlpm.maxVal,""))</f>
        <v/>
      </c>
      <c r="AA268" s="27" t="str">
        <f>_xlfn.LET(_xlpm.maxVal,_xlfn.MAXIFS($K:$K,$A:$A,A268),IF(AND(_xlpm.maxVal=K268,R268&lt;&gt;0),_xlpm.maxVal,""))</f>
        <v/>
      </c>
      <c r="AB268" s="27" t="str">
        <f>_xlfn.LET(_xlpm.maxVal,_xlfn.MAXIFS($K:$K,$A:$A,A268),IF(AND(_xlpm.maxVal=K268,S268&lt;&gt;0),_xlpm.maxVal,""))</f>
        <v/>
      </c>
      <c r="AC268" s="27" t="str">
        <f>_xlfn.LET(_xlpm.maxVal,_xlfn.MAXIFS($K:$K,$A:$A,A268),IF(AND(_xlpm.maxVal=K268,T268&lt;&gt;0),_xlpm.maxVal,""))</f>
        <v/>
      </c>
      <c r="AD268" s="27">
        <f>$K268*L268*负载统计!$K$3/60</f>
        <v>0</v>
      </c>
      <c r="AE268" s="27">
        <f>$K268*L268*负载统计!$K$4/60</f>
        <v>0</v>
      </c>
      <c r="AF268" s="27">
        <f>$K268*N268*负载统计!$K$5/60</f>
        <v>0</v>
      </c>
      <c r="AG268" s="27">
        <f>$K268*O268*负载统计!$K$6/60</f>
        <v>0</v>
      </c>
      <c r="AH268" s="27">
        <f>$K268*P268*负载统计!$K$7/60</f>
        <v>0</v>
      </c>
      <c r="AI268" s="27">
        <f>$K268*Q268*负载统计!$K$8/60</f>
        <v>0</v>
      </c>
      <c r="AJ268" s="27">
        <f>$K268*R268*负载统计!$K$9/60</f>
        <v>0</v>
      </c>
      <c r="AK268" s="27">
        <f>$K268*S268*负载统计!$K$10/60</f>
        <v>0</v>
      </c>
      <c r="AL268" s="27">
        <f>$K268*T268*负载统计!$K$11/60</f>
        <v>0</v>
      </c>
    </row>
    <row r="269" spans="1:38">
      <c r="A269" s="1">
        <v>123</v>
      </c>
      <c r="B269" s="24" t="s">
        <v>1499</v>
      </c>
      <c r="C269" s="24" t="s">
        <v>1476</v>
      </c>
      <c r="D269" s="24" t="s">
        <v>1500</v>
      </c>
      <c r="E269" s="24" t="s">
        <v>892</v>
      </c>
      <c r="F269" s="24" t="s">
        <v>893</v>
      </c>
      <c r="G269" s="25">
        <f>VLOOKUP(A269,负载电气特性!A:G,7,FALSE)</f>
        <v>28</v>
      </c>
      <c r="H269" s="26" t="s">
        <v>66</v>
      </c>
      <c r="I269" s="25" t="s">
        <v>1706</v>
      </c>
      <c r="J269" s="25" t="s">
        <v>1707</v>
      </c>
      <c r="K269" s="25">
        <v>0.02</v>
      </c>
      <c r="L269" s="25">
        <v>1</v>
      </c>
      <c r="M269" s="25">
        <v>1</v>
      </c>
      <c r="N269" s="25">
        <v>1</v>
      </c>
      <c r="O269" s="25">
        <v>1</v>
      </c>
      <c r="P269" s="25">
        <v>1</v>
      </c>
      <c r="Q269" s="25">
        <v>1</v>
      </c>
      <c r="R269" s="25">
        <v>1</v>
      </c>
      <c r="S269" s="25">
        <v>1</v>
      </c>
      <c r="T269" s="25">
        <v>1</v>
      </c>
      <c r="U269" s="27">
        <f>_xlfn.LET(_xlpm.maxVal,_xlfn.MAXIFS($K:$K,$A:$A,A269),IF(AND(_xlpm.maxVal=K269,L269&lt;&gt;0),_xlpm.maxVal,""))</f>
        <v>0.02</v>
      </c>
      <c r="V269" s="27">
        <f>_xlfn.LET(_xlpm.maxVal,_xlfn.MAXIFS($K:$K,$A:$A,A269),IF(AND(_xlpm.maxVal=K269,M269&lt;&gt;0),_xlpm.maxVal,""))</f>
        <v>0.02</v>
      </c>
      <c r="W269" s="27">
        <f>_xlfn.LET(_xlpm.maxVal,_xlfn.MAXIFS($K:$K,$A:$A,A269),IF(AND(_xlpm.maxVal=K269,N269&lt;&gt;0),_xlpm.maxVal,""))</f>
        <v>0.02</v>
      </c>
      <c r="X269" s="27">
        <f>_xlfn.LET(_xlpm.maxVal,_xlfn.MAXIFS($K:$K,$A:$A,A269),IF(AND(_xlpm.maxVal=K269,O269&lt;&gt;0),_xlpm.maxVal,""))</f>
        <v>0.02</v>
      </c>
      <c r="Y269" s="27">
        <f>_xlfn.LET(_xlpm.maxVal,_xlfn.MAXIFS($K:$K,$A:$A,A269),IF(AND(_xlpm.maxVal=K269,P269&lt;&gt;0),_xlpm.maxVal,""))</f>
        <v>0.02</v>
      </c>
      <c r="Z269" s="27">
        <f>_xlfn.LET(_xlpm.maxVal,_xlfn.MAXIFS($K:$K,$A:$A,A269),IF(AND(_xlpm.maxVal=K269,Q269&lt;&gt;0),_xlpm.maxVal,""))</f>
        <v>0.02</v>
      </c>
      <c r="AA269" s="27">
        <f>_xlfn.LET(_xlpm.maxVal,_xlfn.MAXIFS($K:$K,$A:$A,A269),IF(AND(_xlpm.maxVal=K269,R269&lt;&gt;0),_xlpm.maxVal,""))</f>
        <v>0.02</v>
      </c>
      <c r="AB269" s="27">
        <f>_xlfn.LET(_xlpm.maxVal,_xlfn.MAXIFS($K:$K,$A:$A,A269),IF(AND(_xlpm.maxVal=K269,S269&lt;&gt;0),_xlpm.maxVal,""))</f>
        <v>0.02</v>
      </c>
      <c r="AC269" s="27">
        <f>_xlfn.LET(_xlpm.maxVal,_xlfn.MAXIFS($K:$K,$A:$A,A269),IF(AND(_xlpm.maxVal=K269,T269&lt;&gt;0),_xlpm.maxVal,""))</f>
        <v>0.02</v>
      </c>
      <c r="AD269" s="27">
        <f>$K269*L269*负载统计!$K$3/60</f>
        <v>0</v>
      </c>
      <c r="AE269" s="27">
        <f>$K269*L269*负载统计!$K$4/60</f>
        <v>0</v>
      </c>
      <c r="AF269" s="27">
        <f>$K269*N269*负载统计!$K$5/60</f>
        <v>0.000333333333333333</v>
      </c>
      <c r="AG269" s="27">
        <f>$K269*O269*负载统计!$K$6/60</f>
        <v>0.001</v>
      </c>
      <c r="AH269" s="27">
        <f>$K269*P269*负载统计!$K$7/60</f>
        <v>0.00225666666666667</v>
      </c>
      <c r="AI269" s="27">
        <f>$K269*Q269*负载统计!$K$8/60</f>
        <v>0.0145333333333333</v>
      </c>
      <c r="AJ269" s="27">
        <f>$K269*R269*负载统计!$K$9/60</f>
        <v>0.00461666666666667</v>
      </c>
      <c r="AK269" s="27">
        <f>$K269*S269*负载统计!$K$10/60</f>
        <v>0.000166666666666667</v>
      </c>
      <c r="AL269" s="27">
        <f>$K269*T269*负载统计!$K$11/60</f>
        <v>0.00133333333333333</v>
      </c>
    </row>
    <row r="270" spans="1:38">
      <c r="A270" s="1">
        <v>123</v>
      </c>
      <c r="B270" s="24" t="s">
        <v>1499</v>
      </c>
      <c r="C270" s="24" t="s">
        <v>1476</v>
      </c>
      <c r="D270" s="24" t="s">
        <v>1500</v>
      </c>
      <c r="E270" s="24" t="s">
        <v>892</v>
      </c>
      <c r="F270" s="24" t="s">
        <v>893</v>
      </c>
      <c r="G270" s="25">
        <f>VLOOKUP(A270,负载电气特性!A:G,7,FALSE)</f>
        <v>28</v>
      </c>
      <c r="H270" s="26" t="s">
        <v>66</v>
      </c>
      <c r="I270" s="25" t="s">
        <v>1706</v>
      </c>
      <c r="J270" s="25" t="s">
        <v>1708</v>
      </c>
      <c r="K270" s="25">
        <v>0</v>
      </c>
      <c r="L270" s="25">
        <v>0</v>
      </c>
      <c r="M270" s="25">
        <v>0</v>
      </c>
      <c r="N270" s="25">
        <v>0</v>
      </c>
      <c r="O270" s="25">
        <v>0</v>
      </c>
      <c r="P270" s="25">
        <v>0</v>
      </c>
      <c r="Q270" s="25">
        <v>0</v>
      </c>
      <c r="R270" s="25">
        <v>0</v>
      </c>
      <c r="S270" s="25">
        <v>0</v>
      </c>
      <c r="T270" s="25">
        <v>0</v>
      </c>
      <c r="U270" s="27" t="str">
        <f>_xlfn.LET(_xlpm.maxVal,_xlfn.MAXIFS($K:$K,$A:$A,A270),IF(AND(_xlpm.maxVal=K270,L270&lt;&gt;0),_xlpm.maxVal,""))</f>
        <v/>
      </c>
      <c r="V270" s="27" t="str">
        <f>_xlfn.LET(_xlpm.maxVal,_xlfn.MAXIFS($K:$K,$A:$A,A270),IF(AND(_xlpm.maxVal=K270,M270&lt;&gt;0),_xlpm.maxVal,""))</f>
        <v/>
      </c>
      <c r="W270" s="27" t="str">
        <f>_xlfn.LET(_xlpm.maxVal,_xlfn.MAXIFS($K:$K,$A:$A,A270),IF(AND(_xlpm.maxVal=K270,N270&lt;&gt;0),_xlpm.maxVal,""))</f>
        <v/>
      </c>
      <c r="X270" s="27" t="str">
        <f>_xlfn.LET(_xlpm.maxVal,_xlfn.MAXIFS($K:$K,$A:$A,A270),IF(AND(_xlpm.maxVal=K270,O270&lt;&gt;0),_xlpm.maxVal,""))</f>
        <v/>
      </c>
      <c r="Y270" s="27" t="str">
        <f>_xlfn.LET(_xlpm.maxVal,_xlfn.MAXIFS($K:$K,$A:$A,A270),IF(AND(_xlpm.maxVal=K270,P270&lt;&gt;0),_xlpm.maxVal,""))</f>
        <v/>
      </c>
      <c r="Z270" s="27" t="str">
        <f>_xlfn.LET(_xlpm.maxVal,_xlfn.MAXIFS($K:$K,$A:$A,A270),IF(AND(_xlpm.maxVal=K270,Q270&lt;&gt;0),_xlpm.maxVal,""))</f>
        <v/>
      </c>
      <c r="AA270" s="27" t="str">
        <f>_xlfn.LET(_xlpm.maxVal,_xlfn.MAXIFS($K:$K,$A:$A,A270),IF(AND(_xlpm.maxVal=K270,R270&lt;&gt;0),_xlpm.maxVal,""))</f>
        <v/>
      </c>
      <c r="AB270" s="27" t="str">
        <f>_xlfn.LET(_xlpm.maxVal,_xlfn.MAXIFS($K:$K,$A:$A,A270),IF(AND(_xlpm.maxVal=K270,S270&lt;&gt;0),_xlpm.maxVal,""))</f>
        <v/>
      </c>
      <c r="AC270" s="27" t="str">
        <f>_xlfn.LET(_xlpm.maxVal,_xlfn.MAXIFS($K:$K,$A:$A,A270),IF(AND(_xlpm.maxVal=K270,T270&lt;&gt;0),_xlpm.maxVal,""))</f>
        <v/>
      </c>
      <c r="AD270" s="27">
        <f>$K270*L270*负载统计!$K$3/60</f>
        <v>0</v>
      </c>
      <c r="AE270" s="27">
        <f>$K270*L270*负载统计!$K$4/60</f>
        <v>0</v>
      </c>
      <c r="AF270" s="27">
        <f>$K270*N270*负载统计!$K$5/60</f>
        <v>0</v>
      </c>
      <c r="AG270" s="27">
        <f>$K270*O270*负载统计!$K$6/60</f>
        <v>0</v>
      </c>
      <c r="AH270" s="27">
        <f>$K270*P270*负载统计!$K$7/60</f>
        <v>0</v>
      </c>
      <c r="AI270" s="27">
        <f>$K270*Q270*负载统计!$K$8/60</f>
        <v>0</v>
      </c>
      <c r="AJ270" s="27">
        <f>$K270*R270*负载统计!$K$9/60</f>
        <v>0</v>
      </c>
      <c r="AK270" s="27">
        <f>$K270*S270*负载统计!$K$10/60</f>
        <v>0</v>
      </c>
      <c r="AL270" s="27">
        <f>$K270*T270*负载统计!$K$11/60</f>
        <v>0</v>
      </c>
    </row>
    <row r="271" spans="1:38">
      <c r="A271" s="1">
        <v>124</v>
      </c>
      <c r="B271" s="24" t="s">
        <v>1501</v>
      </c>
      <c r="C271" s="24" t="s">
        <v>1476</v>
      </c>
      <c r="D271" s="24" t="s">
        <v>1502</v>
      </c>
      <c r="E271" s="24" t="s">
        <v>895</v>
      </c>
      <c r="F271" s="24" t="s">
        <v>896</v>
      </c>
      <c r="G271" s="25">
        <f>VLOOKUP(A271,负载电气特性!A:G,7,FALSE)</f>
        <v>28</v>
      </c>
      <c r="H271" s="26" t="s">
        <v>66</v>
      </c>
      <c r="I271" s="25" t="s">
        <v>1706</v>
      </c>
      <c r="J271" s="25" t="s">
        <v>1707</v>
      </c>
      <c r="K271" s="25">
        <v>0.065</v>
      </c>
      <c r="L271" s="25">
        <v>1</v>
      </c>
      <c r="M271" s="25">
        <v>1</v>
      </c>
      <c r="N271" s="25">
        <v>1</v>
      </c>
      <c r="O271" s="25">
        <v>1</v>
      </c>
      <c r="P271" s="25">
        <v>1</v>
      </c>
      <c r="Q271" s="25">
        <v>1</v>
      </c>
      <c r="R271" s="25">
        <v>1</v>
      </c>
      <c r="S271" s="25">
        <v>1</v>
      </c>
      <c r="T271" s="25">
        <v>1</v>
      </c>
      <c r="U271" s="27">
        <f>_xlfn.LET(_xlpm.maxVal,_xlfn.MAXIFS($K:$K,$A:$A,A271),IF(AND(_xlpm.maxVal=K271,L271&lt;&gt;0),_xlpm.maxVal,""))</f>
        <v>0.065</v>
      </c>
      <c r="V271" s="27">
        <f>_xlfn.LET(_xlpm.maxVal,_xlfn.MAXIFS($K:$K,$A:$A,A271),IF(AND(_xlpm.maxVal=K271,M271&lt;&gt;0),_xlpm.maxVal,""))</f>
        <v>0.065</v>
      </c>
      <c r="W271" s="27">
        <f>_xlfn.LET(_xlpm.maxVal,_xlfn.MAXIFS($K:$K,$A:$A,A271),IF(AND(_xlpm.maxVal=K271,N271&lt;&gt;0),_xlpm.maxVal,""))</f>
        <v>0.065</v>
      </c>
      <c r="X271" s="27">
        <f>_xlfn.LET(_xlpm.maxVal,_xlfn.MAXIFS($K:$K,$A:$A,A271),IF(AND(_xlpm.maxVal=K271,O271&lt;&gt;0),_xlpm.maxVal,""))</f>
        <v>0.065</v>
      </c>
      <c r="Y271" s="27">
        <f>_xlfn.LET(_xlpm.maxVal,_xlfn.MAXIFS($K:$K,$A:$A,A271),IF(AND(_xlpm.maxVal=K271,P271&lt;&gt;0),_xlpm.maxVal,""))</f>
        <v>0.065</v>
      </c>
      <c r="Z271" s="27">
        <f>_xlfn.LET(_xlpm.maxVal,_xlfn.MAXIFS($K:$K,$A:$A,A271),IF(AND(_xlpm.maxVal=K271,Q271&lt;&gt;0),_xlpm.maxVal,""))</f>
        <v>0.065</v>
      </c>
      <c r="AA271" s="27">
        <f>_xlfn.LET(_xlpm.maxVal,_xlfn.MAXIFS($K:$K,$A:$A,A271),IF(AND(_xlpm.maxVal=K271,R271&lt;&gt;0),_xlpm.maxVal,""))</f>
        <v>0.065</v>
      </c>
      <c r="AB271" s="27">
        <f>_xlfn.LET(_xlpm.maxVal,_xlfn.MAXIFS($K:$K,$A:$A,A271),IF(AND(_xlpm.maxVal=K271,S271&lt;&gt;0),_xlpm.maxVal,""))</f>
        <v>0.065</v>
      </c>
      <c r="AC271" s="27">
        <f>_xlfn.LET(_xlpm.maxVal,_xlfn.MAXIFS($K:$K,$A:$A,A271),IF(AND(_xlpm.maxVal=K271,T271&lt;&gt;0),_xlpm.maxVal,""))</f>
        <v>0.065</v>
      </c>
      <c r="AD271" s="27">
        <f>$K271*L271*负载统计!$K$3/60</f>
        <v>0</v>
      </c>
      <c r="AE271" s="27">
        <f>$K271*L271*负载统计!$K$4/60</f>
        <v>0</v>
      </c>
      <c r="AF271" s="27">
        <f>$K271*N271*负载统计!$K$5/60</f>
        <v>0.00108333333333333</v>
      </c>
      <c r="AG271" s="27">
        <f>$K271*O271*负载统计!$K$6/60</f>
        <v>0.00325</v>
      </c>
      <c r="AH271" s="27">
        <f>$K271*P271*负载统计!$K$7/60</f>
        <v>0.00733416666666667</v>
      </c>
      <c r="AI271" s="27">
        <f>$K271*Q271*负载统计!$K$8/60</f>
        <v>0.0472333333333333</v>
      </c>
      <c r="AJ271" s="27">
        <f>$K271*R271*负载统计!$K$9/60</f>
        <v>0.0150041666666667</v>
      </c>
      <c r="AK271" s="27">
        <f>$K271*S271*负载统计!$K$10/60</f>
        <v>0.000541666666666667</v>
      </c>
      <c r="AL271" s="27">
        <f>$K271*T271*负载统计!$K$11/60</f>
        <v>0.00433333333333333</v>
      </c>
    </row>
    <row r="272" spans="1:38">
      <c r="A272" s="1">
        <v>124</v>
      </c>
      <c r="B272" s="24" t="s">
        <v>1501</v>
      </c>
      <c r="C272" s="24" t="s">
        <v>1476</v>
      </c>
      <c r="D272" s="24" t="s">
        <v>1502</v>
      </c>
      <c r="E272" s="24" t="s">
        <v>895</v>
      </c>
      <c r="F272" s="24" t="s">
        <v>896</v>
      </c>
      <c r="G272" s="25">
        <f>VLOOKUP(A272,负载电气特性!A:G,7,FALSE)</f>
        <v>28</v>
      </c>
      <c r="H272" s="26" t="s">
        <v>66</v>
      </c>
      <c r="I272" s="25" t="s">
        <v>1706</v>
      </c>
      <c r="J272" s="25" t="s">
        <v>1708</v>
      </c>
      <c r="K272" s="25">
        <v>0</v>
      </c>
      <c r="L272" s="25">
        <v>0</v>
      </c>
      <c r="M272" s="25">
        <v>0</v>
      </c>
      <c r="N272" s="25">
        <v>0</v>
      </c>
      <c r="O272" s="25">
        <v>0</v>
      </c>
      <c r="P272" s="25">
        <v>0</v>
      </c>
      <c r="Q272" s="25">
        <v>0</v>
      </c>
      <c r="R272" s="25">
        <v>0</v>
      </c>
      <c r="S272" s="25">
        <v>0</v>
      </c>
      <c r="T272" s="25">
        <v>0</v>
      </c>
      <c r="U272" s="27" t="str">
        <f>_xlfn.LET(_xlpm.maxVal,_xlfn.MAXIFS($K:$K,$A:$A,A272),IF(AND(_xlpm.maxVal=K272,L272&lt;&gt;0),_xlpm.maxVal,""))</f>
        <v/>
      </c>
      <c r="V272" s="27" t="str">
        <f>_xlfn.LET(_xlpm.maxVal,_xlfn.MAXIFS($K:$K,$A:$A,A272),IF(AND(_xlpm.maxVal=K272,M272&lt;&gt;0),_xlpm.maxVal,""))</f>
        <v/>
      </c>
      <c r="W272" s="27" t="str">
        <f>_xlfn.LET(_xlpm.maxVal,_xlfn.MAXIFS($K:$K,$A:$A,A272),IF(AND(_xlpm.maxVal=K272,N272&lt;&gt;0),_xlpm.maxVal,""))</f>
        <v/>
      </c>
      <c r="X272" s="27" t="str">
        <f>_xlfn.LET(_xlpm.maxVal,_xlfn.MAXIFS($K:$K,$A:$A,A272),IF(AND(_xlpm.maxVal=K272,O272&lt;&gt;0),_xlpm.maxVal,""))</f>
        <v/>
      </c>
      <c r="Y272" s="27" t="str">
        <f>_xlfn.LET(_xlpm.maxVal,_xlfn.MAXIFS($K:$K,$A:$A,A272),IF(AND(_xlpm.maxVal=K272,P272&lt;&gt;0),_xlpm.maxVal,""))</f>
        <v/>
      </c>
      <c r="Z272" s="27" t="str">
        <f>_xlfn.LET(_xlpm.maxVal,_xlfn.MAXIFS($K:$K,$A:$A,A272),IF(AND(_xlpm.maxVal=K272,Q272&lt;&gt;0),_xlpm.maxVal,""))</f>
        <v/>
      </c>
      <c r="AA272" s="27" t="str">
        <f>_xlfn.LET(_xlpm.maxVal,_xlfn.MAXIFS($K:$K,$A:$A,A272),IF(AND(_xlpm.maxVal=K272,R272&lt;&gt;0),_xlpm.maxVal,""))</f>
        <v/>
      </c>
      <c r="AB272" s="27" t="str">
        <f>_xlfn.LET(_xlpm.maxVal,_xlfn.MAXIFS($K:$K,$A:$A,A272),IF(AND(_xlpm.maxVal=K272,S272&lt;&gt;0),_xlpm.maxVal,""))</f>
        <v/>
      </c>
      <c r="AC272" s="27" t="str">
        <f>_xlfn.LET(_xlpm.maxVal,_xlfn.MAXIFS($K:$K,$A:$A,A272),IF(AND(_xlpm.maxVal=K272,T272&lt;&gt;0),_xlpm.maxVal,""))</f>
        <v/>
      </c>
      <c r="AD272" s="27">
        <f>$K272*L272*负载统计!$K$3/60</f>
        <v>0</v>
      </c>
      <c r="AE272" s="27">
        <f>$K272*L272*负载统计!$K$4/60</f>
        <v>0</v>
      </c>
      <c r="AF272" s="27">
        <f>$K272*N272*负载统计!$K$5/60</f>
        <v>0</v>
      </c>
      <c r="AG272" s="27">
        <f>$K272*O272*负载统计!$K$6/60</f>
        <v>0</v>
      </c>
      <c r="AH272" s="27">
        <f>$K272*P272*负载统计!$K$7/60</f>
        <v>0</v>
      </c>
      <c r="AI272" s="27">
        <f>$K272*Q272*负载统计!$K$8/60</f>
        <v>0</v>
      </c>
      <c r="AJ272" s="27">
        <f>$K272*R272*负载统计!$K$9/60</f>
        <v>0</v>
      </c>
      <c r="AK272" s="27">
        <f>$K272*S272*负载统计!$K$10/60</f>
        <v>0</v>
      </c>
      <c r="AL272" s="27">
        <f>$K272*T272*负载统计!$K$11/60</f>
        <v>0</v>
      </c>
    </row>
    <row r="273" spans="1:38">
      <c r="A273" s="1">
        <v>125</v>
      </c>
      <c r="B273" s="24" t="s">
        <v>1503</v>
      </c>
      <c r="C273" s="24" t="s">
        <v>1476</v>
      </c>
      <c r="D273" s="24" t="s">
        <v>1504</v>
      </c>
      <c r="E273" s="24" t="s">
        <v>898</v>
      </c>
      <c r="F273" s="24" t="s">
        <v>899</v>
      </c>
      <c r="G273" s="25">
        <f>VLOOKUP(A273,负载电气特性!A:G,7,FALSE)</f>
        <v>28</v>
      </c>
      <c r="H273" s="26" t="s">
        <v>66</v>
      </c>
      <c r="I273" s="25" t="s">
        <v>1706</v>
      </c>
      <c r="J273" s="25" t="s">
        <v>1712</v>
      </c>
      <c r="K273" s="25">
        <v>0.2</v>
      </c>
      <c r="L273" s="25">
        <v>1</v>
      </c>
      <c r="M273" s="25">
        <v>1</v>
      </c>
      <c r="N273" s="25">
        <v>0.9</v>
      </c>
      <c r="O273" s="25">
        <v>0.9</v>
      </c>
      <c r="P273" s="25">
        <v>0.5</v>
      </c>
      <c r="Q273" s="25">
        <v>0.9</v>
      </c>
      <c r="R273" s="25">
        <v>0.5</v>
      </c>
      <c r="S273" s="25">
        <v>0.9</v>
      </c>
      <c r="T273" s="25">
        <v>0.9</v>
      </c>
      <c r="U273" s="27" t="str">
        <f>_xlfn.LET(_xlpm.maxVal,_xlfn.MAXIFS($K:$K,$A:$A,A273),IF(AND(_xlpm.maxVal=K273,L273&lt;&gt;0),_xlpm.maxVal,""))</f>
        <v/>
      </c>
      <c r="V273" s="27" t="str">
        <f>_xlfn.LET(_xlpm.maxVal,_xlfn.MAXIFS($K:$K,$A:$A,A273),IF(AND(_xlpm.maxVal=K273,M273&lt;&gt;0),_xlpm.maxVal,""))</f>
        <v/>
      </c>
      <c r="W273" s="27" t="str">
        <f>_xlfn.LET(_xlpm.maxVal,_xlfn.MAXIFS($K:$K,$A:$A,A273),IF(AND(_xlpm.maxVal=K273,N273&lt;&gt;0),_xlpm.maxVal,""))</f>
        <v/>
      </c>
      <c r="X273" s="27" t="str">
        <f>_xlfn.LET(_xlpm.maxVal,_xlfn.MAXIFS($K:$K,$A:$A,A273),IF(AND(_xlpm.maxVal=K273,O273&lt;&gt;0),_xlpm.maxVal,""))</f>
        <v/>
      </c>
      <c r="Y273" s="27" t="str">
        <f>_xlfn.LET(_xlpm.maxVal,_xlfn.MAXIFS($K:$K,$A:$A,A273),IF(AND(_xlpm.maxVal=K273,P273&lt;&gt;0),_xlpm.maxVal,""))</f>
        <v/>
      </c>
      <c r="Z273" s="27" t="str">
        <f>_xlfn.LET(_xlpm.maxVal,_xlfn.MAXIFS($K:$K,$A:$A,A273),IF(AND(_xlpm.maxVal=K273,Q273&lt;&gt;0),_xlpm.maxVal,""))</f>
        <v/>
      </c>
      <c r="AA273" s="27" t="str">
        <f>_xlfn.LET(_xlpm.maxVal,_xlfn.MAXIFS($K:$K,$A:$A,A273),IF(AND(_xlpm.maxVal=K273,R273&lt;&gt;0),_xlpm.maxVal,""))</f>
        <v/>
      </c>
      <c r="AB273" s="27" t="str">
        <f>_xlfn.LET(_xlpm.maxVal,_xlfn.MAXIFS($K:$K,$A:$A,A273),IF(AND(_xlpm.maxVal=K273,S273&lt;&gt;0),_xlpm.maxVal,""))</f>
        <v/>
      </c>
      <c r="AC273" s="27" t="str">
        <f>_xlfn.LET(_xlpm.maxVal,_xlfn.MAXIFS($K:$K,$A:$A,A273),IF(AND(_xlpm.maxVal=K273,T273&lt;&gt;0),_xlpm.maxVal,""))</f>
        <v/>
      </c>
      <c r="AD273" s="27">
        <f>$K273*L273*负载统计!$K$3/60</f>
        <v>0</v>
      </c>
      <c r="AE273" s="27">
        <f>$K273*L273*负载统计!$K$4/60</f>
        <v>0</v>
      </c>
      <c r="AF273" s="27">
        <f>$K273*N273*负载统计!$K$5/60</f>
        <v>0.003</v>
      </c>
      <c r="AG273" s="27">
        <f>$K273*O273*负载统计!$K$6/60</f>
        <v>0.009</v>
      </c>
      <c r="AH273" s="27">
        <f>$K273*P273*负载统计!$K$7/60</f>
        <v>0.0112833333333333</v>
      </c>
      <c r="AI273" s="27">
        <f>$K273*Q273*负载统计!$K$8/60</f>
        <v>0.1308</v>
      </c>
      <c r="AJ273" s="27">
        <f>$K273*R273*负载统计!$K$9/60</f>
        <v>0.0230833333333333</v>
      </c>
      <c r="AK273" s="27">
        <f>$K273*S273*负载统计!$K$10/60</f>
        <v>0.0015</v>
      </c>
      <c r="AL273" s="27">
        <f>$K273*T273*负载统计!$K$11/60</f>
        <v>0.012</v>
      </c>
    </row>
    <row r="274" spans="1:38">
      <c r="A274" s="1">
        <v>125</v>
      </c>
      <c r="B274" s="24" t="s">
        <v>1503</v>
      </c>
      <c r="C274" s="24" t="s">
        <v>1476</v>
      </c>
      <c r="D274" s="24" t="s">
        <v>1504</v>
      </c>
      <c r="E274" s="24" t="s">
        <v>898</v>
      </c>
      <c r="F274" s="24" t="s">
        <v>899</v>
      </c>
      <c r="G274" s="25">
        <f>VLOOKUP(A274,负载电气特性!A:G,7,FALSE)</f>
        <v>28</v>
      </c>
      <c r="H274" s="26" t="s">
        <v>66</v>
      </c>
      <c r="I274" s="25" t="s">
        <v>1706</v>
      </c>
      <c r="J274" s="25" t="s">
        <v>1719</v>
      </c>
      <c r="K274" s="25">
        <v>0.6</v>
      </c>
      <c r="L274" s="25">
        <v>0</v>
      </c>
      <c r="M274" s="25">
        <v>0</v>
      </c>
      <c r="N274" s="25">
        <v>0.1</v>
      </c>
      <c r="O274" s="25">
        <v>0.1</v>
      </c>
      <c r="P274" s="25">
        <v>0.5</v>
      </c>
      <c r="Q274" s="25">
        <v>0.1</v>
      </c>
      <c r="R274" s="25">
        <v>0.5</v>
      </c>
      <c r="S274" s="25">
        <v>0.1</v>
      </c>
      <c r="T274" s="25">
        <v>0.1</v>
      </c>
      <c r="U274" s="27" t="str">
        <f>_xlfn.LET(_xlpm.maxVal,_xlfn.MAXIFS($K:$K,$A:$A,A274),IF(AND(_xlpm.maxVal=K274,L274&lt;&gt;0),_xlpm.maxVal,""))</f>
        <v/>
      </c>
      <c r="V274" s="27" t="str">
        <f>_xlfn.LET(_xlpm.maxVal,_xlfn.MAXIFS($K:$K,$A:$A,A274),IF(AND(_xlpm.maxVal=K274,M274&lt;&gt;0),_xlpm.maxVal,""))</f>
        <v/>
      </c>
      <c r="W274" s="27">
        <f>_xlfn.LET(_xlpm.maxVal,_xlfn.MAXIFS($K:$K,$A:$A,A274),IF(AND(_xlpm.maxVal=K274,N274&lt;&gt;0),_xlpm.maxVal,""))</f>
        <v>0.6</v>
      </c>
      <c r="X274" s="27">
        <f>_xlfn.LET(_xlpm.maxVal,_xlfn.MAXIFS($K:$K,$A:$A,A274),IF(AND(_xlpm.maxVal=K274,O274&lt;&gt;0),_xlpm.maxVal,""))</f>
        <v>0.6</v>
      </c>
      <c r="Y274" s="27">
        <f>_xlfn.LET(_xlpm.maxVal,_xlfn.MAXIFS($K:$K,$A:$A,A274),IF(AND(_xlpm.maxVal=K274,P274&lt;&gt;0),_xlpm.maxVal,""))</f>
        <v>0.6</v>
      </c>
      <c r="Z274" s="27">
        <f>_xlfn.LET(_xlpm.maxVal,_xlfn.MAXIFS($K:$K,$A:$A,A274),IF(AND(_xlpm.maxVal=K274,Q274&lt;&gt;0),_xlpm.maxVal,""))</f>
        <v>0.6</v>
      </c>
      <c r="AA274" s="27">
        <f>_xlfn.LET(_xlpm.maxVal,_xlfn.MAXIFS($K:$K,$A:$A,A274),IF(AND(_xlpm.maxVal=K274,R274&lt;&gt;0),_xlpm.maxVal,""))</f>
        <v>0.6</v>
      </c>
      <c r="AB274" s="27">
        <f>_xlfn.LET(_xlpm.maxVal,_xlfn.MAXIFS($K:$K,$A:$A,A274),IF(AND(_xlpm.maxVal=K274,S274&lt;&gt;0),_xlpm.maxVal,""))</f>
        <v>0.6</v>
      </c>
      <c r="AC274" s="27">
        <f>_xlfn.LET(_xlpm.maxVal,_xlfn.MAXIFS($K:$K,$A:$A,A274),IF(AND(_xlpm.maxVal=K274,T274&lt;&gt;0),_xlpm.maxVal,""))</f>
        <v>0.6</v>
      </c>
      <c r="AD274" s="27">
        <f>$K274*L274*负载统计!$K$3/60</f>
        <v>0</v>
      </c>
      <c r="AE274" s="27">
        <f>$K274*L274*负载统计!$K$4/60</f>
        <v>0</v>
      </c>
      <c r="AF274" s="27">
        <f>$K274*N274*负载统计!$K$5/60</f>
        <v>0.001</v>
      </c>
      <c r="AG274" s="27">
        <f>$K274*O274*负载统计!$K$6/60</f>
        <v>0.003</v>
      </c>
      <c r="AH274" s="27">
        <f>$K274*P274*负载统计!$K$7/60</f>
        <v>0.03385</v>
      </c>
      <c r="AI274" s="27">
        <f>$K274*Q274*负载统计!$K$8/60</f>
        <v>0.0436</v>
      </c>
      <c r="AJ274" s="27">
        <f>$K274*R274*负载统计!$K$9/60</f>
        <v>0.06925</v>
      </c>
      <c r="AK274" s="27">
        <f>$K274*S274*负载统计!$K$10/60</f>
        <v>0.0005</v>
      </c>
      <c r="AL274" s="27">
        <f>$K274*T274*负载统计!$K$11/60</f>
        <v>0.004</v>
      </c>
    </row>
    <row r="275" spans="1:38">
      <c r="A275" s="1">
        <v>125</v>
      </c>
      <c r="B275" s="24" t="s">
        <v>1503</v>
      </c>
      <c r="C275" s="24" t="s">
        <v>1476</v>
      </c>
      <c r="D275" s="24" t="s">
        <v>1504</v>
      </c>
      <c r="E275" s="24" t="s">
        <v>898</v>
      </c>
      <c r="F275" s="24" t="s">
        <v>899</v>
      </c>
      <c r="G275" s="25">
        <f>VLOOKUP(A275,负载电气特性!A:G,7,FALSE)</f>
        <v>28</v>
      </c>
      <c r="H275" s="26" t="s">
        <v>66</v>
      </c>
      <c r="I275" s="25" t="s">
        <v>1706</v>
      </c>
      <c r="J275" s="25" t="s">
        <v>1708</v>
      </c>
      <c r="K275" s="25">
        <v>0</v>
      </c>
      <c r="L275" s="25">
        <v>0</v>
      </c>
      <c r="M275" s="25">
        <v>0</v>
      </c>
      <c r="N275" s="25">
        <v>0</v>
      </c>
      <c r="O275" s="25">
        <v>0</v>
      </c>
      <c r="P275" s="25">
        <v>0</v>
      </c>
      <c r="Q275" s="25">
        <v>0</v>
      </c>
      <c r="R275" s="25">
        <v>0</v>
      </c>
      <c r="S275" s="25">
        <v>0</v>
      </c>
      <c r="T275" s="25">
        <v>0</v>
      </c>
      <c r="U275" s="27" t="str">
        <f>_xlfn.LET(_xlpm.maxVal,_xlfn.MAXIFS($K:$K,$A:$A,A275),IF(AND(_xlpm.maxVal=K275,L275&lt;&gt;0),_xlpm.maxVal,""))</f>
        <v/>
      </c>
      <c r="V275" s="27" t="str">
        <f>_xlfn.LET(_xlpm.maxVal,_xlfn.MAXIFS($K:$K,$A:$A,A275),IF(AND(_xlpm.maxVal=K275,M275&lt;&gt;0),_xlpm.maxVal,""))</f>
        <v/>
      </c>
      <c r="W275" s="27" t="str">
        <f>_xlfn.LET(_xlpm.maxVal,_xlfn.MAXIFS($K:$K,$A:$A,A275),IF(AND(_xlpm.maxVal=K275,N275&lt;&gt;0),_xlpm.maxVal,""))</f>
        <v/>
      </c>
      <c r="X275" s="27" t="str">
        <f>_xlfn.LET(_xlpm.maxVal,_xlfn.MAXIFS($K:$K,$A:$A,A275),IF(AND(_xlpm.maxVal=K275,O275&lt;&gt;0),_xlpm.maxVal,""))</f>
        <v/>
      </c>
      <c r="Y275" s="27" t="str">
        <f>_xlfn.LET(_xlpm.maxVal,_xlfn.MAXIFS($K:$K,$A:$A,A275),IF(AND(_xlpm.maxVal=K275,P275&lt;&gt;0),_xlpm.maxVal,""))</f>
        <v/>
      </c>
      <c r="Z275" s="27" t="str">
        <f>_xlfn.LET(_xlpm.maxVal,_xlfn.MAXIFS($K:$K,$A:$A,A275),IF(AND(_xlpm.maxVal=K275,Q275&lt;&gt;0),_xlpm.maxVal,""))</f>
        <v/>
      </c>
      <c r="AA275" s="27" t="str">
        <f>_xlfn.LET(_xlpm.maxVal,_xlfn.MAXIFS($K:$K,$A:$A,A275),IF(AND(_xlpm.maxVal=K275,R275&lt;&gt;0),_xlpm.maxVal,""))</f>
        <v/>
      </c>
      <c r="AB275" s="27" t="str">
        <f>_xlfn.LET(_xlpm.maxVal,_xlfn.MAXIFS($K:$K,$A:$A,A275),IF(AND(_xlpm.maxVal=K275,S275&lt;&gt;0),_xlpm.maxVal,""))</f>
        <v/>
      </c>
      <c r="AC275" s="27" t="str">
        <f>_xlfn.LET(_xlpm.maxVal,_xlfn.MAXIFS($K:$K,$A:$A,A275),IF(AND(_xlpm.maxVal=K275,T275&lt;&gt;0),_xlpm.maxVal,""))</f>
        <v/>
      </c>
      <c r="AD275" s="27">
        <f>$K275*L275*负载统计!$K$3/60</f>
        <v>0</v>
      </c>
      <c r="AE275" s="27">
        <f>$K275*L275*负载统计!$K$4/60</f>
        <v>0</v>
      </c>
      <c r="AF275" s="27">
        <f>$K275*N275*负载统计!$K$5/60</f>
        <v>0</v>
      </c>
      <c r="AG275" s="27">
        <f>$K275*O275*负载统计!$K$6/60</f>
        <v>0</v>
      </c>
      <c r="AH275" s="27">
        <f>$K275*P275*负载统计!$K$7/60</f>
        <v>0</v>
      </c>
      <c r="AI275" s="27">
        <f>$K275*Q275*负载统计!$K$8/60</f>
        <v>0</v>
      </c>
      <c r="AJ275" s="27">
        <f>$K275*R275*负载统计!$K$9/60</f>
        <v>0</v>
      </c>
      <c r="AK275" s="27">
        <f>$K275*S275*负载统计!$K$10/60</f>
        <v>0</v>
      </c>
      <c r="AL275" s="27">
        <f>$K275*T275*负载统计!$K$11/60</f>
        <v>0</v>
      </c>
    </row>
    <row r="276" spans="1:38">
      <c r="A276" s="1">
        <v>126</v>
      </c>
      <c r="B276" s="24" t="s">
        <v>1505</v>
      </c>
      <c r="C276" s="24" t="s">
        <v>1476</v>
      </c>
      <c r="D276" s="24" t="s">
        <v>1506</v>
      </c>
      <c r="E276" s="24" t="s">
        <v>901</v>
      </c>
      <c r="F276" s="24" t="s">
        <v>902</v>
      </c>
      <c r="G276" s="25">
        <f>VLOOKUP(A276,负载电气特性!A:G,7,FALSE)</f>
        <v>28</v>
      </c>
      <c r="H276" s="26" t="s">
        <v>66</v>
      </c>
      <c r="I276" s="25" t="s">
        <v>1706</v>
      </c>
      <c r="J276" s="25" t="s">
        <v>1712</v>
      </c>
      <c r="K276" s="25">
        <v>0.1</v>
      </c>
      <c r="L276" s="25">
        <v>1</v>
      </c>
      <c r="M276" s="25">
        <v>1</v>
      </c>
      <c r="N276" s="25">
        <v>0.9</v>
      </c>
      <c r="O276" s="25">
        <v>0.9</v>
      </c>
      <c r="P276" s="25">
        <v>0.5</v>
      </c>
      <c r="Q276" s="25">
        <v>0.9</v>
      </c>
      <c r="R276" s="25">
        <v>0.5</v>
      </c>
      <c r="S276" s="25">
        <v>0.9</v>
      </c>
      <c r="T276" s="25">
        <v>0.9</v>
      </c>
      <c r="U276" s="27" t="str">
        <f>_xlfn.LET(_xlpm.maxVal,_xlfn.MAXIFS($K:$K,$A:$A,A276),IF(AND(_xlpm.maxVal=K276,L276&lt;&gt;0),_xlpm.maxVal,""))</f>
        <v/>
      </c>
      <c r="V276" s="27" t="str">
        <f>_xlfn.LET(_xlpm.maxVal,_xlfn.MAXIFS($K:$K,$A:$A,A276),IF(AND(_xlpm.maxVal=K276,M276&lt;&gt;0),_xlpm.maxVal,""))</f>
        <v/>
      </c>
      <c r="W276" s="27" t="str">
        <f>_xlfn.LET(_xlpm.maxVal,_xlfn.MAXIFS($K:$K,$A:$A,A276),IF(AND(_xlpm.maxVal=K276,N276&lt;&gt;0),_xlpm.maxVal,""))</f>
        <v/>
      </c>
      <c r="X276" s="27" t="str">
        <f>_xlfn.LET(_xlpm.maxVal,_xlfn.MAXIFS($K:$K,$A:$A,A276),IF(AND(_xlpm.maxVal=K276,O276&lt;&gt;0),_xlpm.maxVal,""))</f>
        <v/>
      </c>
      <c r="Y276" s="27" t="str">
        <f>_xlfn.LET(_xlpm.maxVal,_xlfn.MAXIFS($K:$K,$A:$A,A276),IF(AND(_xlpm.maxVal=K276,P276&lt;&gt;0),_xlpm.maxVal,""))</f>
        <v/>
      </c>
      <c r="Z276" s="27" t="str">
        <f>_xlfn.LET(_xlpm.maxVal,_xlfn.MAXIFS($K:$K,$A:$A,A276),IF(AND(_xlpm.maxVal=K276,Q276&lt;&gt;0),_xlpm.maxVal,""))</f>
        <v/>
      </c>
      <c r="AA276" s="27" t="str">
        <f>_xlfn.LET(_xlpm.maxVal,_xlfn.MAXIFS($K:$K,$A:$A,A276),IF(AND(_xlpm.maxVal=K276,R276&lt;&gt;0),_xlpm.maxVal,""))</f>
        <v/>
      </c>
      <c r="AB276" s="27" t="str">
        <f>_xlfn.LET(_xlpm.maxVal,_xlfn.MAXIFS($K:$K,$A:$A,A276),IF(AND(_xlpm.maxVal=K276,S276&lt;&gt;0),_xlpm.maxVal,""))</f>
        <v/>
      </c>
      <c r="AC276" s="27" t="str">
        <f>_xlfn.LET(_xlpm.maxVal,_xlfn.MAXIFS($K:$K,$A:$A,A276),IF(AND(_xlpm.maxVal=K276,T276&lt;&gt;0),_xlpm.maxVal,""))</f>
        <v/>
      </c>
      <c r="AD276" s="27">
        <f>$K276*L276*负载统计!$K$3/60</f>
        <v>0</v>
      </c>
      <c r="AE276" s="27">
        <f>$K276*L276*负载统计!$K$4/60</f>
        <v>0</v>
      </c>
      <c r="AF276" s="27">
        <f>$K276*N276*负载统计!$K$5/60</f>
        <v>0.0015</v>
      </c>
      <c r="AG276" s="27">
        <f>$K276*O276*负载统计!$K$6/60</f>
        <v>0.0045</v>
      </c>
      <c r="AH276" s="27">
        <f>$K276*P276*负载统计!$K$7/60</f>
        <v>0.00564166666666667</v>
      </c>
      <c r="AI276" s="27">
        <f>$K276*Q276*负载统计!$K$8/60</f>
        <v>0.0654</v>
      </c>
      <c r="AJ276" s="27">
        <f>$K276*R276*负载统计!$K$9/60</f>
        <v>0.0115416666666667</v>
      </c>
      <c r="AK276" s="27">
        <f>$K276*S276*负载统计!$K$10/60</f>
        <v>0.00075</v>
      </c>
      <c r="AL276" s="27">
        <f>$K276*T276*负载统计!$K$11/60</f>
        <v>0.006</v>
      </c>
    </row>
    <row r="277" spans="1:38">
      <c r="A277" s="1">
        <v>126</v>
      </c>
      <c r="B277" s="24" t="s">
        <v>1505</v>
      </c>
      <c r="C277" s="24" t="s">
        <v>1476</v>
      </c>
      <c r="D277" s="24" t="s">
        <v>1506</v>
      </c>
      <c r="E277" s="24" t="s">
        <v>901</v>
      </c>
      <c r="F277" s="24" t="s">
        <v>902</v>
      </c>
      <c r="G277" s="25">
        <f>VLOOKUP(A277,负载电气特性!A:G,7,FALSE)</f>
        <v>28</v>
      </c>
      <c r="H277" s="26" t="s">
        <v>66</v>
      </c>
      <c r="I277" s="25" t="s">
        <v>1706</v>
      </c>
      <c r="J277" s="25" t="s">
        <v>1719</v>
      </c>
      <c r="K277" s="25">
        <v>0.3</v>
      </c>
      <c r="L277" s="25">
        <v>0</v>
      </c>
      <c r="M277" s="25">
        <v>0</v>
      </c>
      <c r="N277" s="25">
        <v>0.1</v>
      </c>
      <c r="O277" s="25">
        <v>0.1</v>
      </c>
      <c r="P277" s="25">
        <v>0.5</v>
      </c>
      <c r="Q277" s="25">
        <v>0.1</v>
      </c>
      <c r="R277" s="25">
        <v>0.5</v>
      </c>
      <c r="S277" s="25">
        <v>0.1</v>
      </c>
      <c r="T277" s="25">
        <v>0.1</v>
      </c>
      <c r="U277" s="27" t="str">
        <f>_xlfn.LET(_xlpm.maxVal,_xlfn.MAXIFS($K:$K,$A:$A,A277),IF(AND(_xlpm.maxVal=K277,L277&lt;&gt;0),_xlpm.maxVal,""))</f>
        <v/>
      </c>
      <c r="V277" s="27" t="str">
        <f>_xlfn.LET(_xlpm.maxVal,_xlfn.MAXIFS($K:$K,$A:$A,A277),IF(AND(_xlpm.maxVal=K277,M277&lt;&gt;0),_xlpm.maxVal,""))</f>
        <v/>
      </c>
      <c r="W277" s="27">
        <f>_xlfn.LET(_xlpm.maxVal,_xlfn.MAXIFS($K:$K,$A:$A,A277),IF(AND(_xlpm.maxVal=K277,N277&lt;&gt;0),_xlpm.maxVal,""))</f>
        <v>0.3</v>
      </c>
      <c r="X277" s="27">
        <f>_xlfn.LET(_xlpm.maxVal,_xlfn.MAXIFS($K:$K,$A:$A,A277),IF(AND(_xlpm.maxVal=K277,O277&lt;&gt;0),_xlpm.maxVal,""))</f>
        <v>0.3</v>
      </c>
      <c r="Y277" s="27">
        <f>_xlfn.LET(_xlpm.maxVal,_xlfn.MAXIFS($K:$K,$A:$A,A277),IF(AND(_xlpm.maxVal=K277,P277&lt;&gt;0),_xlpm.maxVal,""))</f>
        <v>0.3</v>
      </c>
      <c r="Z277" s="27">
        <f>_xlfn.LET(_xlpm.maxVal,_xlfn.MAXIFS($K:$K,$A:$A,A277),IF(AND(_xlpm.maxVal=K277,Q277&lt;&gt;0),_xlpm.maxVal,""))</f>
        <v>0.3</v>
      </c>
      <c r="AA277" s="27">
        <f>_xlfn.LET(_xlpm.maxVal,_xlfn.MAXIFS($K:$K,$A:$A,A277),IF(AND(_xlpm.maxVal=K277,R277&lt;&gt;0),_xlpm.maxVal,""))</f>
        <v>0.3</v>
      </c>
      <c r="AB277" s="27">
        <f>_xlfn.LET(_xlpm.maxVal,_xlfn.MAXIFS($K:$K,$A:$A,A277),IF(AND(_xlpm.maxVal=K277,S277&lt;&gt;0),_xlpm.maxVal,""))</f>
        <v>0.3</v>
      </c>
      <c r="AC277" s="27">
        <f>_xlfn.LET(_xlpm.maxVal,_xlfn.MAXIFS($K:$K,$A:$A,A277),IF(AND(_xlpm.maxVal=K277,T277&lt;&gt;0),_xlpm.maxVal,""))</f>
        <v>0.3</v>
      </c>
      <c r="AD277" s="27">
        <f>$K277*L277*负载统计!$K$3/60</f>
        <v>0</v>
      </c>
      <c r="AE277" s="27">
        <f>$K277*L277*负载统计!$K$4/60</f>
        <v>0</v>
      </c>
      <c r="AF277" s="27">
        <f>$K277*N277*负载统计!$K$5/60</f>
        <v>0.0005</v>
      </c>
      <c r="AG277" s="27">
        <f>$K277*O277*负载统计!$K$6/60</f>
        <v>0.0015</v>
      </c>
      <c r="AH277" s="27">
        <f>$K277*P277*负载统计!$K$7/60</f>
        <v>0.016925</v>
      </c>
      <c r="AI277" s="27">
        <f>$K277*Q277*负载统计!$K$8/60</f>
        <v>0.0218</v>
      </c>
      <c r="AJ277" s="27">
        <f>$K277*R277*负载统计!$K$9/60</f>
        <v>0.034625</v>
      </c>
      <c r="AK277" s="27">
        <f>$K277*S277*负载统计!$K$10/60</f>
        <v>0.00025</v>
      </c>
      <c r="AL277" s="27">
        <f>$K277*T277*负载统计!$K$11/60</f>
        <v>0.002</v>
      </c>
    </row>
    <row r="278" spans="1:38">
      <c r="A278" s="1">
        <v>126</v>
      </c>
      <c r="B278" s="24" t="s">
        <v>1505</v>
      </c>
      <c r="C278" s="24" t="s">
        <v>1476</v>
      </c>
      <c r="D278" s="24" t="s">
        <v>1506</v>
      </c>
      <c r="E278" s="24" t="s">
        <v>901</v>
      </c>
      <c r="F278" s="24" t="s">
        <v>902</v>
      </c>
      <c r="G278" s="25">
        <f>VLOOKUP(A278,负载电气特性!A:G,7,FALSE)</f>
        <v>28</v>
      </c>
      <c r="H278" s="26" t="s">
        <v>66</v>
      </c>
      <c r="I278" s="25" t="s">
        <v>1706</v>
      </c>
      <c r="J278" s="25" t="s">
        <v>1708</v>
      </c>
      <c r="K278" s="25">
        <v>0</v>
      </c>
      <c r="L278" s="25">
        <v>0</v>
      </c>
      <c r="M278" s="25">
        <v>0</v>
      </c>
      <c r="N278" s="25">
        <v>0</v>
      </c>
      <c r="O278" s="25">
        <v>0</v>
      </c>
      <c r="P278" s="25">
        <v>0</v>
      </c>
      <c r="Q278" s="25">
        <v>0</v>
      </c>
      <c r="R278" s="25">
        <v>0</v>
      </c>
      <c r="S278" s="25">
        <v>0</v>
      </c>
      <c r="T278" s="25">
        <v>0</v>
      </c>
      <c r="U278" s="27" t="str">
        <f>_xlfn.LET(_xlpm.maxVal,_xlfn.MAXIFS($K:$K,$A:$A,A278),IF(AND(_xlpm.maxVal=K278,L278&lt;&gt;0),_xlpm.maxVal,""))</f>
        <v/>
      </c>
      <c r="V278" s="27" t="str">
        <f>_xlfn.LET(_xlpm.maxVal,_xlfn.MAXIFS($K:$K,$A:$A,A278),IF(AND(_xlpm.maxVal=K278,M278&lt;&gt;0),_xlpm.maxVal,""))</f>
        <v/>
      </c>
      <c r="W278" s="27" t="str">
        <f>_xlfn.LET(_xlpm.maxVal,_xlfn.MAXIFS($K:$K,$A:$A,A278),IF(AND(_xlpm.maxVal=K278,N278&lt;&gt;0),_xlpm.maxVal,""))</f>
        <v/>
      </c>
      <c r="X278" s="27" t="str">
        <f>_xlfn.LET(_xlpm.maxVal,_xlfn.MAXIFS($K:$K,$A:$A,A278),IF(AND(_xlpm.maxVal=K278,O278&lt;&gt;0),_xlpm.maxVal,""))</f>
        <v/>
      </c>
      <c r="Y278" s="27" t="str">
        <f>_xlfn.LET(_xlpm.maxVal,_xlfn.MAXIFS($K:$K,$A:$A,A278),IF(AND(_xlpm.maxVal=K278,P278&lt;&gt;0),_xlpm.maxVal,""))</f>
        <v/>
      </c>
      <c r="Z278" s="27" t="str">
        <f>_xlfn.LET(_xlpm.maxVal,_xlfn.MAXIFS($K:$K,$A:$A,A278),IF(AND(_xlpm.maxVal=K278,Q278&lt;&gt;0),_xlpm.maxVal,""))</f>
        <v/>
      </c>
      <c r="AA278" s="27" t="str">
        <f>_xlfn.LET(_xlpm.maxVal,_xlfn.MAXIFS($K:$K,$A:$A,A278),IF(AND(_xlpm.maxVal=K278,R278&lt;&gt;0),_xlpm.maxVal,""))</f>
        <v/>
      </c>
      <c r="AB278" s="27" t="str">
        <f>_xlfn.LET(_xlpm.maxVal,_xlfn.MAXIFS($K:$K,$A:$A,A278),IF(AND(_xlpm.maxVal=K278,S278&lt;&gt;0),_xlpm.maxVal,""))</f>
        <v/>
      </c>
      <c r="AC278" s="27" t="str">
        <f>_xlfn.LET(_xlpm.maxVal,_xlfn.MAXIFS($K:$K,$A:$A,A278),IF(AND(_xlpm.maxVal=K278,T278&lt;&gt;0),_xlpm.maxVal,""))</f>
        <v/>
      </c>
      <c r="AD278" s="27">
        <f>$K278*L278*负载统计!$K$3/60</f>
        <v>0</v>
      </c>
      <c r="AE278" s="27">
        <f>$K278*L278*负载统计!$K$4/60</f>
        <v>0</v>
      </c>
      <c r="AF278" s="27">
        <f>$K278*N278*负载统计!$K$5/60</f>
        <v>0</v>
      </c>
      <c r="AG278" s="27">
        <f>$K278*O278*负载统计!$K$6/60</f>
        <v>0</v>
      </c>
      <c r="AH278" s="27">
        <f>$K278*P278*负载统计!$K$7/60</f>
        <v>0</v>
      </c>
      <c r="AI278" s="27">
        <f>$K278*Q278*负载统计!$K$8/60</f>
        <v>0</v>
      </c>
      <c r="AJ278" s="27">
        <f>$K278*R278*负载统计!$K$9/60</f>
        <v>0</v>
      </c>
      <c r="AK278" s="27">
        <f>$K278*S278*负载统计!$K$10/60</f>
        <v>0</v>
      </c>
      <c r="AL278" s="27">
        <f>$K278*T278*负载统计!$K$11/60</f>
        <v>0</v>
      </c>
    </row>
    <row r="279" spans="1:38">
      <c r="A279" s="1">
        <v>127</v>
      </c>
      <c r="B279" s="24" t="s">
        <v>1507</v>
      </c>
      <c r="C279" s="24" t="s">
        <v>1476</v>
      </c>
      <c r="D279" s="24" t="s">
        <v>910</v>
      </c>
      <c r="E279" s="24" t="s">
        <v>911</v>
      </c>
      <c r="F279" s="24" t="s">
        <v>912</v>
      </c>
      <c r="G279" s="25">
        <f>VLOOKUP(A279,负载电气特性!A:G,7,FALSE)</f>
        <v>28</v>
      </c>
      <c r="H279" s="26" t="s">
        <v>66</v>
      </c>
      <c r="I279" s="25" t="s">
        <v>1706</v>
      </c>
      <c r="J279" s="25" t="s">
        <v>1707</v>
      </c>
      <c r="K279" s="25">
        <v>0.11</v>
      </c>
      <c r="L279" s="25">
        <v>1</v>
      </c>
      <c r="M279" s="25">
        <v>1</v>
      </c>
      <c r="N279" s="25">
        <v>1</v>
      </c>
      <c r="O279" s="25">
        <v>1</v>
      </c>
      <c r="P279" s="25">
        <v>1</v>
      </c>
      <c r="Q279" s="25">
        <v>1</v>
      </c>
      <c r="R279" s="25">
        <v>1</v>
      </c>
      <c r="S279" s="25">
        <v>1</v>
      </c>
      <c r="T279" s="25">
        <v>1</v>
      </c>
      <c r="U279" s="27">
        <f>_xlfn.LET(_xlpm.maxVal,_xlfn.MAXIFS($K:$K,$A:$A,A279),IF(AND(_xlpm.maxVal=K279,L279&lt;&gt;0),_xlpm.maxVal,""))</f>
        <v>0.11</v>
      </c>
      <c r="V279" s="27">
        <f>_xlfn.LET(_xlpm.maxVal,_xlfn.MAXIFS($K:$K,$A:$A,A279),IF(AND(_xlpm.maxVal=K279,M279&lt;&gt;0),_xlpm.maxVal,""))</f>
        <v>0.11</v>
      </c>
      <c r="W279" s="27">
        <f>_xlfn.LET(_xlpm.maxVal,_xlfn.MAXIFS($K:$K,$A:$A,A279),IF(AND(_xlpm.maxVal=K279,N279&lt;&gt;0),_xlpm.maxVal,""))</f>
        <v>0.11</v>
      </c>
      <c r="X279" s="27">
        <f>_xlfn.LET(_xlpm.maxVal,_xlfn.MAXIFS($K:$K,$A:$A,A279),IF(AND(_xlpm.maxVal=K279,O279&lt;&gt;0),_xlpm.maxVal,""))</f>
        <v>0.11</v>
      </c>
      <c r="Y279" s="27">
        <f>_xlfn.LET(_xlpm.maxVal,_xlfn.MAXIFS($K:$K,$A:$A,A279),IF(AND(_xlpm.maxVal=K279,P279&lt;&gt;0),_xlpm.maxVal,""))</f>
        <v>0.11</v>
      </c>
      <c r="Z279" s="27">
        <f>_xlfn.LET(_xlpm.maxVal,_xlfn.MAXIFS($K:$K,$A:$A,A279),IF(AND(_xlpm.maxVal=K279,Q279&lt;&gt;0),_xlpm.maxVal,""))</f>
        <v>0.11</v>
      </c>
      <c r="AA279" s="27">
        <f>_xlfn.LET(_xlpm.maxVal,_xlfn.MAXIFS($K:$K,$A:$A,A279),IF(AND(_xlpm.maxVal=K279,R279&lt;&gt;0),_xlpm.maxVal,""))</f>
        <v>0.11</v>
      </c>
      <c r="AB279" s="27">
        <f>_xlfn.LET(_xlpm.maxVal,_xlfn.MAXIFS($K:$K,$A:$A,A279),IF(AND(_xlpm.maxVal=K279,S279&lt;&gt;0),_xlpm.maxVal,""))</f>
        <v>0.11</v>
      </c>
      <c r="AC279" s="27">
        <f>_xlfn.LET(_xlpm.maxVal,_xlfn.MAXIFS($K:$K,$A:$A,A279),IF(AND(_xlpm.maxVal=K279,T279&lt;&gt;0),_xlpm.maxVal,""))</f>
        <v>0.11</v>
      </c>
      <c r="AD279" s="27">
        <f>$K279*L279*负载统计!$K$3/60</f>
        <v>0</v>
      </c>
      <c r="AE279" s="27">
        <f>$K279*L279*负载统计!$K$4/60</f>
        <v>0</v>
      </c>
      <c r="AF279" s="27">
        <f>$K279*N279*负载统计!$K$5/60</f>
        <v>0.00183333333333333</v>
      </c>
      <c r="AG279" s="27">
        <f>$K279*O279*负载统计!$K$6/60</f>
        <v>0.0055</v>
      </c>
      <c r="AH279" s="27">
        <f>$K279*P279*负载统计!$K$7/60</f>
        <v>0.0124116666666667</v>
      </c>
      <c r="AI279" s="27">
        <f>$K279*Q279*负载统计!$K$8/60</f>
        <v>0.0799333333333333</v>
      </c>
      <c r="AJ279" s="27">
        <f>$K279*R279*负载统计!$K$9/60</f>
        <v>0.0253916666666667</v>
      </c>
      <c r="AK279" s="27">
        <f>$K279*S279*负载统计!$K$10/60</f>
        <v>0.000916666666666667</v>
      </c>
      <c r="AL279" s="27">
        <f>$K279*T279*负载统计!$K$11/60</f>
        <v>0.00733333333333333</v>
      </c>
    </row>
    <row r="280" spans="1:38">
      <c r="A280" s="1">
        <v>127</v>
      </c>
      <c r="B280" s="24" t="s">
        <v>1507</v>
      </c>
      <c r="C280" s="24" t="s">
        <v>1476</v>
      </c>
      <c r="D280" s="24" t="s">
        <v>910</v>
      </c>
      <c r="E280" s="24" t="s">
        <v>911</v>
      </c>
      <c r="F280" s="24" t="s">
        <v>912</v>
      </c>
      <c r="G280" s="25">
        <f>VLOOKUP(A280,负载电气特性!A:G,7,FALSE)</f>
        <v>28</v>
      </c>
      <c r="H280" s="26" t="s">
        <v>66</v>
      </c>
      <c r="I280" s="25" t="s">
        <v>1706</v>
      </c>
      <c r="J280" s="25" t="s">
        <v>1712</v>
      </c>
      <c r="K280" s="25">
        <v>0.095</v>
      </c>
      <c r="L280" s="25">
        <v>0</v>
      </c>
      <c r="M280" s="25">
        <v>0</v>
      </c>
      <c r="N280" s="25">
        <v>0</v>
      </c>
      <c r="O280" s="25">
        <v>0</v>
      </c>
      <c r="P280" s="25">
        <v>0</v>
      </c>
      <c r="Q280" s="25">
        <v>0</v>
      </c>
      <c r="R280" s="25">
        <v>0</v>
      </c>
      <c r="S280" s="25">
        <v>0</v>
      </c>
      <c r="T280" s="25">
        <v>0</v>
      </c>
      <c r="U280" s="27" t="str">
        <f>_xlfn.LET(_xlpm.maxVal,_xlfn.MAXIFS($K:$K,$A:$A,A280),IF(AND(_xlpm.maxVal=K280,L280&lt;&gt;0),_xlpm.maxVal,""))</f>
        <v/>
      </c>
      <c r="V280" s="27" t="str">
        <f>_xlfn.LET(_xlpm.maxVal,_xlfn.MAXIFS($K:$K,$A:$A,A280),IF(AND(_xlpm.maxVal=K280,M280&lt;&gt;0),_xlpm.maxVal,""))</f>
        <v/>
      </c>
      <c r="W280" s="27" t="str">
        <f>_xlfn.LET(_xlpm.maxVal,_xlfn.MAXIFS($K:$K,$A:$A,A280),IF(AND(_xlpm.maxVal=K280,N280&lt;&gt;0),_xlpm.maxVal,""))</f>
        <v/>
      </c>
      <c r="X280" s="27" t="str">
        <f>_xlfn.LET(_xlpm.maxVal,_xlfn.MAXIFS($K:$K,$A:$A,A280),IF(AND(_xlpm.maxVal=K280,O280&lt;&gt;0),_xlpm.maxVal,""))</f>
        <v/>
      </c>
      <c r="Y280" s="27" t="str">
        <f>_xlfn.LET(_xlpm.maxVal,_xlfn.MAXIFS($K:$K,$A:$A,A280),IF(AND(_xlpm.maxVal=K280,P280&lt;&gt;0),_xlpm.maxVal,""))</f>
        <v/>
      </c>
      <c r="Z280" s="27" t="str">
        <f>_xlfn.LET(_xlpm.maxVal,_xlfn.MAXIFS($K:$K,$A:$A,A280),IF(AND(_xlpm.maxVal=K280,Q280&lt;&gt;0),_xlpm.maxVal,""))</f>
        <v/>
      </c>
      <c r="AA280" s="27" t="str">
        <f>_xlfn.LET(_xlpm.maxVal,_xlfn.MAXIFS($K:$K,$A:$A,A280),IF(AND(_xlpm.maxVal=K280,R280&lt;&gt;0),_xlpm.maxVal,""))</f>
        <v/>
      </c>
      <c r="AB280" s="27" t="str">
        <f>_xlfn.LET(_xlpm.maxVal,_xlfn.MAXIFS($K:$K,$A:$A,A280),IF(AND(_xlpm.maxVal=K280,S280&lt;&gt;0),_xlpm.maxVal,""))</f>
        <v/>
      </c>
      <c r="AC280" s="27" t="str">
        <f>_xlfn.LET(_xlpm.maxVal,_xlfn.MAXIFS($K:$K,$A:$A,A280),IF(AND(_xlpm.maxVal=K280,T280&lt;&gt;0),_xlpm.maxVal,""))</f>
        <v/>
      </c>
      <c r="AD280" s="27">
        <f>$K280*L280*负载统计!$K$3/60</f>
        <v>0</v>
      </c>
      <c r="AE280" s="27">
        <f>$K280*L280*负载统计!$K$4/60</f>
        <v>0</v>
      </c>
      <c r="AF280" s="27">
        <f>$K280*N280*负载统计!$K$5/60</f>
        <v>0</v>
      </c>
      <c r="AG280" s="27">
        <f>$K280*O280*负载统计!$K$6/60</f>
        <v>0</v>
      </c>
      <c r="AH280" s="27">
        <f>$K280*P280*负载统计!$K$7/60</f>
        <v>0</v>
      </c>
      <c r="AI280" s="27">
        <f>$K280*Q280*负载统计!$K$8/60</f>
        <v>0</v>
      </c>
      <c r="AJ280" s="27">
        <f>$K280*R280*负载统计!$K$9/60</f>
        <v>0</v>
      </c>
      <c r="AK280" s="27">
        <f>$K280*S280*负载统计!$K$10/60</f>
        <v>0</v>
      </c>
      <c r="AL280" s="27">
        <f>$K280*T280*负载统计!$K$11/60</f>
        <v>0</v>
      </c>
    </row>
    <row r="281" spans="1:38">
      <c r="A281" s="1">
        <v>127</v>
      </c>
      <c r="B281" s="24" t="s">
        <v>1507</v>
      </c>
      <c r="C281" s="24" t="s">
        <v>1476</v>
      </c>
      <c r="D281" s="24" t="s">
        <v>910</v>
      </c>
      <c r="E281" s="24" t="s">
        <v>911</v>
      </c>
      <c r="F281" s="24" t="s">
        <v>912</v>
      </c>
      <c r="G281" s="25">
        <f>VLOOKUP(A281,负载电气特性!A:G,7,FALSE)</f>
        <v>28</v>
      </c>
      <c r="H281" s="26" t="s">
        <v>66</v>
      </c>
      <c r="I281" s="25" t="s">
        <v>1706</v>
      </c>
      <c r="J281" s="25" t="s">
        <v>1708</v>
      </c>
      <c r="K281" s="25">
        <v>0</v>
      </c>
      <c r="L281" s="25">
        <v>0</v>
      </c>
      <c r="M281" s="25">
        <v>0</v>
      </c>
      <c r="N281" s="25">
        <v>0</v>
      </c>
      <c r="O281" s="25">
        <v>0</v>
      </c>
      <c r="P281" s="25">
        <v>0</v>
      </c>
      <c r="Q281" s="25">
        <v>0</v>
      </c>
      <c r="R281" s="25">
        <v>0</v>
      </c>
      <c r="S281" s="25">
        <v>0</v>
      </c>
      <c r="T281" s="25">
        <v>0</v>
      </c>
      <c r="U281" s="27" t="str">
        <f>_xlfn.LET(_xlpm.maxVal,_xlfn.MAXIFS($K:$K,$A:$A,A281),IF(AND(_xlpm.maxVal=K281,L281&lt;&gt;0),_xlpm.maxVal,""))</f>
        <v/>
      </c>
      <c r="V281" s="27" t="str">
        <f>_xlfn.LET(_xlpm.maxVal,_xlfn.MAXIFS($K:$K,$A:$A,A281),IF(AND(_xlpm.maxVal=K281,M281&lt;&gt;0),_xlpm.maxVal,""))</f>
        <v/>
      </c>
      <c r="W281" s="27" t="str">
        <f>_xlfn.LET(_xlpm.maxVal,_xlfn.MAXIFS($K:$K,$A:$A,A281),IF(AND(_xlpm.maxVal=K281,N281&lt;&gt;0),_xlpm.maxVal,""))</f>
        <v/>
      </c>
      <c r="X281" s="27" t="str">
        <f>_xlfn.LET(_xlpm.maxVal,_xlfn.MAXIFS($K:$K,$A:$A,A281),IF(AND(_xlpm.maxVal=K281,O281&lt;&gt;0),_xlpm.maxVal,""))</f>
        <v/>
      </c>
      <c r="Y281" s="27" t="str">
        <f>_xlfn.LET(_xlpm.maxVal,_xlfn.MAXIFS($K:$K,$A:$A,A281),IF(AND(_xlpm.maxVal=K281,P281&lt;&gt;0),_xlpm.maxVal,""))</f>
        <v/>
      </c>
      <c r="Z281" s="27" t="str">
        <f>_xlfn.LET(_xlpm.maxVal,_xlfn.MAXIFS($K:$K,$A:$A,A281),IF(AND(_xlpm.maxVal=K281,Q281&lt;&gt;0),_xlpm.maxVal,""))</f>
        <v/>
      </c>
      <c r="AA281" s="27" t="str">
        <f>_xlfn.LET(_xlpm.maxVal,_xlfn.MAXIFS($K:$K,$A:$A,A281),IF(AND(_xlpm.maxVal=K281,R281&lt;&gt;0),_xlpm.maxVal,""))</f>
        <v/>
      </c>
      <c r="AB281" s="27" t="str">
        <f>_xlfn.LET(_xlpm.maxVal,_xlfn.MAXIFS($K:$K,$A:$A,A281),IF(AND(_xlpm.maxVal=K281,S281&lt;&gt;0),_xlpm.maxVal,""))</f>
        <v/>
      </c>
      <c r="AC281" s="27" t="str">
        <f>_xlfn.LET(_xlpm.maxVal,_xlfn.MAXIFS($K:$K,$A:$A,A281),IF(AND(_xlpm.maxVal=K281,T281&lt;&gt;0),_xlpm.maxVal,""))</f>
        <v/>
      </c>
      <c r="AD281" s="27">
        <f>$K281*L281*负载统计!$K$3/60</f>
        <v>0</v>
      </c>
      <c r="AE281" s="27">
        <f>$K281*L281*负载统计!$K$4/60</f>
        <v>0</v>
      </c>
      <c r="AF281" s="27">
        <f>$K281*N281*负载统计!$K$5/60</f>
        <v>0</v>
      </c>
      <c r="AG281" s="27">
        <f>$K281*O281*负载统计!$K$6/60</f>
        <v>0</v>
      </c>
      <c r="AH281" s="27">
        <f>$K281*P281*负载统计!$K$7/60</f>
        <v>0</v>
      </c>
      <c r="AI281" s="27">
        <f>$K281*Q281*负载统计!$K$8/60</f>
        <v>0</v>
      </c>
      <c r="AJ281" s="27">
        <f>$K281*R281*负载统计!$K$9/60</f>
        <v>0</v>
      </c>
      <c r="AK281" s="27">
        <f>$K281*S281*负载统计!$K$10/60</f>
        <v>0</v>
      </c>
      <c r="AL281" s="27">
        <f>$K281*T281*负载统计!$K$11/60</f>
        <v>0</v>
      </c>
    </row>
    <row r="282" spans="1:38">
      <c r="A282" s="1">
        <v>128</v>
      </c>
      <c r="B282" s="24" t="s">
        <v>1508</v>
      </c>
      <c r="C282" s="24" t="s">
        <v>1476</v>
      </c>
      <c r="D282" s="24" t="s">
        <v>918</v>
      </c>
      <c r="E282" s="24" t="s">
        <v>919</v>
      </c>
      <c r="F282" s="24" t="s">
        <v>920</v>
      </c>
      <c r="G282" s="25">
        <f>VLOOKUP(A282,负载电气特性!A:G,7,FALSE)</f>
        <v>28</v>
      </c>
      <c r="H282" s="26" t="s">
        <v>61</v>
      </c>
      <c r="I282" s="24" t="s">
        <v>1709</v>
      </c>
      <c r="J282" s="24" t="s">
        <v>1719</v>
      </c>
      <c r="K282" s="25">
        <v>0.5</v>
      </c>
      <c r="L282" s="25">
        <v>0</v>
      </c>
      <c r="M282" s="25">
        <v>0</v>
      </c>
      <c r="N282" s="25">
        <v>0</v>
      </c>
      <c r="O282" s="25">
        <v>1</v>
      </c>
      <c r="P282" s="25">
        <v>1</v>
      </c>
      <c r="Q282" s="25">
        <v>1</v>
      </c>
      <c r="R282" s="25">
        <v>1</v>
      </c>
      <c r="S282" s="25">
        <v>1</v>
      </c>
      <c r="T282" s="25">
        <v>0</v>
      </c>
      <c r="U282" s="27" t="str">
        <f>_xlfn.LET(_xlpm.maxVal,_xlfn.MAXIFS($K:$K,$A:$A,A282),IF(AND(_xlpm.maxVal=K282,L282&lt;&gt;0),_xlpm.maxVal,""))</f>
        <v/>
      </c>
      <c r="V282" s="27" t="str">
        <f>_xlfn.LET(_xlpm.maxVal,_xlfn.MAXIFS($K:$K,$A:$A,A282),IF(AND(_xlpm.maxVal=K282,M282&lt;&gt;0),_xlpm.maxVal,""))</f>
        <v/>
      </c>
      <c r="W282" s="27" t="str">
        <f>_xlfn.LET(_xlpm.maxVal,_xlfn.MAXIFS($K:$K,$A:$A,A282),IF(AND(_xlpm.maxVal=K282,N282&lt;&gt;0),_xlpm.maxVal,""))</f>
        <v/>
      </c>
      <c r="X282" s="27">
        <f>_xlfn.LET(_xlpm.maxVal,_xlfn.MAXIFS($K:$K,$A:$A,A282),IF(AND(_xlpm.maxVal=K282,O282&lt;&gt;0),_xlpm.maxVal,""))</f>
        <v>0.5</v>
      </c>
      <c r="Y282" s="27">
        <f>_xlfn.LET(_xlpm.maxVal,_xlfn.MAXIFS($K:$K,$A:$A,A282),IF(AND(_xlpm.maxVal=K282,P282&lt;&gt;0),_xlpm.maxVal,""))</f>
        <v>0.5</v>
      </c>
      <c r="Z282" s="27">
        <f>_xlfn.LET(_xlpm.maxVal,_xlfn.MAXIFS($K:$K,$A:$A,A282),IF(AND(_xlpm.maxVal=K282,Q282&lt;&gt;0),_xlpm.maxVal,""))</f>
        <v>0.5</v>
      </c>
      <c r="AA282" s="27">
        <f>_xlfn.LET(_xlpm.maxVal,_xlfn.MAXIFS($K:$K,$A:$A,A282),IF(AND(_xlpm.maxVal=K282,R282&lt;&gt;0),_xlpm.maxVal,""))</f>
        <v>0.5</v>
      </c>
      <c r="AB282" s="27">
        <f>_xlfn.LET(_xlpm.maxVal,_xlfn.MAXIFS($K:$K,$A:$A,A282),IF(AND(_xlpm.maxVal=K282,S282&lt;&gt;0),_xlpm.maxVal,""))</f>
        <v>0.5</v>
      </c>
      <c r="AC282" s="27" t="str">
        <f>_xlfn.LET(_xlpm.maxVal,_xlfn.MAXIFS($K:$K,$A:$A,A282),IF(AND(_xlpm.maxVal=K282,T282&lt;&gt;0),_xlpm.maxVal,""))</f>
        <v/>
      </c>
      <c r="AD282" s="27">
        <f>$K282*L282*负载统计!$K$3/60</f>
        <v>0</v>
      </c>
      <c r="AE282" s="27">
        <f>$K282*L282*负载统计!$K$4/60</f>
        <v>0</v>
      </c>
      <c r="AF282" s="27">
        <f>$K282*N282*负载统计!$K$5/60</f>
        <v>0</v>
      </c>
      <c r="AG282" s="27">
        <f>$K282*O282*负载统计!$K$6/60</f>
        <v>0.025</v>
      </c>
      <c r="AH282" s="27">
        <f>$K282*P282*负载统计!$K$7/60</f>
        <v>0.0564166666666667</v>
      </c>
      <c r="AI282" s="27">
        <f>$K282*Q282*负载统计!$K$8/60</f>
        <v>0.363333333333333</v>
      </c>
      <c r="AJ282" s="27">
        <f>$K282*R282*负载统计!$K$9/60</f>
        <v>0.115416666666667</v>
      </c>
      <c r="AK282" s="27">
        <f>$K282*S282*负载统计!$K$10/60</f>
        <v>0.00416666666666667</v>
      </c>
      <c r="AL282" s="27">
        <f>$K282*T282*负载统计!$K$11/60</f>
        <v>0</v>
      </c>
    </row>
    <row r="283" spans="1:38">
      <c r="A283" s="1">
        <v>128</v>
      </c>
      <c r="B283" s="24" t="s">
        <v>1508</v>
      </c>
      <c r="C283" s="24" t="s">
        <v>1476</v>
      </c>
      <c r="D283" s="24" t="s">
        <v>918</v>
      </c>
      <c r="E283" s="24" t="s">
        <v>919</v>
      </c>
      <c r="F283" s="24" t="s">
        <v>920</v>
      </c>
      <c r="G283" s="25">
        <f>VLOOKUP(A283,负载电气特性!A:G,7,FALSE)</f>
        <v>28</v>
      </c>
      <c r="H283" s="26" t="s">
        <v>61</v>
      </c>
      <c r="I283" s="24" t="s">
        <v>1709</v>
      </c>
      <c r="J283" s="25" t="s">
        <v>1708</v>
      </c>
      <c r="K283" s="25">
        <v>0</v>
      </c>
      <c r="L283" s="25">
        <v>0</v>
      </c>
      <c r="M283" s="25">
        <v>0</v>
      </c>
      <c r="N283" s="25">
        <v>0</v>
      </c>
      <c r="O283" s="25">
        <v>0</v>
      </c>
      <c r="P283" s="25">
        <v>0</v>
      </c>
      <c r="Q283" s="25">
        <v>0</v>
      </c>
      <c r="R283" s="25">
        <v>0</v>
      </c>
      <c r="S283" s="25">
        <v>0</v>
      </c>
      <c r="T283" s="25">
        <v>1</v>
      </c>
      <c r="U283" s="27" t="str">
        <f>_xlfn.LET(_xlpm.maxVal,_xlfn.MAXIFS($K:$K,$A:$A,A283),IF(AND(_xlpm.maxVal=K283,L283&lt;&gt;0),_xlpm.maxVal,""))</f>
        <v/>
      </c>
      <c r="V283" s="27" t="str">
        <f>_xlfn.LET(_xlpm.maxVal,_xlfn.MAXIFS($K:$K,$A:$A,A283),IF(AND(_xlpm.maxVal=K283,M283&lt;&gt;0),_xlpm.maxVal,""))</f>
        <v/>
      </c>
      <c r="W283" s="27" t="str">
        <f>_xlfn.LET(_xlpm.maxVal,_xlfn.MAXIFS($K:$K,$A:$A,A283),IF(AND(_xlpm.maxVal=K283,N283&lt;&gt;0),_xlpm.maxVal,""))</f>
        <v/>
      </c>
      <c r="X283" s="27" t="str">
        <f>_xlfn.LET(_xlpm.maxVal,_xlfn.MAXIFS($K:$K,$A:$A,A283),IF(AND(_xlpm.maxVal=K283,O283&lt;&gt;0),_xlpm.maxVal,""))</f>
        <v/>
      </c>
      <c r="Y283" s="27" t="str">
        <f>_xlfn.LET(_xlpm.maxVal,_xlfn.MAXIFS($K:$K,$A:$A,A283),IF(AND(_xlpm.maxVal=K283,P283&lt;&gt;0),_xlpm.maxVal,""))</f>
        <v/>
      </c>
      <c r="Z283" s="27" t="str">
        <f>_xlfn.LET(_xlpm.maxVal,_xlfn.MAXIFS($K:$K,$A:$A,A283),IF(AND(_xlpm.maxVal=K283,Q283&lt;&gt;0),_xlpm.maxVal,""))</f>
        <v/>
      </c>
      <c r="AA283" s="27" t="str">
        <f>_xlfn.LET(_xlpm.maxVal,_xlfn.MAXIFS($K:$K,$A:$A,A283),IF(AND(_xlpm.maxVal=K283,R283&lt;&gt;0),_xlpm.maxVal,""))</f>
        <v/>
      </c>
      <c r="AB283" s="27" t="str">
        <f>_xlfn.LET(_xlpm.maxVal,_xlfn.MAXIFS($K:$K,$A:$A,A283),IF(AND(_xlpm.maxVal=K283,S283&lt;&gt;0),_xlpm.maxVal,""))</f>
        <v/>
      </c>
      <c r="AC283" s="27" t="str">
        <f>_xlfn.LET(_xlpm.maxVal,_xlfn.MAXIFS($K:$K,$A:$A,A283),IF(AND(_xlpm.maxVal=K283,T283&lt;&gt;0),_xlpm.maxVal,""))</f>
        <v/>
      </c>
      <c r="AD283" s="27">
        <f>$K283*L283*负载统计!$K$3/60</f>
        <v>0</v>
      </c>
      <c r="AE283" s="27">
        <f>$K283*L283*负载统计!$K$4/60</f>
        <v>0</v>
      </c>
      <c r="AF283" s="27">
        <f>$K283*N283*负载统计!$K$5/60</f>
        <v>0</v>
      </c>
      <c r="AG283" s="27">
        <f>$K283*O283*负载统计!$K$6/60</f>
        <v>0</v>
      </c>
      <c r="AH283" s="27">
        <f>$K283*P283*负载统计!$K$7/60</f>
        <v>0</v>
      </c>
      <c r="AI283" s="27">
        <f>$K283*Q283*负载统计!$K$8/60</f>
        <v>0</v>
      </c>
      <c r="AJ283" s="27">
        <f>$K283*R283*负载统计!$K$9/60</f>
        <v>0</v>
      </c>
      <c r="AK283" s="27">
        <f>$K283*S283*负载统计!$K$10/60</f>
        <v>0</v>
      </c>
      <c r="AL283" s="27">
        <f>$K283*T283*负载统计!$K$11/60</f>
        <v>0</v>
      </c>
    </row>
    <row r="284" spans="1:38">
      <c r="A284" s="1">
        <v>129</v>
      </c>
      <c r="B284" s="24" t="s">
        <v>1509</v>
      </c>
      <c r="C284" s="24" t="s">
        <v>1476</v>
      </c>
      <c r="D284" s="24" t="s">
        <v>921</v>
      </c>
      <c r="E284" s="24" t="s">
        <v>689</v>
      </c>
      <c r="F284" s="24" t="s">
        <v>689</v>
      </c>
      <c r="G284" s="25">
        <f>VLOOKUP(A284,负载电气特性!A:G,7,FALSE)</f>
        <v>28</v>
      </c>
      <c r="H284" s="26" t="s">
        <v>689</v>
      </c>
      <c r="I284" s="25" t="s">
        <v>1706</v>
      </c>
      <c r="J284" s="25" t="s">
        <v>1707</v>
      </c>
      <c r="K284" s="25">
        <v>0.08</v>
      </c>
      <c r="L284" s="25">
        <v>1</v>
      </c>
      <c r="M284" s="25">
        <v>1</v>
      </c>
      <c r="N284" s="25">
        <v>1</v>
      </c>
      <c r="O284" s="25">
        <v>1</v>
      </c>
      <c r="P284" s="25">
        <v>1</v>
      </c>
      <c r="Q284" s="25">
        <v>1</v>
      </c>
      <c r="R284" s="25">
        <v>1</v>
      </c>
      <c r="S284" s="25">
        <v>1</v>
      </c>
      <c r="T284" s="25">
        <v>0</v>
      </c>
      <c r="U284" s="27">
        <f>_xlfn.LET(_xlpm.maxVal,_xlfn.MAXIFS($K:$K,$A:$A,A284),IF(AND(_xlpm.maxVal=K284,L284&lt;&gt;0),_xlpm.maxVal,""))</f>
        <v>0.08</v>
      </c>
      <c r="V284" s="27">
        <f>_xlfn.LET(_xlpm.maxVal,_xlfn.MAXIFS($K:$K,$A:$A,A284),IF(AND(_xlpm.maxVal=K284,M284&lt;&gt;0),_xlpm.maxVal,""))</f>
        <v>0.08</v>
      </c>
      <c r="W284" s="27">
        <f>_xlfn.LET(_xlpm.maxVal,_xlfn.MAXIFS($K:$K,$A:$A,A284),IF(AND(_xlpm.maxVal=K284,N284&lt;&gt;0),_xlpm.maxVal,""))</f>
        <v>0.08</v>
      </c>
      <c r="X284" s="27">
        <f>_xlfn.LET(_xlpm.maxVal,_xlfn.MAXIFS($K:$K,$A:$A,A284),IF(AND(_xlpm.maxVal=K284,O284&lt;&gt;0),_xlpm.maxVal,""))</f>
        <v>0.08</v>
      </c>
      <c r="Y284" s="27">
        <f>_xlfn.LET(_xlpm.maxVal,_xlfn.MAXIFS($K:$K,$A:$A,A284),IF(AND(_xlpm.maxVal=K284,P284&lt;&gt;0),_xlpm.maxVal,""))</f>
        <v>0.08</v>
      </c>
      <c r="Z284" s="27">
        <f>_xlfn.LET(_xlpm.maxVal,_xlfn.MAXIFS($K:$K,$A:$A,A284),IF(AND(_xlpm.maxVal=K284,Q284&lt;&gt;0),_xlpm.maxVal,""))</f>
        <v>0.08</v>
      </c>
      <c r="AA284" s="27">
        <f>_xlfn.LET(_xlpm.maxVal,_xlfn.MAXIFS($K:$K,$A:$A,A284),IF(AND(_xlpm.maxVal=K284,R284&lt;&gt;0),_xlpm.maxVal,""))</f>
        <v>0.08</v>
      </c>
      <c r="AB284" s="27">
        <f>_xlfn.LET(_xlpm.maxVal,_xlfn.MAXIFS($K:$K,$A:$A,A284),IF(AND(_xlpm.maxVal=K284,S284&lt;&gt;0),_xlpm.maxVal,""))</f>
        <v>0.08</v>
      </c>
      <c r="AC284" s="27" t="str">
        <f>_xlfn.LET(_xlpm.maxVal,_xlfn.MAXIFS($K:$K,$A:$A,A284),IF(AND(_xlpm.maxVal=K284,T284&lt;&gt;0),_xlpm.maxVal,""))</f>
        <v/>
      </c>
      <c r="AD284" s="27">
        <f>$K284*L284*负载统计!$K$3/60</f>
        <v>0</v>
      </c>
      <c r="AE284" s="27">
        <f>$K284*L284*负载统计!$K$4/60</f>
        <v>0</v>
      </c>
      <c r="AF284" s="27">
        <f>$K284*N284*负载统计!$K$5/60</f>
        <v>0.00133333333333333</v>
      </c>
      <c r="AG284" s="27">
        <f>$K284*O284*负载统计!$K$6/60</f>
        <v>0.004</v>
      </c>
      <c r="AH284" s="27">
        <f>$K284*P284*负载统计!$K$7/60</f>
        <v>0.00902666666666667</v>
      </c>
      <c r="AI284" s="27">
        <f>$K284*Q284*负载统计!$K$8/60</f>
        <v>0.0581333333333333</v>
      </c>
      <c r="AJ284" s="27">
        <f>$K284*R284*负载统计!$K$9/60</f>
        <v>0.0184666666666667</v>
      </c>
      <c r="AK284" s="27">
        <f>$K284*S284*负载统计!$K$10/60</f>
        <v>0.000666666666666667</v>
      </c>
      <c r="AL284" s="27">
        <f>$K284*T284*负载统计!$K$11/60</f>
        <v>0</v>
      </c>
    </row>
    <row r="285" spans="1:38">
      <c r="A285" s="1">
        <v>129</v>
      </c>
      <c r="B285" s="24" t="s">
        <v>1509</v>
      </c>
      <c r="C285" s="24" t="s">
        <v>1476</v>
      </c>
      <c r="D285" s="24" t="s">
        <v>921</v>
      </c>
      <c r="E285" s="24" t="s">
        <v>689</v>
      </c>
      <c r="F285" s="24" t="s">
        <v>689</v>
      </c>
      <c r="G285" s="25">
        <f>VLOOKUP(A285,负载电气特性!A:G,7,FALSE)</f>
        <v>28</v>
      </c>
      <c r="H285" s="26" t="s">
        <v>689</v>
      </c>
      <c r="I285" s="25" t="s">
        <v>1706</v>
      </c>
      <c r="J285" s="25" t="s">
        <v>1708</v>
      </c>
      <c r="K285" s="25">
        <v>0</v>
      </c>
      <c r="L285" s="25">
        <v>0</v>
      </c>
      <c r="M285" s="25">
        <v>0</v>
      </c>
      <c r="N285" s="25">
        <v>0</v>
      </c>
      <c r="O285" s="25">
        <v>0</v>
      </c>
      <c r="P285" s="25">
        <v>0</v>
      </c>
      <c r="Q285" s="25">
        <v>0</v>
      </c>
      <c r="R285" s="25">
        <v>0</v>
      </c>
      <c r="S285" s="25">
        <v>0</v>
      </c>
      <c r="T285" s="25">
        <v>1</v>
      </c>
      <c r="U285" s="27" t="str">
        <f>_xlfn.LET(_xlpm.maxVal,_xlfn.MAXIFS($K:$K,$A:$A,A285),IF(AND(_xlpm.maxVal=K285,L285&lt;&gt;0),_xlpm.maxVal,""))</f>
        <v/>
      </c>
      <c r="V285" s="27" t="str">
        <f>_xlfn.LET(_xlpm.maxVal,_xlfn.MAXIFS($K:$K,$A:$A,A285),IF(AND(_xlpm.maxVal=K285,M285&lt;&gt;0),_xlpm.maxVal,""))</f>
        <v/>
      </c>
      <c r="W285" s="27" t="str">
        <f>_xlfn.LET(_xlpm.maxVal,_xlfn.MAXIFS($K:$K,$A:$A,A285),IF(AND(_xlpm.maxVal=K285,N285&lt;&gt;0),_xlpm.maxVal,""))</f>
        <v/>
      </c>
      <c r="X285" s="27" t="str">
        <f>_xlfn.LET(_xlpm.maxVal,_xlfn.MAXIFS($K:$K,$A:$A,A285),IF(AND(_xlpm.maxVal=K285,O285&lt;&gt;0),_xlpm.maxVal,""))</f>
        <v/>
      </c>
      <c r="Y285" s="27" t="str">
        <f>_xlfn.LET(_xlpm.maxVal,_xlfn.MAXIFS($K:$K,$A:$A,A285),IF(AND(_xlpm.maxVal=K285,P285&lt;&gt;0),_xlpm.maxVal,""))</f>
        <v/>
      </c>
      <c r="Z285" s="27" t="str">
        <f>_xlfn.LET(_xlpm.maxVal,_xlfn.MAXIFS($K:$K,$A:$A,A285),IF(AND(_xlpm.maxVal=K285,Q285&lt;&gt;0),_xlpm.maxVal,""))</f>
        <v/>
      </c>
      <c r="AA285" s="27" t="str">
        <f>_xlfn.LET(_xlpm.maxVal,_xlfn.MAXIFS($K:$K,$A:$A,A285),IF(AND(_xlpm.maxVal=K285,R285&lt;&gt;0),_xlpm.maxVal,""))</f>
        <v/>
      </c>
      <c r="AB285" s="27" t="str">
        <f>_xlfn.LET(_xlpm.maxVal,_xlfn.MAXIFS($K:$K,$A:$A,A285),IF(AND(_xlpm.maxVal=K285,S285&lt;&gt;0),_xlpm.maxVal,""))</f>
        <v/>
      </c>
      <c r="AC285" s="27" t="str">
        <f>_xlfn.LET(_xlpm.maxVal,_xlfn.MAXIFS($K:$K,$A:$A,A285),IF(AND(_xlpm.maxVal=K285,T285&lt;&gt;0),_xlpm.maxVal,""))</f>
        <v/>
      </c>
      <c r="AD285" s="27">
        <f>$K285*L285*负载统计!$K$3/60</f>
        <v>0</v>
      </c>
      <c r="AE285" s="27">
        <f>$K285*L285*负载统计!$K$4/60</f>
        <v>0</v>
      </c>
      <c r="AF285" s="27">
        <f>$K285*N285*负载统计!$K$5/60</f>
        <v>0</v>
      </c>
      <c r="AG285" s="27">
        <f>$K285*O285*负载统计!$K$6/60</f>
        <v>0</v>
      </c>
      <c r="AH285" s="27">
        <f>$K285*P285*负载统计!$K$7/60</f>
        <v>0</v>
      </c>
      <c r="AI285" s="27">
        <f>$K285*Q285*负载统计!$K$8/60</f>
        <v>0</v>
      </c>
      <c r="AJ285" s="27">
        <f>$K285*R285*负载统计!$K$9/60</f>
        <v>0</v>
      </c>
      <c r="AK285" s="27">
        <f>$K285*S285*负载统计!$K$10/60</f>
        <v>0</v>
      </c>
      <c r="AL285" s="27">
        <f>$K285*T285*负载统计!$K$11/60</f>
        <v>0</v>
      </c>
    </row>
    <row r="286" spans="1:38">
      <c r="A286" s="1">
        <v>130</v>
      </c>
      <c r="B286" s="24" t="s">
        <v>1510</v>
      </c>
      <c r="C286" s="24" t="s">
        <v>1476</v>
      </c>
      <c r="D286" s="24" t="s">
        <v>1511</v>
      </c>
      <c r="E286" s="24" t="s">
        <v>933</v>
      </c>
      <c r="F286" s="24" t="s">
        <v>934</v>
      </c>
      <c r="G286" s="25">
        <f>VLOOKUP(A286,负载电气特性!A:G,7,FALSE)</f>
        <v>28</v>
      </c>
      <c r="H286" s="26" t="s">
        <v>66</v>
      </c>
      <c r="I286" s="25" t="s">
        <v>1706</v>
      </c>
      <c r="J286" s="25" t="s">
        <v>1707</v>
      </c>
      <c r="K286" s="25">
        <v>0.01</v>
      </c>
      <c r="L286" s="25">
        <v>1</v>
      </c>
      <c r="M286" s="25">
        <v>1</v>
      </c>
      <c r="N286" s="25">
        <v>1</v>
      </c>
      <c r="O286" s="25">
        <v>1</v>
      </c>
      <c r="P286" s="25">
        <v>1</v>
      </c>
      <c r="Q286" s="25">
        <v>1</v>
      </c>
      <c r="R286" s="25">
        <v>1</v>
      </c>
      <c r="S286" s="25">
        <v>1</v>
      </c>
      <c r="T286" s="25">
        <v>1</v>
      </c>
      <c r="U286" s="27">
        <f>_xlfn.LET(_xlpm.maxVal,_xlfn.MAXIFS($K:$K,$A:$A,A286),IF(AND(_xlpm.maxVal=K286,L286&lt;&gt;0),_xlpm.maxVal,""))</f>
        <v>0.01</v>
      </c>
      <c r="V286" s="27">
        <f>_xlfn.LET(_xlpm.maxVal,_xlfn.MAXIFS($K:$K,$A:$A,A286),IF(AND(_xlpm.maxVal=K286,M286&lt;&gt;0),_xlpm.maxVal,""))</f>
        <v>0.01</v>
      </c>
      <c r="W286" s="27">
        <f>_xlfn.LET(_xlpm.maxVal,_xlfn.MAXIFS($K:$K,$A:$A,A286),IF(AND(_xlpm.maxVal=K286,N286&lt;&gt;0),_xlpm.maxVal,""))</f>
        <v>0.01</v>
      </c>
      <c r="X286" s="27">
        <f>_xlfn.LET(_xlpm.maxVal,_xlfn.MAXIFS($K:$K,$A:$A,A286),IF(AND(_xlpm.maxVal=K286,O286&lt;&gt;0),_xlpm.maxVal,""))</f>
        <v>0.01</v>
      </c>
      <c r="Y286" s="27">
        <f>_xlfn.LET(_xlpm.maxVal,_xlfn.MAXIFS($K:$K,$A:$A,A286),IF(AND(_xlpm.maxVal=K286,P286&lt;&gt;0),_xlpm.maxVal,""))</f>
        <v>0.01</v>
      </c>
      <c r="Z286" s="27">
        <f>_xlfn.LET(_xlpm.maxVal,_xlfn.MAXIFS($K:$K,$A:$A,A286),IF(AND(_xlpm.maxVal=K286,Q286&lt;&gt;0),_xlpm.maxVal,""))</f>
        <v>0.01</v>
      </c>
      <c r="AA286" s="27">
        <f>_xlfn.LET(_xlpm.maxVal,_xlfn.MAXIFS($K:$K,$A:$A,A286),IF(AND(_xlpm.maxVal=K286,R286&lt;&gt;0),_xlpm.maxVal,""))</f>
        <v>0.01</v>
      </c>
      <c r="AB286" s="27">
        <f>_xlfn.LET(_xlpm.maxVal,_xlfn.MAXIFS($K:$K,$A:$A,A286),IF(AND(_xlpm.maxVal=K286,S286&lt;&gt;0),_xlpm.maxVal,""))</f>
        <v>0.01</v>
      </c>
      <c r="AC286" s="27">
        <f>_xlfn.LET(_xlpm.maxVal,_xlfn.MAXIFS($K:$K,$A:$A,A286),IF(AND(_xlpm.maxVal=K286,T286&lt;&gt;0),_xlpm.maxVal,""))</f>
        <v>0.01</v>
      </c>
      <c r="AD286" s="27">
        <f>$K286*L286*负载统计!$K$3/60</f>
        <v>0</v>
      </c>
      <c r="AE286" s="27">
        <f>$K286*L286*负载统计!$K$4/60</f>
        <v>0</v>
      </c>
      <c r="AF286" s="27">
        <f>$K286*N286*负载统计!$K$5/60</f>
        <v>0.000166666666666667</v>
      </c>
      <c r="AG286" s="27">
        <f>$K286*O286*负载统计!$K$6/60</f>
        <v>0.0005</v>
      </c>
      <c r="AH286" s="27">
        <f>$K286*P286*负载统计!$K$7/60</f>
        <v>0.00112833333333333</v>
      </c>
      <c r="AI286" s="27">
        <f>$K286*Q286*负载统计!$K$8/60</f>
        <v>0.00726666666666667</v>
      </c>
      <c r="AJ286" s="27">
        <f>$K286*R286*负载统计!$K$9/60</f>
        <v>0.00230833333333333</v>
      </c>
      <c r="AK286" s="27">
        <f>$K286*S286*负载统计!$K$10/60</f>
        <v>8.33333333333333e-5</v>
      </c>
      <c r="AL286" s="27">
        <f>$K286*T286*负载统计!$K$11/60</f>
        <v>0.000666666666666667</v>
      </c>
    </row>
    <row r="287" spans="1:38">
      <c r="A287" s="1">
        <v>130</v>
      </c>
      <c r="B287" s="24" t="s">
        <v>1510</v>
      </c>
      <c r="C287" s="24" t="s">
        <v>1476</v>
      </c>
      <c r="D287" s="24" t="s">
        <v>1511</v>
      </c>
      <c r="E287" s="24" t="s">
        <v>933</v>
      </c>
      <c r="F287" s="24" t="s">
        <v>934</v>
      </c>
      <c r="G287" s="25">
        <f>VLOOKUP(A287,负载电气特性!A:G,7,FALSE)</f>
        <v>28</v>
      </c>
      <c r="H287" s="26" t="s">
        <v>66</v>
      </c>
      <c r="I287" s="25" t="s">
        <v>1706</v>
      </c>
      <c r="J287" s="25" t="s">
        <v>1708</v>
      </c>
      <c r="K287" s="25">
        <v>0</v>
      </c>
      <c r="L287" s="25">
        <v>0</v>
      </c>
      <c r="M287" s="25">
        <v>0</v>
      </c>
      <c r="N287" s="25">
        <v>0</v>
      </c>
      <c r="O287" s="25">
        <v>0</v>
      </c>
      <c r="P287" s="25">
        <v>0</v>
      </c>
      <c r="Q287" s="25">
        <v>0</v>
      </c>
      <c r="R287" s="25">
        <v>0</v>
      </c>
      <c r="S287" s="25">
        <v>0</v>
      </c>
      <c r="T287" s="25">
        <v>0</v>
      </c>
      <c r="U287" s="27" t="str">
        <f>_xlfn.LET(_xlpm.maxVal,_xlfn.MAXIFS($K:$K,$A:$A,A287),IF(AND(_xlpm.maxVal=K287,L287&lt;&gt;0),_xlpm.maxVal,""))</f>
        <v/>
      </c>
      <c r="V287" s="27" t="str">
        <f>_xlfn.LET(_xlpm.maxVal,_xlfn.MAXIFS($K:$K,$A:$A,A287),IF(AND(_xlpm.maxVal=K287,M287&lt;&gt;0),_xlpm.maxVal,""))</f>
        <v/>
      </c>
      <c r="W287" s="27" t="str">
        <f>_xlfn.LET(_xlpm.maxVal,_xlfn.MAXIFS($K:$K,$A:$A,A287),IF(AND(_xlpm.maxVal=K287,N287&lt;&gt;0),_xlpm.maxVal,""))</f>
        <v/>
      </c>
      <c r="X287" s="27" t="str">
        <f>_xlfn.LET(_xlpm.maxVal,_xlfn.MAXIFS($K:$K,$A:$A,A287),IF(AND(_xlpm.maxVal=K287,O287&lt;&gt;0),_xlpm.maxVal,""))</f>
        <v/>
      </c>
      <c r="Y287" s="27" t="str">
        <f>_xlfn.LET(_xlpm.maxVal,_xlfn.MAXIFS($K:$K,$A:$A,A287),IF(AND(_xlpm.maxVal=K287,P287&lt;&gt;0),_xlpm.maxVal,""))</f>
        <v/>
      </c>
      <c r="Z287" s="27" t="str">
        <f>_xlfn.LET(_xlpm.maxVal,_xlfn.MAXIFS($K:$K,$A:$A,A287),IF(AND(_xlpm.maxVal=K287,Q287&lt;&gt;0),_xlpm.maxVal,""))</f>
        <v/>
      </c>
      <c r="AA287" s="27" t="str">
        <f>_xlfn.LET(_xlpm.maxVal,_xlfn.MAXIFS($K:$K,$A:$A,A287),IF(AND(_xlpm.maxVal=K287,R287&lt;&gt;0),_xlpm.maxVal,""))</f>
        <v/>
      </c>
      <c r="AB287" s="27" t="str">
        <f>_xlfn.LET(_xlpm.maxVal,_xlfn.MAXIFS($K:$K,$A:$A,A287),IF(AND(_xlpm.maxVal=K287,S287&lt;&gt;0),_xlpm.maxVal,""))</f>
        <v/>
      </c>
      <c r="AC287" s="27" t="str">
        <f>_xlfn.LET(_xlpm.maxVal,_xlfn.MAXIFS($K:$K,$A:$A,A287),IF(AND(_xlpm.maxVal=K287,T287&lt;&gt;0),_xlpm.maxVal,""))</f>
        <v/>
      </c>
      <c r="AD287" s="27">
        <f>$K287*L287*负载统计!$K$3/60</f>
        <v>0</v>
      </c>
      <c r="AE287" s="27">
        <f>$K287*L287*负载统计!$K$4/60</f>
        <v>0</v>
      </c>
      <c r="AF287" s="27">
        <f>$K287*N287*负载统计!$K$5/60</f>
        <v>0</v>
      </c>
      <c r="AG287" s="27">
        <f>$K287*O287*负载统计!$K$6/60</f>
        <v>0</v>
      </c>
      <c r="AH287" s="27">
        <f>$K287*P287*负载统计!$K$7/60</f>
        <v>0</v>
      </c>
      <c r="AI287" s="27">
        <f>$K287*Q287*负载统计!$K$8/60</f>
        <v>0</v>
      </c>
      <c r="AJ287" s="27">
        <f>$K287*R287*负载统计!$K$9/60</f>
        <v>0</v>
      </c>
      <c r="AK287" s="27">
        <f>$K287*S287*负载统计!$K$10/60</f>
        <v>0</v>
      </c>
      <c r="AL287" s="27">
        <f>$K287*T287*负载统计!$K$11/60</f>
        <v>0</v>
      </c>
    </row>
    <row r="288" spans="1:38">
      <c r="A288" s="1">
        <v>131</v>
      </c>
      <c r="B288" s="24" t="s">
        <v>1512</v>
      </c>
      <c r="C288" s="24" t="s">
        <v>1476</v>
      </c>
      <c r="D288" s="24" t="s">
        <v>1513</v>
      </c>
      <c r="E288" s="24" t="s">
        <v>933</v>
      </c>
      <c r="F288" s="24" t="s">
        <v>936</v>
      </c>
      <c r="G288" s="25">
        <f>VLOOKUP(A288,负载电气特性!A:G,7,FALSE)</f>
        <v>28</v>
      </c>
      <c r="H288" s="26" t="s">
        <v>66</v>
      </c>
      <c r="I288" s="25" t="s">
        <v>1706</v>
      </c>
      <c r="J288" s="25" t="s">
        <v>1707</v>
      </c>
      <c r="K288" s="25">
        <v>0.01</v>
      </c>
      <c r="L288" s="25">
        <v>1</v>
      </c>
      <c r="M288" s="25">
        <v>1</v>
      </c>
      <c r="N288" s="25">
        <v>1</v>
      </c>
      <c r="O288" s="25">
        <v>1</v>
      </c>
      <c r="P288" s="25">
        <v>1</v>
      </c>
      <c r="Q288" s="25">
        <v>1</v>
      </c>
      <c r="R288" s="25">
        <v>1</v>
      </c>
      <c r="S288" s="25">
        <v>1</v>
      </c>
      <c r="T288" s="25">
        <v>1</v>
      </c>
      <c r="U288" s="27">
        <f>_xlfn.LET(_xlpm.maxVal,_xlfn.MAXIFS($K:$K,$A:$A,A288),IF(AND(_xlpm.maxVal=K288,L288&lt;&gt;0),_xlpm.maxVal,""))</f>
        <v>0.01</v>
      </c>
      <c r="V288" s="27">
        <f>_xlfn.LET(_xlpm.maxVal,_xlfn.MAXIFS($K:$K,$A:$A,A288),IF(AND(_xlpm.maxVal=K288,M288&lt;&gt;0),_xlpm.maxVal,""))</f>
        <v>0.01</v>
      </c>
      <c r="W288" s="27">
        <f>_xlfn.LET(_xlpm.maxVal,_xlfn.MAXIFS($K:$K,$A:$A,A288),IF(AND(_xlpm.maxVal=K288,N288&lt;&gt;0),_xlpm.maxVal,""))</f>
        <v>0.01</v>
      </c>
      <c r="X288" s="27">
        <f>_xlfn.LET(_xlpm.maxVal,_xlfn.MAXIFS($K:$K,$A:$A,A288),IF(AND(_xlpm.maxVal=K288,O288&lt;&gt;0),_xlpm.maxVal,""))</f>
        <v>0.01</v>
      </c>
      <c r="Y288" s="27">
        <f>_xlfn.LET(_xlpm.maxVal,_xlfn.MAXIFS($K:$K,$A:$A,A288),IF(AND(_xlpm.maxVal=K288,P288&lt;&gt;0),_xlpm.maxVal,""))</f>
        <v>0.01</v>
      </c>
      <c r="Z288" s="27">
        <f>_xlfn.LET(_xlpm.maxVal,_xlfn.MAXIFS($K:$K,$A:$A,A288),IF(AND(_xlpm.maxVal=K288,Q288&lt;&gt;0),_xlpm.maxVal,""))</f>
        <v>0.01</v>
      </c>
      <c r="AA288" s="27">
        <f>_xlfn.LET(_xlpm.maxVal,_xlfn.MAXIFS($K:$K,$A:$A,A288),IF(AND(_xlpm.maxVal=K288,R288&lt;&gt;0),_xlpm.maxVal,""))</f>
        <v>0.01</v>
      </c>
      <c r="AB288" s="27">
        <f>_xlfn.LET(_xlpm.maxVal,_xlfn.MAXIFS($K:$K,$A:$A,A288),IF(AND(_xlpm.maxVal=K288,S288&lt;&gt;0),_xlpm.maxVal,""))</f>
        <v>0.01</v>
      </c>
      <c r="AC288" s="27">
        <f>_xlfn.LET(_xlpm.maxVal,_xlfn.MAXIFS($K:$K,$A:$A,A288),IF(AND(_xlpm.maxVal=K288,T288&lt;&gt;0),_xlpm.maxVal,""))</f>
        <v>0.01</v>
      </c>
      <c r="AD288" s="27">
        <f>$K288*L288*负载统计!$K$3/60</f>
        <v>0</v>
      </c>
      <c r="AE288" s="27">
        <f>$K288*L288*负载统计!$K$4/60</f>
        <v>0</v>
      </c>
      <c r="AF288" s="27">
        <f>$K288*N288*负载统计!$K$5/60</f>
        <v>0.000166666666666667</v>
      </c>
      <c r="AG288" s="27">
        <f>$K288*O288*负载统计!$K$6/60</f>
        <v>0.0005</v>
      </c>
      <c r="AH288" s="27">
        <f>$K288*P288*负载统计!$K$7/60</f>
        <v>0.00112833333333333</v>
      </c>
      <c r="AI288" s="27">
        <f>$K288*Q288*负载统计!$K$8/60</f>
        <v>0.00726666666666667</v>
      </c>
      <c r="AJ288" s="27">
        <f>$K288*R288*负载统计!$K$9/60</f>
        <v>0.00230833333333333</v>
      </c>
      <c r="AK288" s="27">
        <f>$K288*S288*负载统计!$K$10/60</f>
        <v>8.33333333333333e-5</v>
      </c>
      <c r="AL288" s="27">
        <f>$K288*T288*负载统计!$K$11/60</f>
        <v>0.000666666666666667</v>
      </c>
    </row>
    <row r="289" spans="1:38">
      <c r="A289" s="1">
        <v>131</v>
      </c>
      <c r="B289" s="24" t="s">
        <v>1512</v>
      </c>
      <c r="C289" s="24" t="s">
        <v>1476</v>
      </c>
      <c r="D289" s="24" t="s">
        <v>1513</v>
      </c>
      <c r="E289" s="24" t="s">
        <v>933</v>
      </c>
      <c r="F289" s="24" t="s">
        <v>936</v>
      </c>
      <c r="G289" s="25">
        <f>VLOOKUP(A289,负载电气特性!A:G,7,FALSE)</f>
        <v>28</v>
      </c>
      <c r="H289" s="26" t="s">
        <v>66</v>
      </c>
      <c r="I289" s="25" t="s">
        <v>1706</v>
      </c>
      <c r="J289" s="25" t="s">
        <v>1708</v>
      </c>
      <c r="K289" s="25">
        <v>0</v>
      </c>
      <c r="L289" s="25">
        <v>0</v>
      </c>
      <c r="M289" s="25">
        <v>0</v>
      </c>
      <c r="N289" s="25">
        <v>0</v>
      </c>
      <c r="O289" s="25">
        <v>0</v>
      </c>
      <c r="P289" s="25">
        <v>0</v>
      </c>
      <c r="Q289" s="25">
        <v>0</v>
      </c>
      <c r="R289" s="25">
        <v>0</v>
      </c>
      <c r="S289" s="25">
        <v>0</v>
      </c>
      <c r="T289" s="25">
        <v>0</v>
      </c>
      <c r="U289" s="27" t="str">
        <f>_xlfn.LET(_xlpm.maxVal,_xlfn.MAXIFS($K:$K,$A:$A,A289),IF(AND(_xlpm.maxVal=K289,L289&lt;&gt;0),_xlpm.maxVal,""))</f>
        <v/>
      </c>
      <c r="V289" s="27" t="str">
        <f>_xlfn.LET(_xlpm.maxVal,_xlfn.MAXIFS($K:$K,$A:$A,A289),IF(AND(_xlpm.maxVal=K289,M289&lt;&gt;0),_xlpm.maxVal,""))</f>
        <v/>
      </c>
      <c r="W289" s="27" t="str">
        <f>_xlfn.LET(_xlpm.maxVal,_xlfn.MAXIFS($K:$K,$A:$A,A289),IF(AND(_xlpm.maxVal=K289,N289&lt;&gt;0),_xlpm.maxVal,""))</f>
        <v/>
      </c>
      <c r="X289" s="27" t="str">
        <f>_xlfn.LET(_xlpm.maxVal,_xlfn.MAXIFS($K:$K,$A:$A,A289),IF(AND(_xlpm.maxVal=K289,O289&lt;&gt;0),_xlpm.maxVal,""))</f>
        <v/>
      </c>
      <c r="Y289" s="27" t="str">
        <f>_xlfn.LET(_xlpm.maxVal,_xlfn.MAXIFS($K:$K,$A:$A,A289),IF(AND(_xlpm.maxVal=K289,P289&lt;&gt;0),_xlpm.maxVal,""))</f>
        <v/>
      </c>
      <c r="Z289" s="27" t="str">
        <f>_xlfn.LET(_xlpm.maxVal,_xlfn.MAXIFS($K:$K,$A:$A,A289),IF(AND(_xlpm.maxVal=K289,Q289&lt;&gt;0),_xlpm.maxVal,""))</f>
        <v/>
      </c>
      <c r="AA289" s="27" t="str">
        <f>_xlfn.LET(_xlpm.maxVal,_xlfn.MAXIFS($K:$K,$A:$A,A289),IF(AND(_xlpm.maxVal=K289,R289&lt;&gt;0),_xlpm.maxVal,""))</f>
        <v/>
      </c>
      <c r="AB289" s="27" t="str">
        <f>_xlfn.LET(_xlpm.maxVal,_xlfn.MAXIFS($K:$K,$A:$A,A289),IF(AND(_xlpm.maxVal=K289,S289&lt;&gt;0),_xlpm.maxVal,""))</f>
        <v/>
      </c>
      <c r="AC289" s="27" t="str">
        <f>_xlfn.LET(_xlpm.maxVal,_xlfn.MAXIFS($K:$K,$A:$A,A289),IF(AND(_xlpm.maxVal=K289,T289&lt;&gt;0),_xlpm.maxVal,""))</f>
        <v/>
      </c>
      <c r="AD289" s="27">
        <f>$K289*L289*负载统计!$K$3/60</f>
        <v>0</v>
      </c>
      <c r="AE289" s="27">
        <f>$K289*L289*负载统计!$K$4/60</f>
        <v>0</v>
      </c>
      <c r="AF289" s="27">
        <f>$K289*N289*负载统计!$K$5/60</f>
        <v>0</v>
      </c>
      <c r="AG289" s="27">
        <f>$K289*O289*负载统计!$K$6/60</f>
        <v>0</v>
      </c>
      <c r="AH289" s="27">
        <f>$K289*P289*负载统计!$K$7/60</f>
        <v>0</v>
      </c>
      <c r="AI289" s="27">
        <f>$K289*Q289*负载统计!$K$8/60</f>
        <v>0</v>
      </c>
      <c r="AJ289" s="27">
        <f>$K289*R289*负载统计!$K$9/60</f>
        <v>0</v>
      </c>
      <c r="AK289" s="27">
        <f>$K289*S289*负载统计!$K$10/60</f>
        <v>0</v>
      </c>
      <c r="AL289" s="27">
        <f>$K289*T289*负载统计!$K$11/60</f>
        <v>0</v>
      </c>
    </row>
    <row r="290" spans="1:38">
      <c r="A290" s="1">
        <v>132</v>
      </c>
      <c r="B290" s="24" t="s">
        <v>1514</v>
      </c>
      <c r="C290" s="24" t="s">
        <v>1476</v>
      </c>
      <c r="D290" s="24" t="s">
        <v>937</v>
      </c>
      <c r="E290" s="24" t="s">
        <v>938</v>
      </c>
      <c r="F290" s="24" t="s">
        <v>939</v>
      </c>
      <c r="G290" s="25">
        <f>VLOOKUP(A290,负载电气特性!A:G,7,FALSE)</f>
        <v>28</v>
      </c>
      <c r="H290" s="26" t="s">
        <v>66</v>
      </c>
      <c r="I290" s="25" t="s">
        <v>1706</v>
      </c>
      <c r="J290" s="25" t="s">
        <v>1707</v>
      </c>
      <c r="K290" s="25">
        <v>0.02</v>
      </c>
      <c r="L290" s="25">
        <v>1</v>
      </c>
      <c r="M290" s="25">
        <v>1</v>
      </c>
      <c r="N290" s="25">
        <v>1</v>
      </c>
      <c r="O290" s="25">
        <v>1</v>
      </c>
      <c r="P290" s="25">
        <v>1</v>
      </c>
      <c r="Q290" s="25">
        <v>1</v>
      </c>
      <c r="R290" s="25">
        <v>1</v>
      </c>
      <c r="S290" s="25">
        <v>1</v>
      </c>
      <c r="T290" s="25">
        <v>1</v>
      </c>
      <c r="U290" s="27">
        <f>_xlfn.LET(_xlpm.maxVal,_xlfn.MAXIFS($K:$K,$A:$A,A290),IF(AND(_xlpm.maxVal=K290,L290&lt;&gt;0),_xlpm.maxVal,""))</f>
        <v>0.02</v>
      </c>
      <c r="V290" s="27">
        <f>_xlfn.LET(_xlpm.maxVal,_xlfn.MAXIFS($K:$K,$A:$A,A290),IF(AND(_xlpm.maxVal=K290,M290&lt;&gt;0),_xlpm.maxVal,""))</f>
        <v>0.02</v>
      </c>
      <c r="W290" s="27">
        <f>_xlfn.LET(_xlpm.maxVal,_xlfn.MAXIFS($K:$K,$A:$A,A290),IF(AND(_xlpm.maxVal=K290,N290&lt;&gt;0),_xlpm.maxVal,""))</f>
        <v>0.02</v>
      </c>
      <c r="X290" s="27">
        <f>_xlfn.LET(_xlpm.maxVal,_xlfn.MAXIFS($K:$K,$A:$A,A290),IF(AND(_xlpm.maxVal=K290,O290&lt;&gt;0),_xlpm.maxVal,""))</f>
        <v>0.02</v>
      </c>
      <c r="Y290" s="27">
        <f>_xlfn.LET(_xlpm.maxVal,_xlfn.MAXIFS($K:$K,$A:$A,A290),IF(AND(_xlpm.maxVal=K290,P290&lt;&gt;0),_xlpm.maxVal,""))</f>
        <v>0.02</v>
      </c>
      <c r="Z290" s="27">
        <f>_xlfn.LET(_xlpm.maxVal,_xlfn.MAXIFS($K:$K,$A:$A,A290),IF(AND(_xlpm.maxVal=K290,Q290&lt;&gt;0),_xlpm.maxVal,""))</f>
        <v>0.02</v>
      </c>
      <c r="AA290" s="27">
        <f>_xlfn.LET(_xlpm.maxVal,_xlfn.MAXIFS($K:$K,$A:$A,A290),IF(AND(_xlpm.maxVal=K290,R290&lt;&gt;0),_xlpm.maxVal,""))</f>
        <v>0.02</v>
      </c>
      <c r="AB290" s="27">
        <f>_xlfn.LET(_xlpm.maxVal,_xlfn.MAXIFS($K:$K,$A:$A,A290),IF(AND(_xlpm.maxVal=K290,S290&lt;&gt;0),_xlpm.maxVal,""))</f>
        <v>0.02</v>
      </c>
      <c r="AC290" s="27">
        <f>_xlfn.LET(_xlpm.maxVal,_xlfn.MAXIFS($K:$K,$A:$A,A290),IF(AND(_xlpm.maxVal=K290,T290&lt;&gt;0),_xlpm.maxVal,""))</f>
        <v>0.02</v>
      </c>
      <c r="AD290" s="27">
        <f>$K290*L290*负载统计!$K$3/60</f>
        <v>0</v>
      </c>
      <c r="AE290" s="27">
        <f>$K290*L290*负载统计!$K$4/60</f>
        <v>0</v>
      </c>
      <c r="AF290" s="27">
        <f>$K290*N290*负载统计!$K$5/60</f>
        <v>0.000333333333333333</v>
      </c>
      <c r="AG290" s="27">
        <f>$K290*O290*负载统计!$K$6/60</f>
        <v>0.001</v>
      </c>
      <c r="AH290" s="27">
        <f>$K290*P290*负载统计!$K$7/60</f>
        <v>0.00225666666666667</v>
      </c>
      <c r="AI290" s="27">
        <f>$K290*Q290*负载统计!$K$8/60</f>
        <v>0.0145333333333333</v>
      </c>
      <c r="AJ290" s="27">
        <f>$K290*R290*负载统计!$K$9/60</f>
        <v>0.00461666666666667</v>
      </c>
      <c r="AK290" s="27">
        <f>$K290*S290*负载统计!$K$10/60</f>
        <v>0.000166666666666667</v>
      </c>
      <c r="AL290" s="27">
        <f>$K290*T290*负载统计!$K$11/60</f>
        <v>0.00133333333333333</v>
      </c>
    </row>
    <row r="291" spans="1:38">
      <c r="A291" s="1">
        <v>132</v>
      </c>
      <c r="B291" s="24" t="s">
        <v>1514</v>
      </c>
      <c r="C291" s="24" t="s">
        <v>1476</v>
      </c>
      <c r="D291" s="24" t="s">
        <v>937</v>
      </c>
      <c r="E291" s="24" t="s">
        <v>938</v>
      </c>
      <c r="F291" s="24" t="s">
        <v>939</v>
      </c>
      <c r="G291" s="25">
        <f>VLOOKUP(A291,负载电气特性!A:G,7,FALSE)</f>
        <v>28</v>
      </c>
      <c r="H291" s="26" t="s">
        <v>66</v>
      </c>
      <c r="I291" s="25" t="s">
        <v>1706</v>
      </c>
      <c r="J291" s="25" t="s">
        <v>1708</v>
      </c>
      <c r="K291" s="25">
        <v>0</v>
      </c>
      <c r="L291" s="25">
        <v>0</v>
      </c>
      <c r="M291" s="25">
        <v>0</v>
      </c>
      <c r="N291" s="25">
        <v>0</v>
      </c>
      <c r="O291" s="25">
        <v>0</v>
      </c>
      <c r="P291" s="25">
        <v>0</v>
      </c>
      <c r="Q291" s="25">
        <v>0</v>
      </c>
      <c r="R291" s="25">
        <v>0</v>
      </c>
      <c r="S291" s="25">
        <v>0</v>
      </c>
      <c r="T291" s="25">
        <v>0</v>
      </c>
      <c r="U291" s="27" t="str">
        <f>_xlfn.LET(_xlpm.maxVal,_xlfn.MAXIFS($K:$K,$A:$A,A291),IF(AND(_xlpm.maxVal=K291,L291&lt;&gt;0),_xlpm.maxVal,""))</f>
        <v/>
      </c>
      <c r="V291" s="27" t="str">
        <f>_xlfn.LET(_xlpm.maxVal,_xlfn.MAXIFS($K:$K,$A:$A,A291),IF(AND(_xlpm.maxVal=K291,M291&lt;&gt;0),_xlpm.maxVal,""))</f>
        <v/>
      </c>
      <c r="W291" s="27" t="str">
        <f>_xlfn.LET(_xlpm.maxVal,_xlfn.MAXIFS($K:$K,$A:$A,A291),IF(AND(_xlpm.maxVal=K291,N291&lt;&gt;0),_xlpm.maxVal,""))</f>
        <v/>
      </c>
      <c r="X291" s="27" t="str">
        <f>_xlfn.LET(_xlpm.maxVal,_xlfn.MAXIFS($K:$K,$A:$A,A291),IF(AND(_xlpm.maxVal=K291,O291&lt;&gt;0),_xlpm.maxVal,""))</f>
        <v/>
      </c>
      <c r="Y291" s="27" t="str">
        <f>_xlfn.LET(_xlpm.maxVal,_xlfn.MAXIFS($K:$K,$A:$A,A291),IF(AND(_xlpm.maxVal=K291,P291&lt;&gt;0),_xlpm.maxVal,""))</f>
        <v/>
      </c>
      <c r="Z291" s="27" t="str">
        <f>_xlfn.LET(_xlpm.maxVal,_xlfn.MAXIFS($K:$K,$A:$A,A291),IF(AND(_xlpm.maxVal=K291,Q291&lt;&gt;0),_xlpm.maxVal,""))</f>
        <v/>
      </c>
      <c r="AA291" s="27" t="str">
        <f>_xlfn.LET(_xlpm.maxVal,_xlfn.MAXIFS($K:$K,$A:$A,A291),IF(AND(_xlpm.maxVal=K291,R291&lt;&gt;0),_xlpm.maxVal,""))</f>
        <v/>
      </c>
      <c r="AB291" s="27" t="str">
        <f>_xlfn.LET(_xlpm.maxVal,_xlfn.MAXIFS($K:$K,$A:$A,A291),IF(AND(_xlpm.maxVal=K291,S291&lt;&gt;0),_xlpm.maxVal,""))</f>
        <v/>
      </c>
      <c r="AC291" s="27" t="str">
        <f>_xlfn.LET(_xlpm.maxVal,_xlfn.MAXIFS($K:$K,$A:$A,A291),IF(AND(_xlpm.maxVal=K291,T291&lt;&gt;0),_xlpm.maxVal,""))</f>
        <v/>
      </c>
      <c r="AD291" s="27">
        <f>$K291*L291*负载统计!$K$3/60</f>
        <v>0</v>
      </c>
      <c r="AE291" s="27">
        <f>$K291*L291*负载统计!$K$4/60</f>
        <v>0</v>
      </c>
      <c r="AF291" s="27">
        <f>$K291*N291*负载统计!$K$5/60</f>
        <v>0</v>
      </c>
      <c r="AG291" s="27">
        <f>$K291*O291*负载统计!$K$6/60</f>
        <v>0</v>
      </c>
      <c r="AH291" s="27">
        <f>$K291*P291*负载统计!$K$7/60</f>
        <v>0</v>
      </c>
      <c r="AI291" s="27">
        <f>$K291*Q291*负载统计!$K$8/60</f>
        <v>0</v>
      </c>
      <c r="AJ291" s="27">
        <f>$K291*R291*负载统计!$K$9/60</f>
        <v>0</v>
      </c>
      <c r="AK291" s="27">
        <f>$K291*S291*负载统计!$K$10/60</f>
        <v>0</v>
      </c>
      <c r="AL291" s="27">
        <f>$K291*T291*负载统计!$K$11/60</f>
        <v>0</v>
      </c>
    </row>
    <row r="292" spans="1:38">
      <c r="A292" s="1">
        <v>133</v>
      </c>
      <c r="B292" s="24" t="s">
        <v>1515</v>
      </c>
      <c r="C292" s="24" t="s">
        <v>1516</v>
      </c>
      <c r="D292" s="24" t="s">
        <v>1517</v>
      </c>
      <c r="E292" s="24" t="s">
        <v>945</v>
      </c>
      <c r="F292" s="24" t="s">
        <v>946</v>
      </c>
      <c r="G292" s="25">
        <f>VLOOKUP(A292,负载电气特性!A:G,7,FALSE)</f>
        <v>28</v>
      </c>
      <c r="H292" s="26" t="s">
        <v>66</v>
      </c>
      <c r="I292" s="25" t="s">
        <v>1706</v>
      </c>
      <c r="J292" s="25" t="s">
        <v>1707</v>
      </c>
      <c r="K292" s="25">
        <v>0.045</v>
      </c>
      <c r="L292" s="25">
        <v>1</v>
      </c>
      <c r="M292" s="25">
        <v>1</v>
      </c>
      <c r="N292" s="25">
        <v>1</v>
      </c>
      <c r="O292" s="25">
        <v>1</v>
      </c>
      <c r="P292" s="25">
        <v>1</v>
      </c>
      <c r="Q292" s="25">
        <v>1</v>
      </c>
      <c r="R292" s="25">
        <v>1</v>
      </c>
      <c r="S292" s="25">
        <v>1</v>
      </c>
      <c r="T292" s="25">
        <v>1</v>
      </c>
      <c r="U292" s="27">
        <f>_xlfn.LET(_xlpm.maxVal,_xlfn.MAXIFS($K:$K,$A:$A,A292),IF(AND(_xlpm.maxVal=K292,L292&lt;&gt;0),_xlpm.maxVal,""))</f>
        <v>0.045</v>
      </c>
      <c r="V292" s="27">
        <f>_xlfn.LET(_xlpm.maxVal,_xlfn.MAXIFS($K:$K,$A:$A,A292),IF(AND(_xlpm.maxVal=K292,M292&lt;&gt;0),_xlpm.maxVal,""))</f>
        <v>0.045</v>
      </c>
      <c r="W292" s="27">
        <f>_xlfn.LET(_xlpm.maxVal,_xlfn.MAXIFS($K:$K,$A:$A,A292),IF(AND(_xlpm.maxVal=K292,N292&lt;&gt;0),_xlpm.maxVal,""))</f>
        <v>0.045</v>
      </c>
      <c r="X292" s="27">
        <f>_xlfn.LET(_xlpm.maxVal,_xlfn.MAXIFS($K:$K,$A:$A,A292),IF(AND(_xlpm.maxVal=K292,O292&lt;&gt;0),_xlpm.maxVal,""))</f>
        <v>0.045</v>
      </c>
      <c r="Y292" s="27">
        <f>_xlfn.LET(_xlpm.maxVal,_xlfn.MAXIFS($K:$K,$A:$A,A292),IF(AND(_xlpm.maxVal=K292,P292&lt;&gt;0),_xlpm.maxVal,""))</f>
        <v>0.045</v>
      </c>
      <c r="Z292" s="27">
        <f>_xlfn.LET(_xlpm.maxVal,_xlfn.MAXIFS($K:$K,$A:$A,A292),IF(AND(_xlpm.maxVal=K292,Q292&lt;&gt;0),_xlpm.maxVal,""))</f>
        <v>0.045</v>
      </c>
      <c r="AA292" s="27">
        <f>_xlfn.LET(_xlpm.maxVal,_xlfn.MAXIFS($K:$K,$A:$A,A292),IF(AND(_xlpm.maxVal=K292,R292&lt;&gt;0),_xlpm.maxVal,""))</f>
        <v>0.045</v>
      </c>
      <c r="AB292" s="27">
        <f>_xlfn.LET(_xlpm.maxVal,_xlfn.MAXIFS($K:$K,$A:$A,A292),IF(AND(_xlpm.maxVal=K292,S292&lt;&gt;0),_xlpm.maxVal,""))</f>
        <v>0.045</v>
      </c>
      <c r="AC292" s="27">
        <f>_xlfn.LET(_xlpm.maxVal,_xlfn.MAXIFS($K:$K,$A:$A,A292),IF(AND(_xlpm.maxVal=K292,T292&lt;&gt;0),_xlpm.maxVal,""))</f>
        <v>0.045</v>
      </c>
      <c r="AD292" s="27">
        <f>$K292*L292*负载统计!$K$3/60</f>
        <v>0</v>
      </c>
      <c r="AE292" s="27">
        <f>$K292*L292*负载统计!$K$4/60</f>
        <v>0</v>
      </c>
      <c r="AF292" s="27">
        <f>$K292*N292*负载统计!$K$5/60</f>
        <v>0.00075</v>
      </c>
      <c r="AG292" s="27">
        <f>$K292*O292*负载统计!$K$6/60</f>
        <v>0.00225</v>
      </c>
      <c r="AH292" s="27">
        <f>$K292*P292*负载统计!$K$7/60</f>
        <v>0.0050775</v>
      </c>
      <c r="AI292" s="27">
        <f>$K292*Q292*负载统计!$K$8/60</f>
        <v>0.0327</v>
      </c>
      <c r="AJ292" s="27">
        <f>$K292*R292*负载统计!$K$9/60</f>
        <v>0.0103875</v>
      </c>
      <c r="AK292" s="27">
        <f>$K292*S292*负载统计!$K$10/60</f>
        <v>0.000375</v>
      </c>
      <c r="AL292" s="27">
        <f>$K292*T292*负载统计!$K$11/60</f>
        <v>0.003</v>
      </c>
    </row>
    <row r="293" spans="1:38">
      <c r="A293" s="1">
        <v>133</v>
      </c>
      <c r="B293" s="24" t="s">
        <v>1515</v>
      </c>
      <c r="C293" s="24" t="s">
        <v>1516</v>
      </c>
      <c r="D293" s="24" t="s">
        <v>1517</v>
      </c>
      <c r="E293" s="24" t="s">
        <v>945</v>
      </c>
      <c r="F293" s="24" t="s">
        <v>946</v>
      </c>
      <c r="G293" s="25">
        <f>VLOOKUP(A293,负载电气特性!A:G,7,FALSE)</f>
        <v>28</v>
      </c>
      <c r="H293" s="26" t="s">
        <v>66</v>
      </c>
      <c r="I293" s="25" t="s">
        <v>1706</v>
      </c>
      <c r="J293" s="25" t="s">
        <v>1708</v>
      </c>
      <c r="K293" s="25">
        <v>0</v>
      </c>
      <c r="L293" s="25">
        <v>0</v>
      </c>
      <c r="M293" s="25">
        <v>0</v>
      </c>
      <c r="N293" s="25">
        <v>0</v>
      </c>
      <c r="O293" s="25">
        <v>0</v>
      </c>
      <c r="P293" s="25">
        <v>0</v>
      </c>
      <c r="Q293" s="25">
        <v>0</v>
      </c>
      <c r="R293" s="25">
        <v>0</v>
      </c>
      <c r="S293" s="25">
        <v>0</v>
      </c>
      <c r="T293" s="25">
        <v>0</v>
      </c>
      <c r="U293" s="27" t="str">
        <f>_xlfn.LET(_xlpm.maxVal,_xlfn.MAXIFS($K:$K,$A:$A,A293),IF(AND(_xlpm.maxVal=K293,L293&lt;&gt;0),_xlpm.maxVal,""))</f>
        <v/>
      </c>
      <c r="V293" s="27" t="str">
        <f>_xlfn.LET(_xlpm.maxVal,_xlfn.MAXIFS($K:$K,$A:$A,A293),IF(AND(_xlpm.maxVal=K293,M293&lt;&gt;0),_xlpm.maxVal,""))</f>
        <v/>
      </c>
      <c r="W293" s="27" t="str">
        <f>_xlfn.LET(_xlpm.maxVal,_xlfn.MAXIFS($K:$K,$A:$A,A293),IF(AND(_xlpm.maxVal=K293,N293&lt;&gt;0),_xlpm.maxVal,""))</f>
        <v/>
      </c>
      <c r="X293" s="27" t="str">
        <f>_xlfn.LET(_xlpm.maxVal,_xlfn.MAXIFS($K:$K,$A:$A,A293),IF(AND(_xlpm.maxVal=K293,O293&lt;&gt;0),_xlpm.maxVal,""))</f>
        <v/>
      </c>
      <c r="Y293" s="27" t="str">
        <f>_xlfn.LET(_xlpm.maxVal,_xlfn.MAXIFS($K:$K,$A:$A,A293),IF(AND(_xlpm.maxVal=K293,P293&lt;&gt;0),_xlpm.maxVal,""))</f>
        <v/>
      </c>
      <c r="Z293" s="27" t="str">
        <f>_xlfn.LET(_xlpm.maxVal,_xlfn.MAXIFS($K:$K,$A:$A,A293),IF(AND(_xlpm.maxVal=K293,Q293&lt;&gt;0),_xlpm.maxVal,""))</f>
        <v/>
      </c>
      <c r="AA293" s="27" t="str">
        <f>_xlfn.LET(_xlpm.maxVal,_xlfn.MAXIFS($K:$K,$A:$A,A293),IF(AND(_xlpm.maxVal=K293,R293&lt;&gt;0),_xlpm.maxVal,""))</f>
        <v/>
      </c>
      <c r="AB293" s="27" t="str">
        <f>_xlfn.LET(_xlpm.maxVal,_xlfn.MAXIFS($K:$K,$A:$A,A293),IF(AND(_xlpm.maxVal=K293,S293&lt;&gt;0),_xlpm.maxVal,""))</f>
        <v/>
      </c>
      <c r="AC293" s="27" t="str">
        <f>_xlfn.LET(_xlpm.maxVal,_xlfn.MAXIFS($K:$K,$A:$A,A293),IF(AND(_xlpm.maxVal=K293,T293&lt;&gt;0),_xlpm.maxVal,""))</f>
        <v/>
      </c>
      <c r="AD293" s="27">
        <f>$K293*L293*负载统计!$K$3/60</f>
        <v>0</v>
      </c>
      <c r="AE293" s="27">
        <f>$K293*L293*负载统计!$K$4/60</f>
        <v>0</v>
      </c>
      <c r="AF293" s="27">
        <f>$K293*N293*负载统计!$K$5/60</f>
        <v>0</v>
      </c>
      <c r="AG293" s="27">
        <f>$K293*O293*负载统计!$K$6/60</f>
        <v>0</v>
      </c>
      <c r="AH293" s="27">
        <f>$K293*P293*负载统计!$K$7/60</f>
        <v>0</v>
      </c>
      <c r="AI293" s="27">
        <f>$K293*Q293*负载统计!$K$8/60</f>
        <v>0</v>
      </c>
      <c r="AJ293" s="27">
        <f>$K293*R293*负载统计!$K$9/60</f>
        <v>0</v>
      </c>
      <c r="AK293" s="27">
        <f>$K293*S293*负载统计!$K$10/60</f>
        <v>0</v>
      </c>
      <c r="AL293" s="27">
        <f>$K293*T293*负载统计!$K$11/60</f>
        <v>0</v>
      </c>
    </row>
    <row r="294" spans="1:38">
      <c r="A294" s="1">
        <v>134</v>
      </c>
      <c r="B294" s="24" t="s">
        <v>1518</v>
      </c>
      <c r="C294" s="24" t="s">
        <v>1516</v>
      </c>
      <c r="D294" s="24" t="s">
        <v>1519</v>
      </c>
      <c r="E294" s="24" t="s">
        <v>945</v>
      </c>
      <c r="F294" s="24" t="s">
        <v>948</v>
      </c>
      <c r="G294" s="25">
        <f>VLOOKUP(A294,负载电气特性!A:G,7,FALSE)</f>
        <v>28</v>
      </c>
      <c r="H294" s="26" t="s">
        <v>66</v>
      </c>
      <c r="I294" s="25" t="s">
        <v>1706</v>
      </c>
      <c r="J294" s="25" t="s">
        <v>1707</v>
      </c>
      <c r="K294" s="25">
        <v>0.045</v>
      </c>
      <c r="L294" s="25">
        <v>1</v>
      </c>
      <c r="M294" s="25">
        <v>1</v>
      </c>
      <c r="N294" s="25">
        <v>1</v>
      </c>
      <c r="O294" s="25">
        <v>1</v>
      </c>
      <c r="P294" s="25">
        <v>1</v>
      </c>
      <c r="Q294" s="25">
        <v>1</v>
      </c>
      <c r="R294" s="25">
        <v>1</v>
      </c>
      <c r="S294" s="25">
        <v>1</v>
      </c>
      <c r="T294" s="25">
        <v>1</v>
      </c>
      <c r="U294" s="27">
        <f>_xlfn.LET(_xlpm.maxVal,_xlfn.MAXIFS($K:$K,$A:$A,A294),IF(AND(_xlpm.maxVal=K294,L294&lt;&gt;0),_xlpm.maxVal,""))</f>
        <v>0.045</v>
      </c>
      <c r="V294" s="27">
        <f>_xlfn.LET(_xlpm.maxVal,_xlfn.MAXIFS($K:$K,$A:$A,A294),IF(AND(_xlpm.maxVal=K294,M294&lt;&gt;0),_xlpm.maxVal,""))</f>
        <v>0.045</v>
      </c>
      <c r="W294" s="27">
        <f>_xlfn.LET(_xlpm.maxVal,_xlfn.MAXIFS($K:$K,$A:$A,A294),IF(AND(_xlpm.maxVal=K294,N294&lt;&gt;0),_xlpm.maxVal,""))</f>
        <v>0.045</v>
      </c>
      <c r="X294" s="27">
        <f>_xlfn.LET(_xlpm.maxVal,_xlfn.MAXIFS($K:$K,$A:$A,A294),IF(AND(_xlpm.maxVal=K294,O294&lt;&gt;0),_xlpm.maxVal,""))</f>
        <v>0.045</v>
      </c>
      <c r="Y294" s="27">
        <f>_xlfn.LET(_xlpm.maxVal,_xlfn.MAXIFS($K:$K,$A:$A,A294),IF(AND(_xlpm.maxVal=K294,P294&lt;&gt;0),_xlpm.maxVal,""))</f>
        <v>0.045</v>
      </c>
      <c r="Z294" s="27">
        <f>_xlfn.LET(_xlpm.maxVal,_xlfn.MAXIFS($K:$K,$A:$A,A294),IF(AND(_xlpm.maxVal=K294,Q294&lt;&gt;0),_xlpm.maxVal,""))</f>
        <v>0.045</v>
      </c>
      <c r="AA294" s="27">
        <f>_xlfn.LET(_xlpm.maxVal,_xlfn.MAXIFS($K:$K,$A:$A,A294),IF(AND(_xlpm.maxVal=K294,R294&lt;&gt;0),_xlpm.maxVal,""))</f>
        <v>0.045</v>
      </c>
      <c r="AB294" s="27">
        <f>_xlfn.LET(_xlpm.maxVal,_xlfn.MAXIFS($K:$K,$A:$A,A294),IF(AND(_xlpm.maxVal=K294,S294&lt;&gt;0),_xlpm.maxVal,""))</f>
        <v>0.045</v>
      </c>
      <c r="AC294" s="27">
        <f>_xlfn.LET(_xlpm.maxVal,_xlfn.MAXIFS($K:$K,$A:$A,A294),IF(AND(_xlpm.maxVal=K294,T294&lt;&gt;0),_xlpm.maxVal,""))</f>
        <v>0.045</v>
      </c>
      <c r="AD294" s="27">
        <f>$K294*L294*负载统计!$K$3/60</f>
        <v>0</v>
      </c>
      <c r="AE294" s="27">
        <f>$K294*L294*负载统计!$K$4/60</f>
        <v>0</v>
      </c>
      <c r="AF294" s="27">
        <f>$K294*N294*负载统计!$K$5/60</f>
        <v>0.00075</v>
      </c>
      <c r="AG294" s="27">
        <f>$K294*O294*负载统计!$K$6/60</f>
        <v>0.00225</v>
      </c>
      <c r="AH294" s="27">
        <f>$K294*P294*负载统计!$K$7/60</f>
        <v>0.0050775</v>
      </c>
      <c r="AI294" s="27">
        <f>$K294*Q294*负载统计!$K$8/60</f>
        <v>0.0327</v>
      </c>
      <c r="AJ294" s="27">
        <f>$K294*R294*负载统计!$K$9/60</f>
        <v>0.0103875</v>
      </c>
      <c r="AK294" s="27">
        <f>$K294*S294*负载统计!$K$10/60</f>
        <v>0.000375</v>
      </c>
      <c r="AL294" s="27">
        <f>$K294*T294*负载统计!$K$11/60</f>
        <v>0.003</v>
      </c>
    </row>
    <row r="295" spans="1:38">
      <c r="A295" s="1">
        <v>134</v>
      </c>
      <c r="B295" s="24" t="s">
        <v>1518</v>
      </c>
      <c r="C295" s="24" t="s">
        <v>1516</v>
      </c>
      <c r="D295" s="24" t="s">
        <v>1519</v>
      </c>
      <c r="E295" s="24" t="s">
        <v>945</v>
      </c>
      <c r="F295" s="24" t="s">
        <v>948</v>
      </c>
      <c r="G295" s="25">
        <f>VLOOKUP(A295,负载电气特性!A:G,7,FALSE)</f>
        <v>28</v>
      </c>
      <c r="H295" s="26" t="s">
        <v>66</v>
      </c>
      <c r="I295" s="25" t="s">
        <v>1706</v>
      </c>
      <c r="J295" s="25" t="s">
        <v>1708</v>
      </c>
      <c r="K295" s="25">
        <v>0</v>
      </c>
      <c r="L295" s="25">
        <v>0</v>
      </c>
      <c r="M295" s="25">
        <v>0</v>
      </c>
      <c r="N295" s="25">
        <v>0</v>
      </c>
      <c r="O295" s="25">
        <v>0</v>
      </c>
      <c r="P295" s="25">
        <v>0</v>
      </c>
      <c r="Q295" s="25">
        <v>0</v>
      </c>
      <c r="R295" s="25">
        <v>0</v>
      </c>
      <c r="S295" s="25">
        <v>0</v>
      </c>
      <c r="T295" s="25">
        <v>0</v>
      </c>
      <c r="U295" s="27" t="str">
        <f>_xlfn.LET(_xlpm.maxVal,_xlfn.MAXIFS($K:$K,$A:$A,A295),IF(AND(_xlpm.maxVal=K295,L295&lt;&gt;0),_xlpm.maxVal,""))</f>
        <v/>
      </c>
      <c r="V295" s="27" t="str">
        <f>_xlfn.LET(_xlpm.maxVal,_xlfn.MAXIFS($K:$K,$A:$A,A295),IF(AND(_xlpm.maxVal=K295,M295&lt;&gt;0),_xlpm.maxVal,""))</f>
        <v/>
      </c>
      <c r="W295" s="27" t="str">
        <f>_xlfn.LET(_xlpm.maxVal,_xlfn.MAXIFS($K:$K,$A:$A,A295),IF(AND(_xlpm.maxVal=K295,N295&lt;&gt;0),_xlpm.maxVal,""))</f>
        <v/>
      </c>
      <c r="X295" s="27" t="str">
        <f>_xlfn.LET(_xlpm.maxVal,_xlfn.MAXIFS($K:$K,$A:$A,A295),IF(AND(_xlpm.maxVal=K295,O295&lt;&gt;0),_xlpm.maxVal,""))</f>
        <v/>
      </c>
      <c r="Y295" s="27" t="str">
        <f>_xlfn.LET(_xlpm.maxVal,_xlfn.MAXIFS($K:$K,$A:$A,A295),IF(AND(_xlpm.maxVal=K295,P295&lt;&gt;0),_xlpm.maxVal,""))</f>
        <v/>
      </c>
      <c r="Z295" s="27" t="str">
        <f>_xlfn.LET(_xlpm.maxVal,_xlfn.MAXIFS($K:$K,$A:$A,A295),IF(AND(_xlpm.maxVal=K295,Q295&lt;&gt;0),_xlpm.maxVal,""))</f>
        <v/>
      </c>
      <c r="AA295" s="27" t="str">
        <f>_xlfn.LET(_xlpm.maxVal,_xlfn.MAXIFS($K:$K,$A:$A,A295),IF(AND(_xlpm.maxVal=K295,R295&lt;&gt;0),_xlpm.maxVal,""))</f>
        <v/>
      </c>
      <c r="AB295" s="27" t="str">
        <f>_xlfn.LET(_xlpm.maxVal,_xlfn.MAXIFS($K:$K,$A:$A,A295),IF(AND(_xlpm.maxVal=K295,S295&lt;&gt;0),_xlpm.maxVal,""))</f>
        <v/>
      </c>
      <c r="AC295" s="27" t="str">
        <f>_xlfn.LET(_xlpm.maxVal,_xlfn.MAXIFS($K:$K,$A:$A,A295),IF(AND(_xlpm.maxVal=K295,T295&lt;&gt;0),_xlpm.maxVal,""))</f>
        <v/>
      </c>
      <c r="AD295" s="27">
        <f>$K295*L295*负载统计!$K$3/60</f>
        <v>0</v>
      </c>
      <c r="AE295" s="27">
        <f>$K295*L295*负载统计!$K$4/60</f>
        <v>0</v>
      </c>
      <c r="AF295" s="27">
        <f>$K295*N295*负载统计!$K$5/60</f>
        <v>0</v>
      </c>
      <c r="AG295" s="27">
        <f>$K295*O295*负载统计!$K$6/60</f>
        <v>0</v>
      </c>
      <c r="AH295" s="27">
        <f>$K295*P295*负载统计!$K$7/60</f>
        <v>0</v>
      </c>
      <c r="AI295" s="27">
        <f>$K295*Q295*负载统计!$K$8/60</f>
        <v>0</v>
      </c>
      <c r="AJ295" s="27">
        <f>$K295*R295*负载统计!$K$9/60</f>
        <v>0</v>
      </c>
      <c r="AK295" s="27">
        <f>$K295*S295*负载统计!$K$10/60</f>
        <v>0</v>
      </c>
      <c r="AL295" s="27">
        <f>$K295*T295*负载统计!$K$11/60</f>
        <v>0</v>
      </c>
    </row>
    <row r="296" spans="1:38">
      <c r="A296" s="1">
        <v>135</v>
      </c>
      <c r="B296" s="24" t="s">
        <v>1520</v>
      </c>
      <c r="C296" s="24" t="s">
        <v>1516</v>
      </c>
      <c r="D296" s="24" t="s">
        <v>1521</v>
      </c>
      <c r="E296" s="24" t="s">
        <v>951</v>
      </c>
      <c r="F296" s="24" t="s">
        <v>952</v>
      </c>
      <c r="G296" s="25">
        <f>VLOOKUP(A296,负载电气特性!A:G,7,FALSE)</f>
        <v>28</v>
      </c>
      <c r="H296" s="26" t="s">
        <v>61</v>
      </c>
      <c r="I296" s="25" t="s">
        <v>1706</v>
      </c>
      <c r="J296" s="25" t="s">
        <v>1707</v>
      </c>
      <c r="K296" s="25">
        <v>0.02</v>
      </c>
      <c r="L296" s="25">
        <v>1</v>
      </c>
      <c r="M296" s="25">
        <v>1</v>
      </c>
      <c r="N296" s="25">
        <v>1</v>
      </c>
      <c r="O296" s="25">
        <v>1</v>
      </c>
      <c r="P296" s="25">
        <v>1</v>
      </c>
      <c r="Q296" s="25">
        <v>1</v>
      </c>
      <c r="R296" s="25">
        <v>1</v>
      </c>
      <c r="S296" s="25">
        <v>1</v>
      </c>
      <c r="T296" s="25">
        <v>1</v>
      </c>
      <c r="U296" s="27">
        <f>_xlfn.LET(_xlpm.maxVal,_xlfn.MAXIFS($K:$K,$A:$A,A296),IF(AND(_xlpm.maxVal=K296,L296&lt;&gt;0),_xlpm.maxVal,""))</f>
        <v>0.02</v>
      </c>
      <c r="V296" s="27">
        <f>_xlfn.LET(_xlpm.maxVal,_xlfn.MAXIFS($K:$K,$A:$A,A296),IF(AND(_xlpm.maxVal=K296,M296&lt;&gt;0),_xlpm.maxVal,""))</f>
        <v>0.02</v>
      </c>
      <c r="W296" s="27">
        <f>_xlfn.LET(_xlpm.maxVal,_xlfn.MAXIFS($K:$K,$A:$A,A296),IF(AND(_xlpm.maxVal=K296,N296&lt;&gt;0),_xlpm.maxVal,""))</f>
        <v>0.02</v>
      </c>
      <c r="X296" s="27">
        <f>_xlfn.LET(_xlpm.maxVal,_xlfn.MAXIFS($K:$K,$A:$A,A296),IF(AND(_xlpm.maxVal=K296,O296&lt;&gt;0),_xlpm.maxVal,""))</f>
        <v>0.02</v>
      </c>
      <c r="Y296" s="27">
        <f>_xlfn.LET(_xlpm.maxVal,_xlfn.MAXIFS($K:$K,$A:$A,A296),IF(AND(_xlpm.maxVal=K296,P296&lt;&gt;0),_xlpm.maxVal,""))</f>
        <v>0.02</v>
      </c>
      <c r="Z296" s="27">
        <f>_xlfn.LET(_xlpm.maxVal,_xlfn.MAXIFS($K:$K,$A:$A,A296),IF(AND(_xlpm.maxVal=K296,Q296&lt;&gt;0),_xlpm.maxVal,""))</f>
        <v>0.02</v>
      </c>
      <c r="AA296" s="27">
        <f>_xlfn.LET(_xlpm.maxVal,_xlfn.MAXIFS($K:$K,$A:$A,A296),IF(AND(_xlpm.maxVal=K296,R296&lt;&gt;0),_xlpm.maxVal,""))</f>
        <v>0.02</v>
      </c>
      <c r="AB296" s="27">
        <f>_xlfn.LET(_xlpm.maxVal,_xlfn.MAXIFS($K:$K,$A:$A,A296),IF(AND(_xlpm.maxVal=K296,S296&lt;&gt;0),_xlpm.maxVal,""))</f>
        <v>0.02</v>
      </c>
      <c r="AC296" s="27">
        <f>_xlfn.LET(_xlpm.maxVal,_xlfn.MAXIFS($K:$K,$A:$A,A296),IF(AND(_xlpm.maxVal=K296,T296&lt;&gt;0),_xlpm.maxVal,""))</f>
        <v>0.02</v>
      </c>
      <c r="AD296" s="27">
        <f>$K296*L296*负载统计!$K$3/60</f>
        <v>0</v>
      </c>
      <c r="AE296" s="27">
        <f>$K296*L296*负载统计!$K$4/60</f>
        <v>0</v>
      </c>
      <c r="AF296" s="27">
        <f>$K296*N296*负载统计!$K$5/60</f>
        <v>0.000333333333333333</v>
      </c>
      <c r="AG296" s="27">
        <f>$K296*O296*负载统计!$K$6/60</f>
        <v>0.001</v>
      </c>
      <c r="AH296" s="27">
        <f>$K296*P296*负载统计!$K$7/60</f>
        <v>0.00225666666666667</v>
      </c>
      <c r="AI296" s="27">
        <f>$K296*Q296*负载统计!$K$8/60</f>
        <v>0.0145333333333333</v>
      </c>
      <c r="AJ296" s="27">
        <f>$K296*R296*负载统计!$K$9/60</f>
        <v>0.00461666666666667</v>
      </c>
      <c r="AK296" s="27">
        <f>$K296*S296*负载统计!$K$10/60</f>
        <v>0.000166666666666667</v>
      </c>
      <c r="AL296" s="27">
        <f>$K296*T296*负载统计!$K$11/60</f>
        <v>0.00133333333333333</v>
      </c>
    </row>
    <row r="297" spans="1:38">
      <c r="A297" s="1">
        <v>135</v>
      </c>
      <c r="B297" s="24" t="s">
        <v>1520</v>
      </c>
      <c r="C297" s="24" t="s">
        <v>1516</v>
      </c>
      <c r="D297" s="24" t="s">
        <v>1521</v>
      </c>
      <c r="E297" s="24" t="s">
        <v>951</v>
      </c>
      <c r="F297" s="24" t="s">
        <v>952</v>
      </c>
      <c r="G297" s="25">
        <f>VLOOKUP(A297,负载电气特性!A:G,7,FALSE)</f>
        <v>28</v>
      </c>
      <c r="H297" s="26" t="s">
        <v>61</v>
      </c>
      <c r="I297" s="25" t="s">
        <v>1706</v>
      </c>
      <c r="J297" s="25" t="s">
        <v>1708</v>
      </c>
      <c r="K297" s="25">
        <v>0</v>
      </c>
      <c r="L297" s="25">
        <v>0</v>
      </c>
      <c r="M297" s="25">
        <v>0</v>
      </c>
      <c r="N297" s="25">
        <v>0</v>
      </c>
      <c r="O297" s="25">
        <v>0</v>
      </c>
      <c r="P297" s="25">
        <v>0</v>
      </c>
      <c r="Q297" s="25">
        <v>0</v>
      </c>
      <c r="R297" s="25">
        <v>0</v>
      </c>
      <c r="S297" s="25">
        <v>0</v>
      </c>
      <c r="T297" s="25">
        <v>0</v>
      </c>
      <c r="U297" s="27" t="str">
        <f>_xlfn.LET(_xlpm.maxVal,_xlfn.MAXIFS($K:$K,$A:$A,A297),IF(AND(_xlpm.maxVal=K297,L297&lt;&gt;0),_xlpm.maxVal,""))</f>
        <v/>
      </c>
      <c r="V297" s="27" t="str">
        <f>_xlfn.LET(_xlpm.maxVal,_xlfn.MAXIFS($K:$K,$A:$A,A297),IF(AND(_xlpm.maxVal=K297,M297&lt;&gt;0),_xlpm.maxVal,""))</f>
        <v/>
      </c>
      <c r="W297" s="27" t="str">
        <f>_xlfn.LET(_xlpm.maxVal,_xlfn.MAXIFS($K:$K,$A:$A,A297),IF(AND(_xlpm.maxVal=K297,N297&lt;&gt;0),_xlpm.maxVal,""))</f>
        <v/>
      </c>
      <c r="X297" s="27" t="str">
        <f>_xlfn.LET(_xlpm.maxVal,_xlfn.MAXIFS($K:$K,$A:$A,A297),IF(AND(_xlpm.maxVal=K297,O297&lt;&gt;0),_xlpm.maxVal,""))</f>
        <v/>
      </c>
      <c r="Y297" s="27" t="str">
        <f>_xlfn.LET(_xlpm.maxVal,_xlfn.MAXIFS($K:$K,$A:$A,A297),IF(AND(_xlpm.maxVal=K297,P297&lt;&gt;0),_xlpm.maxVal,""))</f>
        <v/>
      </c>
      <c r="Z297" s="27" t="str">
        <f>_xlfn.LET(_xlpm.maxVal,_xlfn.MAXIFS($K:$K,$A:$A,A297),IF(AND(_xlpm.maxVal=K297,Q297&lt;&gt;0),_xlpm.maxVal,""))</f>
        <v/>
      </c>
      <c r="AA297" s="27" t="str">
        <f>_xlfn.LET(_xlpm.maxVal,_xlfn.MAXIFS($K:$K,$A:$A,A297),IF(AND(_xlpm.maxVal=K297,R297&lt;&gt;0),_xlpm.maxVal,""))</f>
        <v/>
      </c>
      <c r="AB297" s="27" t="str">
        <f>_xlfn.LET(_xlpm.maxVal,_xlfn.MAXIFS($K:$K,$A:$A,A297),IF(AND(_xlpm.maxVal=K297,S297&lt;&gt;0),_xlpm.maxVal,""))</f>
        <v/>
      </c>
      <c r="AC297" s="27" t="str">
        <f>_xlfn.LET(_xlpm.maxVal,_xlfn.MAXIFS($K:$K,$A:$A,A297),IF(AND(_xlpm.maxVal=K297,T297&lt;&gt;0),_xlpm.maxVal,""))</f>
        <v/>
      </c>
      <c r="AD297" s="27">
        <f>$K297*L297*负载统计!$K$3/60</f>
        <v>0</v>
      </c>
      <c r="AE297" s="27">
        <f>$K297*L297*负载统计!$K$4/60</f>
        <v>0</v>
      </c>
      <c r="AF297" s="27">
        <f>$K297*N297*负载统计!$K$5/60</f>
        <v>0</v>
      </c>
      <c r="AG297" s="27">
        <f>$K297*O297*负载统计!$K$6/60</f>
        <v>0</v>
      </c>
      <c r="AH297" s="27">
        <f>$K297*P297*负载统计!$K$7/60</f>
        <v>0</v>
      </c>
      <c r="AI297" s="27">
        <f>$K297*Q297*负载统计!$K$8/60</f>
        <v>0</v>
      </c>
      <c r="AJ297" s="27">
        <f>$K297*R297*负载统计!$K$9/60</f>
        <v>0</v>
      </c>
      <c r="AK297" s="27">
        <f>$K297*S297*负载统计!$K$10/60</f>
        <v>0</v>
      </c>
      <c r="AL297" s="27">
        <f>$K297*T297*负载统计!$K$11/60</f>
        <v>0</v>
      </c>
    </row>
    <row r="298" spans="1:38">
      <c r="A298" s="1">
        <v>136</v>
      </c>
      <c r="B298" s="24" t="s">
        <v>1522</v>
      </c>
      <c r="C298" s="24" t="s">
        <v>1516</v>
      </c>
      <c r="D298" s="24" t="s">
        <v>1523</v>
      </c>
      <c r="E298" s="24" t="s">
        <v>951</v>
      </c>
      <c r="F298" s="24" t="s">
        <v>954</v>
      </c>
      <c r="G298" s="25">
        <f>VLOOKUP(A298,负载电气特性!A:G,7,FALSE)</f>
        <v>28</v>
      </c>
      <c r="H298" s="26" t="s">
        <v>61</v>
      </c>
      <c r="I298" s="25" t="s">
        <v>1706</v>
      </c>
      <c r="J298" s="25" t="s">
        <v>1707</v>
      </c>
      <c r="K298" s="25">
        <v>0.02</v>
      </c>
      <c r="L298" s="25">
        <v>1</v>
      </c>
      <c r="M298" s="25">
        <v>1</v>
      </c>
      <c r="N298" s="25">
        <v>1</v>
      </c>
      <c r="O298" s="25">
        <v>1</v>
      </c>
      <c r="P298" s="25">
        <v>1</v>
      </c>
      <c r="Q298" s="25">
        <v>1</v>
      </c>
      <c r="R298" s="25">
        <v>1</v>
      </c>
      <c r="S298" s="25">
        <v>1</v>
      </c>
      <c r="T298" s="25">
        <v>1</v>
      </c>
      <c r="U298" s="27">
        <f>_xlfn.LET(_xlpm.maxVal,_xlfn.MAXIFS($K:$K,$A:$A,A298),IF(AND(_xlpm.maxVal=K298,L298&lt;&gt;0),_xlpm.maxVal,""))</f>
        <v>0.02</v>
      </c>
      <c r="V298" s="27">
        <f>_xlfn.LET(_xlpm.maxVal,_xlfn.MAXIFS($K:$K,$A:$A,A298),IF(AND(_xlpm.maxVal=K298,M298&lt;&gt;0),_xlpm.maxVal,""))</f>
        <v>0.02</v>
      </c>
      <c r="W298" s="27">
        <f>_xlfn.LET(_xlpm.maxVal,_xlfn.MAXIFS($K:$K,$A:$A,A298),IF(AND(_xlpm.maxVal=K298,N298&lt;&gt;0),_xlpm.maxVal,""))</f>
        <v>0.02</v>
      </c>
      <c r="X298" s="27">
        <f>_xlfn.LET(_xlpm.maxVal,_xlfn.MAXIFS($K:$K,$A:$A,A298),IF(AND(_xlpm.maxVal=K298,O298&lt;&gt;0),_xlpm.maxVal,""))</f>
        <v>0.02</v>
      </c>
      <c r="Y298" s="27">
        <f>_xlfn.LET(_xlpm.maxVal,_xlfn.MAXIFS($K:$K,$A:$A,A298),IF(AND(_xlpm.maxVal=K298,P298&lt;&gt;0),_xlpm.maxVal,""))</f>
        <v>0.02</v>
      </c>
      <c r="Z298" s="27">
        <f>_xlfn.LET(_xlpm.maxVal,_xlfn.MAXIFS($K:$K,$A:$A,A298),IF(AND(_xlpm.maxVal=K298,Q298&lt;&gt;0),_xlpm.maxVal,""))</f>
        <v>0.02</v>
      </c>
      <c r="AA298" s="27">
        <f>_xlfn.LET(_xlpm.maxVal,_xlfn.MAXIFS($K:$K,$A:$A,A298),IF(AND(_xlpm.maxVal=K298,R298&lt;&gt;0),_xlpm.maxVal,""))</f>
        <v>0.02</v>
      </c>
      <c r="AB298" s="27">
        <f>_xlfn.LET(_xlpm.maxVal,_xlfn.MAXIFS($K:$K,$A:$A,A298),IF(AND(_xlpm.maxVal=K298,S298&lt;&gt;0),_xlpm.maxVal,""))</f>
        <v>0.02</v>
      </c>
      <c r="AC298" s="27">
        <f>_xlfn.LET(_xlpm.maxVal,_xlfn.MAXIFS($K:$K,$A:$A,A298),IF(AND(_xlpm.maxVal=K298,T298&lt;&gt;0),_xlpm.maxVal,""))</f>
        <v>0.02</v>
      </c>
      <c r="AD298" s="27">
        <f>$K298*L298*负载统计!$K$3/60</f>
        <v>0</v>
      </c>
      <c r="AE298" s="27">
        <f>$K298*L298*负载统计!$K$4/60</f>
        <v>0</v>
      </c>
      <c r="AF298" s="27">
        <f>$K298*N298*负载统计!$K$5/60</f>
        <v>0.000333333333333333</v>
      </c>
      <c r="AG298" s="27">
        <f>$K298*O298*负载统计!$K$6/60</f>
        <v>0.001</v>
      </c>
      <c r="AH298" s="27">
        <f>$K298*P298*负载统计!$K$7/60</f>
        <v>0.00225666666666667</v>
      </c>
      <c r="AI298" s="27">
        <f>$K298*Q298*负载统计!$K$8/60</f>
        <v>0.0145333333333333</v>
      </c>
      <c r="AJ298" s="27">
        <f>$K298*R298*负载统计!$K$9/60</f>
        <v>0.00461666666666667</v>
      </c>
      <c r="AK298" s="27">
        <f>$K298*S298*负载统计!$K$10/60</f>
        <v>0.000166666666666667</v>
      </c>
      <c r="AL298" s="27">
        <f>$K298*T298*负载统计!$K$11/60</f>
        <v>0.00133333333333333</v>
      </c>
    </row>
    <row r="299" spans="1:38">
      <c r="A299" s="1">
        <v>136</v>
      </c>
      <c r="B299" s="24" t="s">
        <v>1522</v>
      </c>
      <c r="C299" s="24" t="s">
        <v>1516</v>
      </c>
      <c r="D299" s="24" t="s">
        <v>1523</v>
      </c>
      <c r="E299" s="24" t="s">
        <v>951</v>
      </c>
      <c r="F299" s="24" t="s">
        <v>954</v>
      </c>
      <c r="G299" s="25">
        <f>VLOOKUP(A299,负载电气特性!A:G,7,FALSE)</f>
        <v>28</v>
      </c>
      <c r="H299" s="26" t="s">
        <v>61</v>
      </c>
      <c r="I299" s="25" t="s">
        <v>1706</v>
      </c>
      <c r="J299" s="25" t="s">
        <v>1708</v>
      </c>
      <c r="K299" s="25">
        <v>0</v>
      </c>
      <c r="L299" s="25">
        <v>0</v>
      </c>
      <c r="M299" s="25">
        <v>0</v>
      </c>
      <c r="N299" s="25">
        <v>0</v>
      </c>
      <c r="O299" s="25">
        <v>0</v>
      </c>
      <c r="P299" s="25">
        <v>0</v>
      </c>
      <c r="Q299" s="25">
        <v>0</v>
      </c>
      <c r="R299" s="25">
        <v>0</v>
      </c>
      <c r="S299" s="25">
        <v>0</v>
      </c>
      <c r="T299" s="25">
        <v>0</v>
      </c>
      <c r="U299" s="27" t="str">
        <f>_xlfn.LET(_xlpm.maxVal,_xlfn.MAXIFS($K:$K,$A:$A,A299),IF(AND(_xlpm.maxVal=K299,L299&lt;&gt;0),_xlpm.maxVal,""))</f>
        <v/>
      </c>
      <c r="V299" s="27" t="str">
        <f>_xlfn.LET(_xlpm.maxVal,_xlfn.MAXIFS($K:$K,$A:$A,A299),IF(AND(_xlpm.maxVal=K299,M299&lt;&gt;0),_xlpm.maxVal,""))</f>
        <v/>
      </c>
      <c r="W299" s="27" t="str">
        <f>_xlfn.LET(_xlpm.maxVal,_xlfn.MAXIFS($K:$K,$A:$A,A299),IF(AND(_xlpm.maxVal=K299,N299&lt;&gt;0),_xlpm.maxVal,""))</f>
        <v/>
      </c>
      <c r="X299" s="27" t="str">
        <f>_xlfn.LET(_xlpm.maxVal,_xlfn.MAXIFS($K:$K,$A:$A,A299),IF(AND(_xlpm.maxVal=K299,O299&lt;&gt;0),_xlpm.maxVal,""))</f>
        <v/>
      </c>
      <c r="Y299" s="27" t="str">
        <f>_xlfn.LET(_xlpm.maxVal,_xlfn.MAXIFS($K:$K,$A:$A,A299),IF(AND(_xlpm.maxVal=K299,P299&lt;&gt;0),_xlpm.maxVal,""))</f>
        <v/>
      </c>
      <c r="Z299" s="27" t="str">
        <f>_xlfn.LET(_xlpm.maxVal,_xlfn.MAXIFS($K:$K,$A:$A,A299),IF(AND(_xlpm.maxVal=K299,Q299&lt;&gt;0),_xlpm.maxVal,""))</f>
        <v/>
      </c>
      <c r="AA299" s="27" t="str">
        <f>_xlfn.LET(_xlpm.maxVal,_xlfn.MAXIFS($K:$K,$A:$A,A299),IF(AND(_xlpm.maxVal=K299,R299&lt;&gt;0),_xlpm.maxVal,""))</f>
        <v/>
      </c>
      <c r="AB299" s="27" t="str">
        <f>_xlfn.LET(_xlpm.maxVal,_xlfn.MAXIFS($K:$K,$A:$A,A299),IF(AND(_xlpm.maxVal=K299,S299&lt;&gt;0),_xlpm.maxVal,""))</f>
        <v/>
      </c>
      <c r="AC299" s="27" t="str">
        <f>_xlfn.LET(_xlpm.maxVal,_xlfn.MAXIFS($K:$K,$A:$A,A299),IF(AND(_xlpm.maxVal=K299,T299&lt;&gt;0),_xlpm.maxVal,""))</f>
        <v/>
      </c>
      <c r="AD299" s="27">
        <f>$K299*L299*负载统计!$K$3/60</f>
        <v>0</v>
      </c>
      <c r="AE299" s="27">
        <f>$K299*L299*负载统计!$K$4/60</f>
        <v>0</v>
      </c>
      <c r="AF299" s="27">
        <f>$K299*N299*负载统计!$K$5/60</f>
        <v>0</v>
      </c>
      <c r="AG299" s="27">
        <f>$K299*O299*负载统计!$K$6/60</f>
        <v>0</v>
      </c>
      <c r="AH299" s="27">
        <f>$K299*P299*负载统计!$K$7/60</f>
        <v>0</v>
      </c>
      <c r="AI299" s="27">
        <f>$K299*Q299*负载统计!$K$8/60</f>
        <v>0</v>
      </c>
      <c r="AJ299" s="27">
        <f>$K299*R299*负载统计!$K$9/60</f>
        <v>0</v>
      </c>
      <c r="AK299" s="27">
        <f>$K299*S299*负载统计!$K$10/60</f>
        <v>0</v>
      </c>
      <c r="AL299" s="27">
        <f>$K299*T299*负载统计!$K$11/60</f>
        <v>0</v>
      </c>
    </row>
    <row r="300" spans="1:38">
      <c r="A300" s="1">
        <v>137</v>
      </c>
      <c r="B300" s="24" t="s">
        <v>1524</v>
      </c>
      <c r="C300" s="24" t="s">
        <v>1516</v>
      </c>
      <c r="D300" s="24" t="s">
        <v>1525</v>
      </c>
      <c r="E300" s="24" t="s">
        <v>956</v>
      </c>
      <c r="F300" s="24" t="s">
        <v>957</v>
      </c>
      <c r="G300" s="25">
        <f>VLOOKUP(A300,负载电气特性!A:G,7,FALSE)</f>
        <v>28</v>
      </c>
      <c r="H300" s="26" t="s">
        <v>66</v>
      </c>
      <c r="I300" s="25" t="s">
        <v>1706</v>
      </c>
      <c r="J300" s="25" t="s">
        <v>1707</v>
      </c>
      <c r="K300" s="25">
        <v>0.065</v>
      </c>
      <c r="L300" s="25">
        <v>1</v>
      </c>
      <c r="M300" s="25">
        <v>1</v>
      </c>
      <c r="N300" s="25">
        <v>1</v>
      </c>
      <c r="O300" s="25">
        <v>1</v>
      </c>
      <c r="P300" s="25">
        <v>1</v>
      </c>
      <c r="Q300" s="25">
        <v>1</v>
      </c>
      <c r="R300" s="25">
        <v>1</v>
      </c>
      <c r="S300" s="25">
        <v>1</v>
      </c>
      <c r="T300" s="25">
        <v>1</v>
      </c>
      <c r="U300" s="27">
        <f>_xlfn.LET(_xlpm.maxVal,_xlfn.MAXIFS($K:$K,$A:$A,A300),IF(AND(_xlpm.maxVal=K300,L300&lt;&gt;0),_xlpm.maxVal,""))</f>
        <v>0.065</v>
      </c>
      <c r="V300" s="27">
        <f>_xlfn.LET(_xlpm.maxVal,_xlfn.MAXIFS($K:$K,$A:$A,A300),IF(AND(_xlpm.maxVal=K300,M300&lt;&gt;0),_xlpm.maxVal,""))</f>
        <v>0.065</v>
      </c>
      <c r="W300" s="27">
        <f>_xlfn.LET(_xlpm.maxVal,_xlfn.MAXIFS($K:$K,$A:$A,A300),IF(AND(_xlpm.maxVal=K300,N300&lt;&gt;0),_xlpm.maxVal,""))</f>
        <v>0.065</v>
      </c>
      <c r="X300" s="27">
        <f>_xlfn.LET(_xlpm.maxVal,_xlfn.MAXIFS($K:$K,$A:$A,A300),IF(AND(_xlpm.maxVal=K300,O300&lt;&gt;0),_xlpm.maxVal,""))</f>
        <v>0.065</v>
      </c>
      <c r="Y300" s="27">
        <f>_xlfn.LET(_xlpm.maxVal,_xlfn.MAXIFS($K:$K,$A:$A,A300),IF(AND(_xlpm.maxVal=K300,P300&lt;&gt;0),_xlpm.maxVal,""))</f>
        <v>0.065</v>
      </c>
      <c r="Z300" s="27">
        <f>_xlfn.LET(_xlpm.maxVal,_xlfn.MAXIFS($K:$K,$A:$A,A300),IF(AND(_xlpm.maxVal=K300,Q300&lt;&gt;0),_xlpm.maxVal,""))</f>
        <v>0.065</v>
      </c>
      <c r="AA300" s="27">
        <f>_xlfn.LET(_xlpm.maxVal,_xlfn.MAXIFS($K:$K,$A:$A,A300),IF(AND(_xlpm.maxVal=K300,R300&lt;&gt;0),_xlpm.maxVal,""))</f>
        <v>0.065</v>
      </c>
      <c r="AB300" s="27">
        <f>_xlfn.LET(_xlpm.maxVal,_xlfn.MAXIFS($K:$K,$A:$A,A300),IF(AND(_xlpm.maxVal=K300,S300&lt;&gt;0),_xlpm.maxVal,""))</f>
        <v>0.065</v>
      </c>
      <c r="AC300" s="27">
        <f>_xlfn.LET(_xlpm.maxVal,_xlfn.MAXIFS($K:$K,$A:$A,A300),IF(AND(_xlpm.maxVal=K300,T300&lt;&gt;0),_xlpm.maxVal,""))</f>
        <v>0.065</v>
      </c>
      <c r="AD300" s="27">
        <f>$K300*L300*负载统计!$K$3/60</f>
        <v>0</v>
      </c>
      <c r="AE300" s="27">
        <f>$K300*L300*负载统计!$K$4/60</f>
        <v>0</v>
      </c>
      <c r="AF300" s="27">
        <f>$K300*N300*负载统计!$K$5/60</f>
        <v>0.00108333333333333</v>
      </c>
      <c r="AG300" s="27">
        <f>$K300*O300*负载统计!$K$6/60</f>
        <v>0.00325</v>
      </c>
      <c r="AH300" s="27">
        <f>$K300*P300*负载统计!$K$7/60</f>
        <v>0.00733416666666667</v>
      </c>
      <c r="AI300" s="27">
        <f>$K300*Q300*负载统计!$K$8/60</f>
        <v>0.0472333333333333</v>
      </c>
      <c r="AJ300" s="27">
        <f>$K300*R300*负载统计!$K$9/60</f>
        <v>0.0150041666666667</v>
      </c>
      <c r="AK300" s="27">
        <f>$K300*S300*负载统计!$K$10/60</f>
        <v>0.000541666666666667</v>
      </c>
      <c r="AL300" s="27">
        <f>$K300*T300*负载统计!$K$11/60</f>
        <v>0.00433333333333333</v>
      </c>
    </row>
    <row r="301" spans="1:38">
      <c r="A301" s="1">
        <v>137</v>
      </c>
      <c r="B301" s="24" t="s">
        <v>1524</v>
      </c>
      <c r="C301" s="24" t="s">
        <v>1516</v>
      </c>
      <c r="D301" s="24" t="s">
        <v>1525</v>
      </c>
      <c r="E301" s="24" t="s">
        <v>956</v>
      </c>
      <c r="F301" s="24" t="s">
        <v>957</v>
      </c>
      <c r="G301" s="25">
        <f>VLOOKUP(A301,负载电气特性!A:G,7,FALSE)</f>
        <v>28</v>
      </c>
      <c r="H301" s="26" t="s">
        <v>66</v>
      </c>
      <c r="I301" s="25" t="s">
        <v>1706</v>
      </c>
      <c r="J301" s="25" t="s">
        <v>1708</v>
      </c>
      <c r="K301" s="25">
        <v>0</v>
      </c>
      <c r="L301" s="25">
        <v>0</v>
      </c>
      <c r="M301" s="25">
        <v>0</v>
      </c>
      <c r="N301" s="25">
        <v>0</v>
      </c>
      <c r="O301" s="25">
        <v>0</v>
      </c>
      <c r="P301" s="25">
        <v>0</v>
      </c>
      <c r="Q301" s="25">
        <v>0</v>
      </c>
      <c r="R301" s="25">
        <v>0</v>
      </c>
      <c r="S301" s="25">
        <v>0</v>
      </c>
      <c r="T301" s="25">
        <v>0</v>
      </c>
      <c r="U301" s="27" t="str">
        <f>_xlfn.LET(_xlpm.maxVal,_xlfn.MAXIFS($K:$K,$A:$A,A301),IF(AND(_xlpm.maxVal=K301,L301&lt;&gt;0),_xlpm.maxVal,""))</f>
        <v/>
      </c>
      <c r="V301" s="27" t="str">
        <f>_xlfn.LET(_xlpm.maxVal,_xlfn.MAXIFS($K:$K,$A:$A,A301),IF(AND(_xlpm.maxVal=K301,M301&lt;&gt;0),_xlpm.maxVal,""))</f>
        <v/>
      </c>
      <c r="W301" s="27" t="str">
        <f>_xlfn.LET(_xlpm.maxVal,_xlfn.MAXIFS($K:$K,$A:$A,A301),IF(AND(_xlpm.maxVal=K301,N301&lt;&gt;0),_xlpm.maxVal,""))</f>
        <v/>
      </c>
      <c r="X301" s="27" t="str">
        <f>_xlfn.LET(_xlpm.maxVal,_xlfn.MAXIFS($K:$K,$A:$A,A301),IF(AND(_xlpm.maxVal=K301,O301&lt;&gt;0),_xlpm.maxVal,""))</f>
        <v/>
      </c>
      <c r="Y301" s="27" t="str">
        <f>_xlfn.LET(_xlpm.maxVal,_xlfn.MAXIFS($K:$K,$A:$A,A301),IF(AND(_xlpm.maxVal=K301,P301&lt;&gt;0),_xlpm.maxVal,""))</f>
        <v/>
      </c>
      <c r="Z301" s="27" t="str">
        <f>_xlfn.LET(_xlpm.maxVal,_xlfn.MAXIFS($K:$K,$A:$A,A301),IF(AND(_xlpm.maxVal=K301,Q301&lt;&gt;0),_xlpm.maxVal,""))</f>
        <v/>
      </c>
      <c r="AA301" s="27" t="str">
        <f>_xlfn.LET(_xlpm.maxVal,_xlfn.MAXIFS($K:$K,$A:$A,A301),IF(AND(_xlpm.maxVal=K301,R301&lt;&gt;0),_xlpm.maxVal,""))</f>
        <v/>
      </c>
      <c r="AB301" s="27" t="str">
        <f>_xlfn.LET(_xlpm.maxVal,_xlfn.MAXIFS($K:$K,$A:$A,A301),IF(AND(_xlpm.maxVal=K301,S301&lt;&gt;0),_xlpm.maxVal,""))</f>
        <v/>
      </c>
      <c r="AC301" s="27" t="str">
        <f>_xlfn.LET(_xlpm.maxVal,_xlfn.MAXIFS($K:$K,$A:$A,A301),IF(AND(_xlpm.maxVal=K301,T301&lt;&gt;0),_xlpm.maxVal,""))</f>
        <v/>
      </c>
      <c r="AD301" s="27">
        <f>$K301*L301*负载统计!$K$3/60</f>
        <v>0</v>
      </c>
      <c r="AE301" s="27">
        <f>$K301*L301*负载统计!$K$4/60</f>
        <v>0</v>
      </c>
      <c r="AF301" s="27">
        <f>$K301*N301*负载统计!$K$5/60</f>
        <v>0</v>
      </c>
      <c r="AG301" s="27">
        <f>$K301*O301*负载统计!$K$6/60</f>
        <v>0</v>
      </c>
      <c r="AH301" s="27">
        <f>$K301*P301*负载统计!$K$7/60</f>
        <v>0</v>
      </c>
      <c r="AI301" s="27">
        <f>$K301*Q301*负载统计!$K$8/60</f>
        <v>0</v>
      </c>
      <c r="AJ301" s="27">
        <f>$K301*R301*负载统计!$K$9/60</f>
        <v>0</v>
      </c>
      <c r="AK301" s="27">
        <f>$K301*S301*负载统计!$K$10/60</f>
        <v>0</v>
      </c>
      <c r="AL301" s="27">
        <f>$K301*T301*负载统计!$K$11/60</f>
        <v>0</v>
      </c>
    </row>
    <row r="302" spans="1:38">
      <c r="A302" s="1">
        <v>138</v>
      </c>
      <c r="B302" s="24" t="s">
        <v>1526</v>
      </c>
      <c r="C302" s="24" t="s">
        <v>1516</v>
      </c>
      <c r="D302" s="24" t="s">
        <v>1527</v>
      </c>
      <c r="E302" s="24" t="s">
        <v>956</v>
      </c>
      <c r="F302" s="24" t="s">
        <v>959</v>
      </c>
      <c r="G302" s="25">
        <f>VLOOKUP(A302,负载电气特性!A:G,7,FALSE)</f>
        <v>28</v>
      </c>
      <c r="H302" s="26" t="s">
        <v>66</v>
      </c>
      <c r="I302" s="25" t="s">
        <v>1706</v>
      </c>
      <c r="J302" s="25" t="s">
        <v>1707</v>
      </c>
      <c r="K302" s="25">
        <v>0.065</v>
      </c>
      <c r="L302" s="25">
        <v>1</v>
      </c>
      <c r="M302" s="25">
        <v>1</v>
      </c>
      <c r="N302" s="25">
        <v>1</v>
      </c>
      <c r="O302" s="25">
        <v>1</v>
      </c>
      <c r="P302" s="25">
        <v>1</v>
      </c>
      <c r="Q302" s="25">
        <v>1</v>
      </c>
      <c r="R302" s="25">
        <v>1</v>
      </c>
      <c r="S302" s="25">
        <v>1</v>
      </c>
      <c r="T302" s="25">
        <v>1</v>
      </c>
      <c r="U302" s="27">
        <f>_xlfn.LET(_xlpm.maxVal,_xlfn.MAXIFS($K:$K,$A:$A,A302),IF(AND(_xlpm.maxVal=K302,L302&lt;&gt;0),_xlpm.maxVal,""))</f>
        <v>0.065</v>
      </c>
      <c r="V302" s="27">
        <f>_xlfn.LET(_xlpm.maxVal,_xlfn.MAXIFS($K:$K,$A:$A,A302),IF(AND(_xlpm.maxVal=K302,M302&lt;&gt;0),_xlpm.maxVal,""))</f>
        <v>0.065</v>
      </c>
      <c r="W302" s="27">
        <f>_xlfn.LET(_xlpm.maxVal,_xlfn.MAXIFS($K:$K,$A:$A,A302),IF(AND(_xlpm.maxVal=K302,N302&lt;&gt;0),_xlpm.maxVal,""))</f>
        <v>0.065</v>
      </c>
      <c r="X302" s="27">
        <f>_xlfn.LET(_xlpm.maxVal,_xlfn.MAXIFS($K:$K,$A:$A,A302),IF(AND(_xlpm.maxVal=K302,O302&lt;&gt;0),_xlpm.maxVal,""))</f>
        <v>0.065</v>
      </c>
      <c r="Y302" s="27">
        <f>_xlfn.LET(_xlpm.maxVal,_xlfn.MAXIFS($K:$K,$A:$A,A302),IF(AND(_xlpm.maxVal=K302,P302&lt;&gt;0),_xlpm.maxVal,""))</f>
        <v>0.065</v>
      </c>
      <c r="Z302" s="27">
        <f>_xlfn.LET(_xlpm.maxVal,_xlfn.MAXIFS($K:$K,$A:$A,A302),IF(AND(_xlpm.maxVal=K302,Q302&lt;&gt;0),_xlpm.maxVal,""))</f>
        <v>0.065</v>
      </c>
      <c r="AA302" s="27">
        <f>_xlfn.LET(_xlpm.maxVal,_xlfn.MAXIFS($K:$K,$A:$A,A302),IF(AND(_xlpm.maxVal=K302,R302&lt;&gt;0),_xlpm.maxVal,""))</f>
        <v>0.065</v>
      </c>
      <c r="AB302" s="27">
        <f>_xlfn.LET(_xlpm.maxVal,_xlfn.MAXIFS($K:$K,$A:$A,A302),IF(AND(_xlpm.maxVal=K302,S302&lt;&gt;0),_xlpm.maxVal,""))</f>
        <v>0.065</v>
      </c>
      <c r="AC302" s="27">
        <f>_xlfn.LET(_xlpm.maxVal,_xlfn.MAXIFS($K:$K,$A:$A,A302),IF(AND(_xlpm.maxVal=K302,T302&lt;&gt;0),_xlpm.maxVal,""))</f>
        <v>0.065</v>
      </c>
      <c r="AD302" s="27">
        <f>$K302*L302*负载统计!$K$3/60</f>
        <v>0</v>
      </c>
      <c r="AE302" s="27">
        <f>$K302*L302*负载统计!$K$4/60</f>
        <v>0</v>
      </c>
      <c r="AF302" s="27">
        <f>$K302*N302*负载统计!$K$5/60</f>
        <v>0.00108333333333333</v>
      </c>
      <c r="AG302" s="27">
        <f>$K302*O302*负载统计!$K$6/60</f>
        <v>0.00325</v>
      </c>
      <c r="AH302" s="27">
        <f>$K302*P302*负载统计!$K$7/60</f>
        <v>0.00733416666666667</v>
      </c>
      <c r="AI302" s="27">
        <f>$K302*Q302*负载统计!$K$8/60</f>
        <v>0.0472333333333333</v>
      </c>
      <c r="AJ302" s="27">
        <f>$K302*R302*负载统计!$K$9/60</f>
        <v>0.0150041666666667</v>
      </c>
      <c r="AK302" s="27">
        <f>$K302*S302*负载统计!$K$10/60</f>
        <v>0.000541666666666667</v>
      </c>
      <c r="AL302" s="27">
        <f>$K302*T302*负载统计!$K$11/60</f>
        <v>0.00433333333333333</v>
      </c>
    </row>
    <row r="303" spans="1:38">
      <c r="A303" s="1">
        <v>138</v>
      </c>
      <c r="B303" s="24" t="s">
        <v>1526</v>
      </c>
      <c r="C303" s="24" t="s">
        <v>1516</v>
      </c>
      <c r="D303" s="24" t="s">
        <v>1527</v>
      </c>
      <c r="E303" s="24" t="s">
        <v>956</v>
      </c>
      <c r="F303" s="24" t="s">
        <v>959</v>
      </c>
      <c r="G303" s="25">
        <f>VLOOKUP(A303,负载电气特性!A:G,7,FALSE)</f>
        <v>28</v>
      </c>
      <c r="H303" s="26" t="s">
        <v>66</v>
      </c>
      <c r="I303" s="25" t="s">
        <v>1706</v>
      </c>
      <c r="J303" s="25" t="s">
        <v>1708</v>
      </c>
      <c r="K303" s="25">
        <v>0</v>
      </c>
      <c r="L303" s="25">
        <v>0</v>
      </c>
      <c r="M303" s="25">
        <v>0</v>
      </c>
      <c r="N303" s="25">
        <v>0</v>
      </c>
      <c r="O303" s="25">
        <v>0</v>
      </c>
      <c r="P303" s="25">
        <v>0</v>
      </c>
      <c r="Q303" s="25">
        <v>0</v>
      </c>
      <c r="R303" s="25">
        <v>0</v>
      </c>
      <c r="S303" s="25">
        <v>0</v>
      </c>
      <c r="T303" s="25">
        <v>0</v>
      </c>
      <c r="U303" s="27" t="str">
        <f>_xlfn.LET(_xlpm.maxVal,_xlfn.MAXIFS($K:$K,$A:$A,A303),IF(AND(_xlpm.maxVal=K303,L303&lt;&gt;0),_xlpm.maxVal,""))</f>
        <v/>
      </c>
      <c r="V303" s="27" t="str">
        <f>_xlfn.LET(_xlpm.maxVal,_xlfn.MAXIFS($K:$K,$A:$A,A303),IF(AND(_xlpm.maxVal=K303,M303&lt;&gt;0),_xlpm.maxVal,""))</f>
        <v/>
      </c>
      <c r="W303" s="27" t="str">
        <f>_xlfn.LET(_xlpm.maxVal,_xlfn.MAXIFS($K:$K,$A:$A,A303),IF(AND(_xlpm.maxVal=K303,N303&lt;&gt;0),_xlpm.maxVal,""))</f>
        <v/>
      </c>
      <c r="X303" s="27" t="str">
        <f>_xlfn.LET(_xlpm.maxVal,_xlfn.MAXIFS($K:$K,$A:$A,A303),IF(AND(_xlpm.maxVal=K303,O303&lt;&gt;0),_xlpm.maxVal,""))</f>
        <v/>
      </c>
      <c r="Y303" s="27" t="str">
        <f>_xlfn.LET(_xlpm.maxVal,_xlfn.MAXIFS($K:$K,$A:$A,A303),IF(AND(_xlpm.maxVal=K303,P303&lt;&gt;0),_xlpm.maxVal,""))</f>
        <v/>
      </c>
      <c r="Z303" s="27" t="str">
        <f>_xlfn.LET(_xlpm.maxVal,_xlfn.MAXIFS($K:$K,$A:$A,A303),IF(AND(_xlpm.maxVal=K303,Q303&lt;&gt;0),_xlpm.maxVal,""))</f>
        <v/>
      </c>
      <c r="AA303" s="27" t="str">
        <f>_xlfn.LET(_xlpm.maxVal,_xlfn.MAXIFS($K:$K,$A:$A,A303),IF(AND(_xlpm.maxVal=K303,R303&lt;&gt;0),_xlpm.maxVal,""))</f>
        <v/>
      </c>
      <c r="AB303" s="27" t="str">
        <f>_xlfn.LET(_xlpm.maxVal,_xlfn.MAXIFS($K:$K,$A:$A,A303),IF(AND(_xlpm.maxVal=K303,S303&lt;&gt;0),_xlpm.maxVal,""))</f>
        <v/>
      </c>
      <c r="AC303" s="27" t="str">
        <f>_xlfn.LET(_xlpm.maxVal,_xlfn.MAXIFS($K:$K,$A:$A,A303),IF(AND(_xlpm.maxVal=K303,T303&lt;&gt;0),_xlpm.maxVal,""))</f>
        <v/>
      </c>
      <c r="AD303" s="27">
        <f>$K303*L303*负载统计!$K$3/60</f>
        <v>0</v>
      </c>
      <c r="AE303" s="27">
        <f>$K303*L303*负载统计!$K$4/60</f>
        <v>0</v>
      </c>
      <c r="AF303" s="27">
        <f>$K303*N303*负载统计!$K$5/60</f>
        <v>0</v>
      </c>
      <c r="AG303" s="27">
        <f>$K303*O303*负载统计!$K$6/60</f>
        <v>0</v>
      </c>
      <c r="AH303" s="27">
        <f>$K303*P303*负载统计!$K$7/60</f>
        <v>0</v>
      </c>
      <c r="AI303" s="27">
        <f>$K303*Q303*负载统计!$K$8/60</f>
        <v>0</v>
      </c>
      <c r="AJ303" s="27">
        <f>$K303*R303*负载统计!$K$9/60</f>
        <v>0</v>
      </c>
      <c r="AK303" s="27">
        <f>$K303*S303*负载统计!$K$10/60</f>
        <v>0</v>
      </c>
      <c r="AL303" s="27">
        <f>$K303*T303*负载统计!$K$11/60</f>
        <v>0</v>
      </c>
    </row>
    <row r="304" spans="1:38">
      <c r="A304" s="1">
        <v>139</v>
      </c>
      <c r="B304" s="24" t="s">
        <v>1528</v>
      </c>
      <c r="C304" s="24" t="s">
        <v>1516</v>
      </c>
      <c r="D304" s="24" t="s">
        <v>1529</v>
      </c>
      <c r="E304" s="24" t="s">
        <v>956</v>
      </c>
      <c r="F304" s="24" t="s">
        <v>961</v>
      </c>
      <c r="G304" s="25">
        <f>VLOOKUP(A304,负载电气特性!A:G,7,FALSE)</f>
        <v>28</v>
      </c>
      <c r="H304" s="26" t="s">
        <v>66</v>
      </c>
      <c r="I304" s="25" t="s">
        <v>1706</v>
      </c>
      <c r="J304" s="25" t="s">
        <v>1707</v>
      </c>
      <c r="K304" s="25">
        <v>0.065</v>
      </c>
      <c r="L304" s="25">
        <v>1</v>
      </c>
      <c r="M304" s="25">
        <v>1</v>
      </c>
      <c r="N304" s="25">
        <v>1</v>
      </c>
      <c r="O304" s="25">
        <v>1</v>
      </c>
      <c r="P304" s="25">
        <v>1</v>
      </c>
      <c r="Q304" s="25">
        <v>1</v>
      </c>
      <c r="R304" s="25">
        <v>1</v>
      </c>
      <c r="S304" s="25">
        <v>1</v>
      </c>
      <c r="T304" s="25">
        <v>1</v>
      </c>
      <c r="U304" s="27">
        <f>_xlfn.LET(_xlpm.maxVal,_xlfn.MAXIFS($K:$K,$A:$A,A304),IF(AND(_xlpm.maxVal=K304,L304&lt;&gt;0),_xlpm.maxVal,""))</f>
        <v>0.065</v>
      </c>
      <c r="V304" s="27">
        <f>_xlfn.LET(_xlpm.maxVal,_xlfn.MAXIFS($K:$K,$A:$A,A304),IF(AND(_xlpm.maxVal=K304,M304&lt;&gt;0),_xlpm.maxVal,""))</f>
        <v>0.065</v>
      </c>
      <c r="W304" s="27">
        <f>_xlfn.LET(_xlpm.maxVal,_xlfn.MAXIFS($K:$K,$A:$A,A304),IF(AND(_xlpm.maxVal=K304,N304&lt;&gt;0),_xlpm.maxVal,""))</f>
        <v>0.065</v>
      </c>
      <c r="X304" s="27">
        <f>_xlfn.LET(_xlpm.maxVal,_xlfn.MAXIFS($K:$K,$A:$A,A304),IF(AND(_xlpm.maxVal=K304,O304&lt;&gt;0),_xlpm.maxVal,""))</f>
        <v>0.065</v>
      </c>
      <c r="Y304" s="27">
        <f>_xlfn.LET(_xlpm.maxVal,_xlfn.MAXIFS($K:$K,$A:$A,A304),IF(AND(_xlpm.maxVal=K304,P304&lt;&gt;0),_xlpm.maxVal,""))</f>
        <v>0.065</v>
      </c>
      <c r="Z304" s="27">
        <f>_xlfn.LET(_xlpm.maxVal,_xlfn.MAXIFS($K:$K,$A:$A,A304),IF(AND(_xlpm.maxVal=K304,Q304&lt;&gt;0),_xlpm.maxVal,""))</f>
        <v>0.065</v>
      </c>
      <c r="AA304" s="27">
        <f>_xlfn.LET(_xlpm.maxVal,_xlfn.MAXIFS($K:$K,$A:$A,A304),IF(AND(_xlpm.maxVal=K304,R304&lt;&gt;0),_xlpm.maxVal,""))</f>
        <v>0.065</v>
      </c>
      <c r="AB304" s="27">
        <f>_xlfn.LET(_xlpm.maxVal,_xlfn.MAXIFS($K:$K,$A:$A,A304),IF(AND(_xlpm.maxVal=K304,S304&lt;&gt;0),_xlpm.maxVal,""))</f>
        <v>0.065</v>
      </c>
      <c r="AC304" s="27">
        <f>_xlfn.LET(_xlpm.maxVal,_xlfn.MAXIFS($K:$K,$A:$A,A304),IF(AND(_xlpm.maxVal=K304,T304&lt;&gt;0),_xlpm.maxVal,""))</f>
        <v>0.065</v>
      </c>
      <c r="AD304" s="27">
        <f>$K304*L304*负载统计!$K$3/60</f>
        <v>0</v>
      </c>
      <c r="AE304" s="27">
        <f>$K304*L304*负载统计!$K$4/60</f>
        <v>0</v>
      </c>
      <c r="AF304" s="27">
        <f>$K304*N304*负载统计!$K$5/60</f>
        <v>0.00108333333333333</v>
      </c>
      <c r="AG304" s="27">
        <f>$K304*O304*负载统计!$K$6/60</f>
        <v>0.00325</v>
      </c>
      <c r="AH304" s="27">
        <f>$K304*P304*负载统计!$K$7/60</f>
        <v>0.00733416666666667</v>
      </c>
      <c r="AI304" s="27">
        <f>$K304*Q304*负载统计!$K$8/60</f>
        <v>0.0472333333333333</v>
      </c>
      <c r="AJ304" s="27">
        <f>$K304*R304*负载统计!$K$9/60</f>
        <v>0.0150041666666667</v>
      </c>
      <c r="AK304" s="27">
        <f>$K304*S304*负载统计!$K$10/60</f>
        <v>0.000541666666666667</v>
      </c>
      <c r="AL304" s="27">
        <f>$K304*T304*负载统计!$K$11/60</f>
        <v>0.00433333333333333</v>
      </c>
    </row>
    <row r="305" spans="1:38">
      <c r="A305" s="1">
        <v>139</v>
      </c>
      <c r="B305" s="24" t="s">
        <v>1528</v>
      </c>
      <c r="C305" s="24" t="s">
        <v>1516</v>
      </c>
      <c r="D305" s="24" t="s">
        <v>1529</v>
      </c>
      <c r="E305" s="24" t="s">
        <v>956</v>
      </c>
      <c r="F305" s="24" t="s">
        <v>961</v>
      </c>
      <c r="G305" s="25">
        <f>VLOOKUP(A305,负载电气特性!A:G,7,FALSE)</f>
        <v>28</v>
      </c>
      <c r="H305" s="26" t="s">
        <v>66</v>
      </c>
      <c r="I305" s="25" t="s">
        <v>1706</v>
      </c>
      <c r="J305" s="25" t="s">
        <v>1708</v>
      </c>
      <c r="K305" s="25">
        <v>0</v>
      </c>
      <c r="L305" s="25">
        <v>0</v>
      </c>
      <c r="M305" s="25">
        <v>0</v>
      </c>
      <c r="N305" s="25">
        <v>0</v>
      </c>
      <c r="O305" s="25">
        <v>0</v>
      </c>
      <c r="P305" s="25">
        <v>0</v>
      </c>
      <c r="Q305" s="25">
        <v>0</v>
      </c>
      <c r="R305" s="25">
        <v>0</v>
      </c>
      <c r="S305" s="25">
        <v>0</v>
      </c>
      <c r="T305" s="25">
        <v>0</v>
      </c>
      <c r="U305" s="27" t="str">
        <f>_xlfn.LET(_xlpm.maxVal,_xlfn.MAXIFS($K:$K,$A:$A,A305),IF(AND(_xlpm.maxVal=K305,L305&lt;&gt;0),_xlpm.maxVal,""))</f>
        <v/>
      </c>
      <c r="V305" s="27" t="str">
        <f>_xlfn.LET(_xlpm.maxVal,_xlfn.MAXIFS($K:$K,$A:$A,A305),IF(AND(_xlpm.maxVal=K305,M305&lt;&gt;0),_xlpm.maxVal,""))</f>
        <v/>
      </c>
      <c r="W305" s="27" t="str">
        <f>_xlfn.LET(_xlpm.maxVal,_xlfn.MAXIFS($K:$K,$A:$A,A305),IF(AND(_xlpm.maxVal=K305,N305&lt;&gt;0),_xlpm.maxVal,""))</f>
        <v/>
      </c>
      <c r="X305" s="27" t="str">
        <f>_xlfn.LET(_xlpm.maxVal,_xlfn.MAXIFS($K:$K,$A:$A,A305),IF(AND(_xlpm.maxVal=K305,O305&lt;&gt;0),_xlpm.maxVal,""))</f>
        <v/>
      </c>
      <c r="Y305" s="27" t="str">
        <f>_xlfn.LET(_xlpm.maxVal,_xlfn.MAXIFS($K:$K,$A:$A,A305),IF(AND(_xlpm.maxVal=K305,P305&lt;&gt;0),_xlpm.maxVal,""))</f>
        <v/>
      </c>
      <c r="Z305" s="27" t="str">
        <f>_xlfn.LET(_xlpm.maxVal,_xlfn.MAXIFS($K:$K,$A:$A,A305),IF(AND(_xlpm.maxVal=K305,Q305&lt;&gt;0),_xlpm.maxVal,""))</f>
        <v/>
      </c>
      <c r="AA305" s="27" t="str">
        <f>_xlfn.LET(_xlpm.maxVal,_xlfn.MAXIFS($K:$K,$A:$A,A305),IF(AND(_xlpm.maxVal=K305,R305&lt;&gt;0),_xlpm.maxVal,""))</f>
        <v/>
      </c>
      <c r="AB305" s="27" t="str">
        <f>_xlfn.LET(_xlpm.maxVal,_xlfn.MAXIFS($K:$K,$A:$A,A305),IF(AND(_xlpm.maxVal=K305,S305&lt;&gt;0),_xlpm.maxVal,""))</f>
        <v/>
      </c>
      <c r="AC305" s="27" t="str">
        <f>_xlfn.LET(_xlpm.maxVal,_xlfn.MAXIFS($K:$K,$A:$A,A305),IF(AND(_xlpm.maxVal=K305,T305&lt;&gt;0),_xlpm.maxVal,""))</f>
        <v/>
      </c>
      <c r="AD305" s="27">
        <f>$K305*L305*负载统计!$K$3/60</f>
        <v>0</v>
      </c>
      <c r="AE305" s="27">
        <f>$K305*L305*负载统计!$K$4/60</f>
        <v>0</v>
      </c>
      <c r="AF305" s="27">
        <f>$K305*N305*负载统计!$K$5/60</f>
        <v>0</v>
      </c>
      <c r="AG305" s="27">
        <f>$K305*O305*负载统计!$K$6/60</f>
        <v>0</v>
      </c>
      <c r="AH305" s="27">
        <f>$K305*P305*负载统计!$K$7/60</f>
        <v>0</v>
      </c>
      <c r="AI305" s="27">
        <f>$K305*Q305*负载统计!$K$8/60</f>
        <v>0</v>
      </c>
      <c r="AJ305" s="27">
        <f>$K305*R305*负载统计!$K$9/60</f>
        <v>0</v>
      </c>
      <c r="AK305" s="27">
        <f>$K305*S305*负载统计!$K$10/60</f>
        <v>0</v>
      </c>
      <c r="AL305" s="27">
        <f>$K305*T305*负载统计!$K$11/60</f>
        <v>0</v>
      </c>
    </row>
    <row r="306" spans="1:38">
      <c r="A306" s="1">
        <v>140</v>
      </c>
      <c r="B306" s="24" t="s">
        <v>1530</v>
      </c>
      <c r="C306" s="24" t="s">
        <v>1516</v>
      </c>
      <c r="D306" s="24" t="s">
        <v>1531</v>
      </c>
      <c r="E306" s="24" t="s">
        <v>956</v>
      </c>
      <c r="F306" s="24" t="s">
        <v>963</v>
      </c>
      <c r="G306" s="25">
        <f>VLOOKUP(A306,负载电气特性!A:G,7,FALSE)</f>
        <v>28</v>
      </c>
      <c r="H306" s="26" t="s">
        <v>66</v>
      </c>
      <c r="I306" s="25" t="s">
        <v>1706</v>
      </c>
      <c r="J306" s="25" t="s">
        <v>1707</v>
      </c>
      <c r="K306" s="25">
        <v>0.065</v>
      </c>
      <c r="L306" s="25">
        <v>1</v>
      </c>
      <c r="M306" s="25">
        <v>1</v>
      </c>
      <c r="N306" s="25">
        <v>1</v>
      </c>
      <c r="O306" s="25">
        <v>1</v>
      </c>
      <c r="P306" s="25">
        <v>1</v>
      </c>
      <c r="Q306" s="25">
        <v>1</v>
      </c>
      <c r="R306" s="25">
        <v>1</v>
      </c>
      <c r="S306" s="25">
        <v>1</v>
      </c>
      <c r="T306" s="25">
        <v>1</v>
      </c>
      <c r="U306" s="27">
        <f>_xlfn.LET(_xlpm.maxVal,_xlfn.MAXIFS($K:$K,$A:$A,A306),IF(AND(_xlpm.maxVal=K306,L306&lt;&gt;0),_xlpm.maxVal,""))</f>
        <v>0.065</v>
      </c>
      <c r="V306" s="27">
        <f>_xlfn.LET(_xlpm.maxVal,_xlfn.MAXIFS($K:$K,$A:$A,A306),IF(AND(_xlpm.maxVal=K306,M306&lt;&gt;0),_xlpm.maxVal,""))</f>
        <v>0.065</v>
      </c>
      <c r="W306" s="27">
        <f>_xlfn.LET(_xlpm.maxVal,_xlfn.MAXIFS($K:$K,$A:$A,A306),IF(AND(_xlpm.maxVal=K306,N306&lt;&gt;0),_xlpm.maxVal,""))</f>
        <v>0.065</v>
      </c>
      <c r="X306" s="27">
        <f>_xlfn.LET(_xlpm.maxVal,_xlfn.MAXIFS($K:$K,$A:$A,A306),IF(AND(_xlpm.maxVal=K306,O306&lt;&gt;0),_xlpm.maxVal,""))</f>
        <v>0.065</v>
      </c>
      <c r="Y306" s="27">
        <f>_xlfn.LET(_xlpm.maxVal,_xlfn.MAXIFS($K:$K,$A:$A,A306),IF(AND(_xlpm.maxVal=K306,P306&lt;&gt;0),_xlpm.maxVal,""))</f>
        <v>0.065</v>
      </c>
      <c r="Z306" s="27">
        <f>_xlfn.LET(_xlpm.maxVal,_xlfn.MAXIFS($K:$K,$A:$A,A306),IF(AND(_xlpm.maxVal=K306,Q306&lt;&gt;0),_xlpm.maxVal,""))</f>
        <v>0.065</v>
      </c>
      <c r="AA306" s="27">
        <f>_xlfn.LET(_xlpm.maxVal,_xlfn.MAXIFS($K:$K,$A:$A,A306),IF(AND(_xlpm.maxVal=K306,R306&lt;&gt;0),_xlpm.maxVal,""))</f>
        <v>0.065</v>
      </c>
      <c r="AB306" s="27">
        <f>_xlfn.LET(_xlpm.maxVal,_xlfn.MAXIFS($K:$K,$A:$A,A306),IF(AND(_xlpm.maxVal=K306,S306&lt;&gt;0),_xlpm.maxVal,""))</f>
        <v>0.065</v>
      </c>
      <c r="AC306" s="27">
        <f>_xlfn.LET(_xlpm.maxVal,_xlfn.MAXIFS($K:$K,$A:$A,A306),IF(AND(_xlpm.maxVal=K306,T306&lt;&gt;0),_xlpm.maxVal,""))</f>
        <v>0.065</v>
      </c>
      <c r="AD306" s="27">
        <f>$K306*L306*负载统计!$K$3/60</f>
        <v>0</v>
      </c>
      <c r="AE306" s="27">
        <f>$K306*L306*负载统计!$K$4/60</f>
        <v>0</v>
      </c>
      <c r="AF306" s="27">
        <f>$K306*N306*负载统计!$K$5/60</f>
        <v>0.00108333333333333</v>
      </c>
      <c r="AG306" s="27">
        <f>$K306*O306*负载统计!$K$6/60</f>
        <v>0.00325</v>
      </c>
      <c r="AH306" s="27">
        <f>$K306*P306*负载统计!$K$7/60</f>
        <v>0.00733416666666667</v>
      </c>
      <c r="AI306" s="27">
        <f>$K306*Q306*负载统计!$K$8/60</f>
        <v>0.0472333333333333</v>
      </c>
      <c r="AJ306" s="27">
        <f>$K306*R306*负载统计!$K$9/60</f>
        <v>0.0150041666666667</v>
      </c>
      <c r="AK306" s="27">
        <f>$K306*S306*负载统计!$K$10/60</f>
        <v>0.000541666666666667</v>
      </c>
      <c r="AL306" s="27">
        <f>$K306*T306*负载统计!$K$11/60</f>
        <v>0.00433333333333333</v>
      </c>
    </row>
    <row r="307" spans="1:38">
      <c r="A307" s="1">
        <v>140</v>
      </c>
      <c r="B307" s="24" t="s">
        <v>1530</v>
      </c>
      <c r="C307" s="24" t="s">
        <v>1516</v>
      </c>
      <c r="D307" s="24" t="s">
        <v>1531</v>
      </c>
      <c r="E307" s="24" t="s">
        <v>956</v>
      </c>
      <c r="F307" s="24" t="s">
        <v>963</v>
      </c>
      <c r="G307" s="25">
        <f>VLOOKUP(A307,负载电气特性!A:G,7,FALSE)</f>
        <v>28</v>
      </c>
      <c r="H307" s="26" t="s">
        <v>66</v>
      </c>
      <c r="I307" s="25" t="s">
        <v>1706</v>
      </c>
      <c r="J307" s="25" t="s">
        <v>1708</v>
      </c>
      <c r="K307" s="25">
        <v>0</v>
      </c>
      <c r="L307" s="25">
        <v>0</v>
      </c>
      <c r="M307" s="25">
        <v>0</v>
      </c>
      <c r="N307" s="25">
        <v>0</v>
      </c>
      <c r="O307" s="25">
        <v>0</v>
      </c>
      <c r="P307" s="25">
        <v>0</v>
      </c>
      <c r="Q307" s="25">
        <v>0</v>
      </c>
      <c r="R307" s="25">
        <v>0</v>
      </c>
      <c r="S307" s="25">
        <v>0</v>
      </c>
      <c r="T307" s="25">
        <v>0</v>
      </c>
      <c r="U307" s="27" t="str">
        <f>_xlfn.LET(_xlpm.maxVal,_xlfn.MAXIFS($K:$K,$A:$A,A307),IF(AND(_xlpm.maxVal=K307,L307&lt;&gt;0),_xlpm.maxVal,""))</f>
        <v/>
      </c>
      <c r="V307" s="27" t="str">
        <f>_xlfn.LET(_xlpm.maxVal,_xlfn.MAXIFS($K:$K,$A:$A,A307),IF(AND(_xlpm.maxVal=K307,M307&lt;&gt;0),_xlpm.maxVal,""))</f>
        <v/>
      </c>
      <c r="W307" s="27" t="str">
        <f>_xlfn.LET(_xlpm.maxVal,_xlfn.MAXIFS($K:$K,$A:$A,A307),IF(AND(_xlpm.maxVal=K307,N307&lt;&gt;0),_xlpm.maxVal,""))</f>
        <v/>
      </c>
      <c r="X307" s="27" t="str">
        <f>_xlfn.LET(_xlpm.maxVal,_xlfn.MAXIFS($K:$K,$A:$A,A307),IF(AND(_xlpm.maxVal=K307,O307&lt;&gt;0),_xlpm.maxVal,""))</f>
        <v/>
      </c>
      <c r="Y307" s="27" t="str">
        <f>_xlfn.LET(_xlpm.maxVal,_xlfn.MAXIFS($K:$K,$A:$A,A307),IF(AND(_xlpm.maxVal=K307,P307&lt;&gt;0),_xlpm.maxVal,""))</f>
        <v/>
      </c>
      <c r="Z307" s="27" t="str">
        <f>_xlfn.LET(_xlpm.maxVal,_xlfn.MAXIFS($K:$K,$A:$A,A307),IF(AND(_xlpm.maxVal=K307,Q307&lt;&gt;0),_xlpm.maxVal,""))</f>
        <v/>
      </c>
      <c r="AA307" s="27" t="str">
        <f>_xlfn.LET(_xlpm.maxVal,_xlfn.MAXIFS($K:$K,$A:$A,A307),IF(AND(_xlpm.maxVal=K307,R307&lt;&gt;0),_xlpm.maxVal,""))</f>
        <v/>
      </c>
      <c r="AB307" s="27" t="str">
        <f>_xlfn.LET(_xlpm.maxVal,_xlfn.MAXIFS($K:$K,$A:$A,A307),IF(AND(_xlpm.maxVal=K307,S307&lt;&gt;0),_xlpm.maxVal,""))</f>
        <v/>
      </c>
      <c r="AC307" s="27" t="str">
        <f>_xlfn.LET(_xlpm.maxVal,_xlfn.MAXIFS($K:$K,$A:$A,A307),IF(AND(_xlpm.maxVal=K307,T307&lt;&gt;0),_xlpm.maxVal,""))</f>
        <v/>
      </c>
      <c r="AD307" s="27">
        <f>$K307*L307*负载统计!$K$3/60</f>
        <v>0</v>
      </c>
      <c r="AE307" s="27">
        <f>$K307*L307*负载统计!$K$4/60</f>
        <v>0</v>
      </c>
      <c r="AF307" s="27">
        <f>$K307*N307*负载统计!$K$5/60</f>
        <v>0</v>
      </c>
      <c r="AG307" s="27">
        <f>$K307*O307*负载统计!$K$6/60</f>
        <v>0</v>
      </c>
      <c r="AH307" s="27">
        <f>$K307*P307*负载统计!$K$7/60</f>
        <v>0</v>
      </c>
      <c r="AI307" s="27">
        <f>$K307*Q307*负载统计!$K$8/60</f>
        <v>0</v>
      </c>
      <c r="AJ307" s="27">
        <f>$K307*R307*负载统计!$K$9/60</f>
        <v>0</v>
      </c>
      <c r="AK307" s="27">
        <f>$K307*S307*负载统计!$K$10/60</f>
        <v>0</v>
      </c>
      <c r="AL307" s="27">
        <f>$K307*T307*负载统计!$K$11/60</f>
        <v>0</v>
      </c>
    </row>
    <row r="308" spans="1:38">
      <c r="A308" s="1">
        <v>141</v>
      </c>
      <c r="B308" s="24" t="s">
        <v>1532</v>
      </c>
      <c r="C308" s="24" t="s">
        <v>1516</v>
      </c>
      <c r="D308" s="24" t="s">
        <v>1533</v>
      </c>
      <c r="E308" s="24" t="s">
        <v>956</v>
      </c>
      <c r="F308" s="24" t="s">
        <v>965</v>
      </c>
      <c r="G308" s="25">
        <f>VLOOKUP(A308,负载电气特性!A:G,7,FALSE)</f>
        <v>28</v>
      </c>
      <c r="H308" s="26" t="s">
        <v>66</v>
      </c>
      <c r="I308" s="25" t="s">
        <v>1706</v>
      </c>
      <c r="J308" s="25" t="s">
        <v>1707</v>
      </c>
      <c r="K308" s="25">
        <v>0.065</v>
      </c>
      <c r="L308" s="25">
        <v>1</v>
      </c>
      <c r="M308" s="25">
        <v>1</v>
      </c>
      <c r="N308" s="25">
        <v>1</v>
      </c>
      <c r="O308" s="25">
        <v>1</v>
      </c>
      <c r="P308" s="25">
        <v>1</v>
      </c>
      <c r="Q308" s="25">
        <v>1</v>
      </c>
      <c r="R308" s="25">
        <v>1</v>
      </c>
      <c r="S308" s="25">
        <v>1</v>
      </c>
      <c r="T308" s="25">
        <v>1</v>
      </c>
      <c r="U308" s="27">
        <f>_xlfn.LET(_xlpm.maxVal,_xlfn.MAXIFS($K:$K,$A:$A,A308),IF(AND(_xlpm.maxVal=K308,L308&lt;&gt;0),_xlpm.maxVal,""))</f>
        <v>0.065</v>
      </c>
      <c r="V308" s="27">
        <f>_xlfn.LET(_xlpm.maxVal,_xlfn.MAXIFS($K:$K,$A:$A,A308),IF(AND(_xlpm.maxVal=K308,M308&lt;&gt;0),_xlpm.maxVal,""))</f>
        <v>0.065</v>
      </c>
      <c r="W308" s="27">
        <f>_xlfn.LET(_xlpm.maxVal,_xlfn.MAXIFS($K:$K,$A:$A,A308),IF(AND(_xlpm.maxVal=K308,N308&lt;&gt;0),_xlpm.maxVal,""))</f>
        <v>0.065</v>
      </c>
      <c r="X308" s="27">
        <f>_xlfn.LET(_xlpm.maxVal,_xlfn.MAXIFS($K:$K,$A:$A,A308),IF(AND(_xlpm.maxVal=K308,O308&lt;&gt;0),_xlpm.maxVal,""))</f>
        <v>0.065</v>
      </c>
      <c r="Y308" s="27">
        <f>_xlfn.LET(_xlpm.maxVal,_xlfn.MAXIFS($K:$K,$A:$A,A308),IF(AND(_xlpm.maxVal=K308,P308&lt;&gt;0),_xlpm.maxVal,""))</f>
        <v>0.065</v>
      </c>
      <c r="Z308" s="27">
        <f>_xlfn.LET(_xlpm.maxVal,_xlfn.MAXIFS($K:$K,$A:$A,A308),IF(AND(_xlpm.maxVal=K308,Q308&lt;&gt;0),_xlpm.maxVal,""))</f>
        <v>0.065</v>
      </c>
      <c r="AA308" s="27">
        <f>_xlfn.LET(_xlpm.maxVal,_xlfn.MAXIFS($K:$K,$A:$A,A308),IF(AND(_xlpm.maxVal=K308,R308&lt;&gt;0),_xlpm.maxVal,""))</f>
        <v>0.065</v>
      </c>
      <c r="AB308" s="27">
        <f>_xlfn.LET(_xlpm.maxVal,_xlfn.MAXIFS($K:$K,$A:$A,A308),IF(AND(_xlpm.maxVal=K308,S308&lt;&gt;0),_xlpm.maxVal,""))</f>
        <v>0.065</v>
      </c>
      <c r="AC308" s="27">
        <f>_xlfn.LET(_xlpm.maxVal,_xlfn.MAXIFS($K:$K,$A:$A,A308),IF(AND(_xlpm.maxVal=K308,T308&lt;&gt;0),_xlpm.maxVal,""))</f>
        <v>0.065</v>
      </c>
      <c r="AD308" s="27">
        <f>$K308*L308*负载统计!$K$3/60</f>
        <v>0</v>
      </c>
      <c r="AE308" s="27">
        <f>$K308*L308*负载统计!$K$4/60</f>
        <v>0</v>
      </c>
      <c r="AF308" s="27">
        <f>$K308*N308*负载统计!$K$5/60</f>
        <v>0.00108333333333333</v>
      </c>
      <c r="AG308" s="27">
        <f>$K308*O308*负载统计!$K$6/60</f>
        <v>0.00325</v>
      </c>
      <c r="AH308" s="27">
        <f>$K308*P308*负载统计!$K$7/60</f>
        <v>0.00733416666666667</v>
      </c>
      <c r="AI308" s="27">
        <f>$K308*Q308*负载统计!$K$8/60</f>
        <v>0.0472333333333333</v>
      </c>
      <c r="AJ308" s="27">
        <f>$K308*R308*负载统计!$K$9/60</f>
        <v>0.0150041666666667</v>
      </c>
      <c r="AK308" s="27">
        <f>$K308*S308*负载统计!$K$10/60</f>
        <v>0.000541666666666667</v>
      </c>
      <c r="AL308" s="27">
        <f>$K308*T308*负载统计!$K$11/60</f>
        <v>0.00433333333333333</v>
      </c>
    </row>
    <row r="309" spans="1:38">
      <c r="A309" s="1">
        <v>141</v>
      </c>
      <c r="B309" s="24" t="s">
        <v>1532</v>
      </c>
      <c r="C309" s="24" t="s">
        <v>1516</v>
      </c>
      <c r="D309" s="24" t="s">
        <v>1533</v>
      </c>
      <c r="E309" s="24" t="s">
        <v>956</v>
      </c>
      <c r="F309" s="24" t="s">
        <v>965</v>
      </c>
      <c r="G309" s="25">
        <f>VLOOKUP(A309,负载电气特性!A:G,7,FALSE)</f>
        <v>28</v>
      </c>
      <c r="H309" s="26" t="s">
        <v>66</v>
      </c>
      <c r="I309" s="25" t="s">
        <v>1706</v>
      </c>
      <c r="J309" s="25" t="s">
        <v>1708</v>
      </c>
      <c r="K309" s="25">
        <v>0</v>
      </c>
      <c r="L309" s="25">
        <v>0</v>
      </c>
      <c r="M309" s="25">
        <v>0</v>
      </c>
      <c r="N309" s="25">
        <v>0</v>
      </c>
      <c r="O309" s="25">
        <v>0</v>
      </c>
      <c r="P309" s="25">
        <v>0</v>
      </c>
      <c r="Q309" s="25">
        <v>0</v>
      </c>
      <c r="R309" s="25">
        <v>0</v>
      </c>
      <c r="S309" s="25">
        <v>0</v>
      </c>
      <c r="T309" s="25">
        <v>0</v>
      </c>
      <c r="U309" s="27" t="str">
        <f>_xlfn.LET(_xlpm.maxVal,_xlfn.MAXIFS($K:$K,$A:$A,A309),IF(AND(_xlpm.maxVal=K309,L309&lt;&gt;0),_xlpm.maxVal,""))</f>
        <v/>
      </c>
      <c r="V309" s="27" t="str">
        <f>_xlfn.LET(_xlpm.maxVal,_xlfn.MAXIFS($K:$K,$A:$A,A309),IF(AND(_xlpm.maxVal=K309,M309&lt;&gt;0),_xlpm.maxVal,""))</f>
        <v/>
      </c>
      <c r="W309" s="27" t="str">
        <f>_xlfn.LET(_xlpm.maxVal,_xlfn.MAXIFS($K:$K,$A:$A,A309),IF(AND(_xlpm.maxVal=K309,N309&lt;&gt;0),_xlpm.maxVal,""))</f>
        <v/>
      </c>
      <c r="X309" s="27" t="str">
        <f>_xlfn.LET(_xlpm.maxVal,_xlfn.MAXIFS($K:$K,$A:$A,A309),IF(AND(_xlpm.maxVal=K309,O309&lt;&gt;0),_xlpm.maxVal,""))</f>
        <v/>
      </c>
      <c r="Y309" s="27" t="str">
        <f>_xlfn.LET(_xlpm.maxVal,_xlfn.MAXIFS($K:$K,$A:$A,A309),IF(AND(_xlpm.maxVal=K309,P309&lt;&gt;0),_xlpm.maxVal,""))</f>
        <v/>
      </c>
      <c r="Z309" s="27" t="str">
        <f>_xlfn.LET(_xlpm.maxVal,_xlfn.MAXIFS($K:$K,$A:$A,A309),IF(AND(_xlpm.maxVal=K309,Q309&lt;&gt;0),_xlpm.maxVal,""))</f>
        <v/>
      </c>
      <c r="AA309" s="27" t="str">
        <f>_xlfn.LET(_xlpm.maxVal,_xlfn.MAXIFS($K:$K,$A:$A,A309),IF(AND(_xlpm.maxVal=K309,R309&lt;&gt;0),_xlpm.maxVal,""))</f>
        <v/>
      </c>
      <c r="AB309" s="27" t="str">
        <f>_xlfn.LET(_xlpm.maxVal,_xlfn.MAXIFS($K:$K,$A:$A,A309),IF(AND(_xlpm.maxVal=K309,S309&lt;&gt;0),_xlpm.maxVal,""))</f>
        <v/>
      </c>
      <c r="AC309" s="27" t="str">
        <f>_xlfn.LET(_xlpm.maxVal,_xlfn.MAXIFS($K:$K,$A:$A,A309),IF(AND(_xlpm.maxVal=K309,T309&lt;&gt;0),_xlpm.maxVal,""))</f>
        <v/>
      </c>
      <c r="AD309" s="27">
        <f>$K309*L309*负载统计!$K$3/60</f>
        <v>0</v>
      </c>
      <c r="AE309" s="27">
        <f>$K309*L309*负载统计!$K$4/60</f>
        <v>0</v>
      </c>
      <c r="AF309" s="27">
        <f>$K309*N309*负载统计!$K$5/60</f>
        <v>0</v>
      </c>
      <c r="AG309" s="27">
        <f>$K309*O309*负载统计!$K$6/60</f>
        <v>0</v>
      </c>
      <c r="AH309" s="27">
        <f>$K309*P309*负载统计!$K$7/60</f>
        <v>0</v>
      </c>
      <c r="AI309" s="27">
        <f>$K309*Q309*负载统计!$K$8/60</f>
        <v>0</v>
      </c>
      <c r="AJ309" s="27">
        <f>$K309*R309*负载统计!$K$9/60</f>
        <v>0</v>
      </c>
      <c r="AK309" s="27">
        <f>$K309*S309*负载统计!$K$10/60</f>
        <v>0</v>
      </c>
      <c r="AL309" s="27">
        <f>$K309*T309*负载统计!$K$11/60</f>
        <v>0</v>
      </c>
    </row>
    <row r="310" spans="1:38">
      <c r="A310" s="1">
        <v>142</v>
      </c>
      <c r="B310" s="24" t="s">
        <v>1534</v>
      </c>
      <c r="C310" s="24" t="s">
        <v>1516</v>
      </c>
      <c r="D310" s="24" t="s">
        <v>1535</v>
      </c>
      <c r="E310" s="24" t="s">
        <v>956</v>
      </c>
      <c r="F310" s="24" t="s">
        <v>967</v>
      </c>
      <c r="G310" s="25">
        <f>VLOOKUP(A310,负载电气特性!A:G,7,FALSE)</f>
        <v>28</v>
      </c>
      <c r="H310" s="26" t="s">
        <v>66</v>
      </c>
      <c r="I310" s="25" t="s">
        <v>1706</v>
      </c>
      <c r="J310" s="25" t="s">
        <v>1707</v>
      </c>
      <c r="K310" s="25">
        <v>0.065</v>
      </c>
      <c r="L310" s="25">
        <v>1</v>
      </c>
      <c r="M310" s="25">
        <v>1</v>
      </c>
      <c r="N310" s="25">
        <v>1</v>
      </c>
      <c r="O310" s="25">
        <v>1</v>
      </c>
      <c r="P310" s="25">
        <v>1</v>
      </c>
      <c r="Q310" s="25">
        <v>1</v>
      </c>
      <c r="R310" s="25">
        <v>1</v>
      </c>
      <c r="S310" s="25">
        <v>1</v>
      </c>
      <c r="T310" s="25">
        <v>1</v>
      </c>
      <c r="U310" s="27">
        <f>_xlfn.LET(_xlpm.maxVal,_xlfn.MAXIFS($K:$K,$A:$A,A310),IF(AND(_xlpm.maxVal=K310,L310&lt;&gt;0),_xlpm.maxVal,""))</f>
        <v>0.065</v>
      </c>
      <c r="V310" s="27">
        <f>_xlfn.LET(_xlpm.maxVal,_xlfn.MAXIFS($K:$K,$A:$A,A310),IF(AND(_xlpm.maxVal=K310,M310&lt;&gt;0),_xlpm.maxVal,""))</f>
        <v>0.065</v>
      </c>
      <c r="W310" s="27">
        <f>_xlfn.LET(_xlpm.maxVal,_xlfn.MAXIFS($K:$K,$A:$A,A310),IF(AND(_xlpm.maxVal=K310,N310&lt;&gt;0),_xlpm.maxVal,""))</f>
        <v>0.065</v>
      </c>
      <c r="X310" s="27">
        <f>_xlfn.LET(_xlpm.maxVal,_xlfn.MAXIFS($K:$K,$A:$A,A310),IF(AND(_xlpm.maxVal=K310,O310&lt;&gt;0),_xlpm.maxVal,""))</f>
        <v>0.065</v>
      </c>
      <c r="Y310" s="27">
        <f>_xlfn.LET(_xlpm.maxVal,_xlfn.MAXIFS($K:$K,$A:$A,A310),IF(AND(_xlpm.maxVal=K310,P310&lt;&gt;0),_xlpm.maxVal,""))</f>
        <v>0.065</v>
      </c>
      <c r="Z310" s="27">
        <f>_xlfn.LET(_xlpm.maxVal,_xlfn.MAXIFS($K:$K,$A:$A,A310),IF(AND(_xlpm.maxVal=K310,Q310&lt;&gt;0),_xlpm.maxVal,""))</f>
        <v>0.065</v>
      </c>
      <c r="AA310" s="27">
        <f>_xlfn.LET(_xlpm.maxVal,_xlfn.MAXIFS($K:$K,$A:$A,A310),IF(AND(_xlpm.maxVal=K310,R310&lt;&gt;0),_xlpm.maxVal,""))</f>
        <v>0.065</v>
      </c>
      <c r="AB310" s="27">
        <f>_xlfn.LET(_xlpm.maxVal,_xlfn.MAXIFS($K:$K,$A:$A,A310),IF(AND(_xlpm.maxVal=K310,S310&lt;&gt;0),_xlpm.maxVal,""))</f>
        <v>0.065</v>
      </c>
      <c r="AC310" s="27">
        <f>_xlfn.LET(_xlpm.maxVal,_xlfn.MAXIFS($K:$K,$A:$A,A310),IF(AND(_xlpm.maxVal=K310,T310&lt;&gt;0),_xlpm.maxVal,""))</f>
        <v>0.065</v>
      </c>
      <c r="AD310" s="27">
        <f>$K310*L310*负载统计!$K$3/60</f>
        <v>0</v>
      </c>
      <c r="AE310" s="27">
        <f>$K310*L310*负载统计!$K$4/60</f>
        <v>0</v>
      </c>
      <c r="AF310" s="27">
        <f>$K310*N310*负载统计!$K$5/60</f>
        <v>0.00108333333333333</v>
      </c>
      <c r="AG310" s="27">
        <f>$K310*O310*负载统计!$K$6/60</f>
        <v>0.00325</v>
      </c>
      <c r="AH310" s="27">
        <f>$K310*P310*负载统计!$K$7/60</f>
        <v>0.00733416666666667</v>
      </c>
      <c r="AI310" s="27">
        <f>$K310*Q310*负载统计!$K$8/60</f>
        <v>0.0472333333333333</v>
      </c>
      <c r="AJ310" s="27">
        <f>$K310*R310*负载统计!$K$9/60</f>
        <v>0.0150041666666667</v>
      </c>
      <c r="AK310" s="27">
        <f>$K310*S310*负载统计!$K$10/60</f>
        <v>0.000541666666666667</v>
      </c>
      <c r="AL310" s="27">
        <f>$K310*T310*负载统计!$K$11/60</f>
        <v>0.00433333333333333</v>
      </c>
    </row>
    <row r="311" spans="1:38">
      <c r="A311" s="1">
        <v>142</v>
      </c>
      <c r="B311" s="24" t="s">
        <v>1534</v>
      </c>
      <c r="C311" s="24" t="s">
        <v>1516</v>
      </c>
      <c r="D311" s="24" t="s">
        <v>1535</v>
      </c>
      <c r="E311" s="24" t="s">
        <v>956</v>
      </c>
      <c r="F311" s="24" t="s">
        <v>967</v>
      </c>
      <c r="G311" s="25">
        <f>VLOOKUP(A311,负载电气特性!A:G,7,FALSE)</f>
        <v>28</v>
      </c>
      <c r="H311" s="26" t="s">
        <v>66</v>
      </c>
      <c r="I311" s="25" t="s">
        <v>1706</v>
      </c>
      <c r="J311" s="25" t="s">
        <v>1708</v>
      </c>
      <c r="K311" s="25">
        <v>0</v>
      </c>
      <c r="L311" s="25">
        <v>0</v>
      </c>
      <c r="M311" s="25">
        <v>0</v>
      </c>
      <c r="N311" s="25">
        <v>0</v>
      </c>
      <c r="O311" s="25">
        <v>0</v>
      </c>
      <c r="P311" s="25">
        <v>0</v>
      </c>
      <c r="Q311" s="25">
        <v>0</v>
      </c>
      <c r="R311" s="25">
        <v>0</v>
      </c>
      <c r="S311" s="25">
        <v>0</v>
      </c>
      <c r="T311" s="25">
        <v>0</v>
      </c>
      <c r="U311" s="27" t="str">
        <f>_xlfn.LET(_xlpm.maxVal,_xlfn.MAXIFS($K:$K,$A:$A,A311),IF(AND(_xlpm.maxVal=K311,L311&lt;&gt;0),_xlpm.maxVal,""))</f>
        <v/>
      </c>
      <c r="V311" s="27" t="str">
        <f>_xlfn.LET(_xlpm.maxVal,_xlfn.MAXIFS($K:$K,$A:$A,A311),IF(AND(_xlpm.maxVal=K311,M311&lt;&gt;0),_xlpm.maxVal,""))</f>
        <v/>
      </c>
      <c r="W311" s="27" t="str">
        <f>_xlfn.LET(_xlpm.maxVal,_xlfn.MAXIFS($K:$K,$A:$A,A311),IF(AND(_xlpm.maxVal=K311,N311&lt;&gt;0),_xlpm.maxVal,""))</f>
        <v/>
      </c>
      <c r="X311" s="27" t="str">
        <f>_xlfn.LET(_xlpm.maxVal,_xlfn.MAXIFS($K:$K,$A:$A,A311),IF(AND(_xlpm.maxVal=K311,O311&lt;&gt;0),_xlpm.maxVal,""))</f>
        <v/>
      </c>
      <c r="Y311" s="27" t="str">
        <f>_xlfn.LET(_xlpm.maxVal,_xlfn.MAXIFS($K:$K,$A:$A,A311),IF(AND(_xlpm.maxVal=K311,P311&lt;&gt;0),_xlpm.maxVal,""))</f>
        <v/>
      </c>
      <c r="Z311" s="27" t="str">
        <f>_xlfn.LET(_xlpm.maxVal,_xlfn.MAXIFS($K:$K,$A:$A,A311),IF(AND(_xlpm.maxVal=K311,Q311&lt;&gt;0),_xlpm.maxVal,""))</f>
        <v/>
      </c>
      <c r="AA311" s="27" t="str">
        <f>_xlfn.LET(_xlpm.maxVal,_xlfn.MAXIFS($K:$K,$A:$A,A311),IF(AND(_xlpm.maxVal=K311,R311&lt;&gt;0),_xlpm.maxVal,""))</f>
        <v/>
      </c>
      <c r="AB311" s="27" t="str">
        <f>_xlfn.LET(_xlpm.maxVal,_xlfn.MAXIFS($K:$K,$A:$A,A311),IF(AND(_xlpm.maxVal=K311,S311&lt;&gt;0),_xlpm.maxVal,""))</f>
        <v/>
      </c>
      <c r="AC311" s="27" t="str">
        <f>_xlfn.LET(_xlpm.maxVal,_xlfn.MAXIFS($K:$K,$A:$A,A311),IF(AND(_xlpm.maxVal=K311,T311&lt;&gt;0),_xlpm.maxVal,""))</f>
        <v/>
      </c>
      <c r="AD311" s="27">
        <f>$K311*L311*负载统计!$K$3/60</f>
        <v>0</v>
      </c>
      <c r="AE311" s="27">
        <f>$K311*L311*负载统计!$K$4/60</f>
        <v>0</v>
      </c>
      <c r="AF311" s="27">
        <f>$K311*N311*负载统计!$K$5/60</f>
        <v>0</v>
      </c>
      <c r="AG311" s="27">
        <f>$K311*O311*负载统计!$K$6/60</f>
        <v>0</v>
      </c>
      <c r="AH311" s="27">
        <f>$K311*P311*负载统计!$K$7/60</f>
        <v>0</v>
      </c>
      <c r="AI311" s="27">
        <f>$K311*Q311*负载统计!$K$8/60</f>
        <v>0</v>
      </c>
      <c r="AJ311" s="27">
        <f>$K311*R311*负载统计!$K$9/60</f>
        <v>0</v>
      </c>
      <c r="AK311" s="27">
        <f>$K311*S311*负载统计!$K$10/60</f>
        <v>0</v>
      </c>
      <c r="AL311" s="27">
        <f>$K311*T311*负载统计!$K$11/60</f>
        <v>0</v>
      </c>
    </row>
    <row r="312" spans="1:38">
      <c r="A312" s="1">
        <v>143</v>
      </c>
      <c r="B312" s="24" t="s">
        <v>1536</v>
      </c>
      <c r="C312" s="24" t="s">
        <v>1537</v>
      </c>
      <c r="D312" s="24" t="s">
        <v>969</v>
      </c>
      <c r="E312" s="24" t="s">
        <v>970</v>
      </c>
      <c r="F312" s="24" t="s">
        <v>971</v>
      </c>
      <c r="G312" s="25">
        <f>VLOOKUP(A312,负载电气特性!A:G,7,FALSE)</f>
        <v>28</v>
      </c>
      <c r="H312" s="26" t="s">
        <v>61</v>
      </c>
      <c r="I312" s="25" t="s">
        <v>1706</v>
      </c>
      <c r="J312" s="25" t="s">
        <v>1707</v>
      </c>
      <c r="K312" s="25">
        <v>0.084</v>
      </c>
      <c r="L312" s="25">
        <v>1</v>
      </c>
      <c r="M312" s="25">
        <v>1</v>
      </c>
      <c r="N312" s="25">
        <v>1</v>
      </c>
      <c r="O312" s="25">
        <v>1</v>
      </c>
      <c r="P312" s="25">
        <v>1</v>
      </c>
      <c r="Q312" s="25">
        <v>1</v>
      </c>
      <c r="R312" s="25">
        <v>1</v>
      </c>
      <c r="S312" s="25">
        <v>1</v>
      </c>
      <c r="T312" s="25">
        <v>1</v>
      </c>
      <c r="U312" s="27">
        <f>_xlfn.LET(_xlpm.maxVal,_xlfn.MAXIFS($K:$K,$A:$A,A312),IF(AND(_xlpm.maxVal=K312,L312&lt;&gt;0),_xlpm.maxVal,""))</f>
        <v>0.084</v>
      </c>
      <c r="V312" s="27">
        <f>_xlfn.LET(_xlpm.maxVal,_xlfn.MAXIFS($K:$K,$A:$A,A312),IF(AND(_xlpm.maxVal=K312,M312&lt;&gt;0),_xlpm.maxVal,""))</f>
        <v>0.084</v>
      </c>
      <c r="W312" s="27">
        <f>_xlfn.LET(_xlpm.maxVal,_xlfn.MAXIFS($K:$K,$A:$A,A312),IF(AND(_xlpm.maxVal=K312,N312&lt;&gt;0),_xlpm.maxVal,""))</f>
        <v>0.084</v>
      </c>
      <c r="X312" s="27">
        <f>_xlfn.LET(_xlpm.maxVal,_xlfn.MAXIFS($K:$K,$A:$A,A312),IF(AND(_xlpm.maxVal=K312,O312&lt;&gt;0),_xlpm.maxVal,""))</f>
        <v>0.084</v>
      </c>
      <c r="Y312" s="27">
        <f>_xlfn.LET(_xlpm.maxVal,_xlfn.MAXIFS($K:$K,$A:$A,A312),IF(AND(_xlpm.maxVal=K312,P312&lt;&gt;0),_xlpm.maxVal,""))</f>
        <v>0.084</v>
      </c>
      <c r="Z312" s="27">
        <f>_xlfn.LET(_xlpm.maxVal,_xlfn.MAXIFS($K:$K,$A:$A,A312),IF(AND(_xlpm.maxVal=K312,Q312&lt;&gt;0),_xlpm.maxVal,""))</f>
        <v>0.084</v>
      </c>
      <c r="AA312" s="27">
        <f>_xlfn.LET(_xlpm.maxVal,_xlfn.MAXIFS($K:$K,$A:$A,A312),IF(AND(_xlpm.maxVal=K312,R312&lt;&gt;0),_xlpm.maxVal,""))</f>
        <v>0.084</v>
      </c>
      <c r="AB312" s="27">
        <f>_xlfn.LET(_xlpm.maxVal,_xlfn.MAXIFS($K:$K,$A:$A,A312),IF(AND(_xlpm.maxVal=K312,S312&lt;&gt;0),_xlpm.maxVal,""))</f>
        <v>0.084</v>
      </c>
      <c r="AC312" s="27">
        <f>_xlfn.LET(_xlpm.maxVal,_xlfn.MAXIFS($K:$K,$A:$A,A312),IF(AND(_xlpm.maxVal=K312,T312&lt;&gt;0),_xlpm.maxVal,""))</f>
        <v>0.084</v>
      </c>
      <c r="AD312" s="27">
        <f>$K312*L312*负载统计!$K$3/60</f>
        <v>0</v>
      </c>
      <c r="AE312" s="27">
        <f>$K312*L312*负载统计!$K$4/60</f>
        <v>0</v>
      </c>
      <c r="AF312" s="27">
        <f>$K312*N312*负载统计!$K$5/60</f>
        <v>0.0014</v>
      </c>
      <c r="AG312" s="27">
        <f>$K312*O312*负载统计!$K$6/60</f>
        <v>0.0042</v>
      </c>
      <c r="AH312" s="27">
        <f>$K312*P312*负载统计!$K$7/60</f>
        <v>0.009478</v>
      </c>
      <c r="AI312" s="27">
        <f>$K312*Q312*负载统计!$K$8/60</f>
        <v>0.06104</v>
      </c>
      <c r="AJ312" s="27">
        <f>$K312*R312*负载统计!$K$9/60</f>
        <v>0.01939</v>
      </c>
      <c r="AK312" s="27">
        <f>$K312*S312*负载统计!$K$10/60</f>
        <v>0.0007</v>
      </c>
      <c r="AL312" s="27">
        <f>$K312*T312*负载统计!$K$11/60</f>
        <v>0.0056</v>
      </c>
    </row>
    <row r="313" spans="1:38">
      <c r="A313" s="1">
        <v>143</v>
      </c>
      <c r="B313" s="24" t="s">
        <v>1536</v>
      </c>
      <c r="C313" s="24" t="s">
        <v>1537</v>
      </c>
      <c r="D313" s="24" t="s">
        <v>969</v>
      </c>
      <c r="E313" s="24" t="s">
        <v>970</v>
      </c>
      <c r="F313" s="24" t="s">
        <v>971</v>
      </c>
      <c r="G313" s="25">
        <f>VLOOKUP(A313,负载电气特性!A:G,7,FALSE)</f>
        <v>28</v>
      </c>
      <c r="H313" s="26" t="s">
        <v>61</v>
      </c>
      <c r="I313" s="25" t="s">
        <v>1706</v>
      </c>
      <c r="J313" s="25" t="s">
        <v>1708</v>
      </c>
      <c r="K313" s="25">
        <v>0</v>
      </c>
      <c r="L313" s="25">
        <v>0</v>
      </c>
      <c r="M313" s="25">
        <v>0</v>
      </c>
      <c r="N313" s="25">
        <v>0</v>
      </c>
      <c r="O313" s="25">
        <v>0</v>
      </c>
      <c r="P313" s="25">
        <v>0</v>
      </c>
      <c r="Q313" s="25">
        <v>0</v>
      </c>
      <c r="R313" s="25">
        <v>0</v>
      </c>
      <c r="S313" s="25">
        <v>0</v>
      </c>
      <c r="T313" s="25">
        <v>0</v>
      </c>
      <c r="U313" s="27" t="str">
        <f>_xlfn.LET(_xlpm.maxVal,_xlfn.MAXIFS($K:$K,$A:$A,A313),IF(AND(_xlpm.maxVal=K313,L313&lt;&gt;0),_xlpm.maxVal,""))</f>
        <v/>
      </c>
      <c r="V313" s="27" t="str">
        <f>_xlfn.LET(_xlpm.maxVal,_xlfn.MAXIFS($K:$K,$A:$A,A313),IF(AND(_xlpm.maxVal=K313,M313&lt;&gt;0),_xlpm.maxVal,""))</f>
        <v/>
      </c>
      <c r="W313" s="27" t="str">
        <f>_xlfn.LET(_xlpm.maxVal,_xlfn.MAXIFS($K:$K,$A:$A,A313),IF(AND(_xlpm.maxVal=K313,N313&lt;&gt;0),_xlpm.maxVal,""))</f>
        <v/>
      </c>
      <c r="X313" s="27" t="str">
        <f>_xlfn.LET(_xlpm.maxVal,_xlfn.MAXIFS($K:$K,$A:$A,A313),IF(AND(_xlpm.maxVal=K313,O313&lt;&gt;0),_xlpm.maxVal,""))</f>
        <v/>
      </c>
      <c r="Y313" s="27" t="str">
        <f>_xlfn.LET(_xlpm.maxVal,_xlfn.MAXIFS($K:$K,$A:$A,A313),IF(AND(_xlpm.maxVal=K313,P313&lt;&gt;0),_xlpm.maxVal,""))</f>
        <v/>
      </c>
      <c r="Z313" s="27" t="str">
        <f>_xlfn.LET(_xlpm.maxVal,_xlfn.MAXIFS($K:$K,$A:$A,A313),IF(AND(_xlpm.maxVal=K313,Q313&lt;&gt;0),_xlpm.maxVal,""))</f>
        <v/>
      </c>
      <c r="AA313" s="27" t="str">
        <f>_xlfn.LET(_xlpm.maxVal,_xlfn.MAXIFS($K:$K,$A:$A,A313),IF(AND(_xlpm.maxVal=K313,R313&lt;&gt;0),_xlpm.maxVal,""))</f>
        <v/>
      </c>
      <c r="AB313" s="27" t="str">
        <f>_xlfn.LET(_xlpm.maxVal,_xlfn.MAXIFS($K:$K,$A:$A,A313),IF(AND(_xlpm.maxVal=K313,S313&lt;&gt;0),_xlpm.maxVal,""))</f>
        <v/>
      </c>
      <c r="AC313" s="27" t="str">
        <f>_xlfn.LET(_xlpm.maxVal,_xlfn.MAXIFS($K:$K,$A:$A,A313),IF(AND(_xlpm.maxVal=K313,T313&lt;&gt;0),_xlpm.maxVal,""))</f>
        <v/>
      </c>
      <c r="AD313" s="27">
        <f>$K313*L313*负载统计!$K$3/60</f>
        <v>0</v>
      </c>
      <c r="AE313" s="27">
        <f>$K313*L313*负载统计!$K$4/60</f>
        <v>0</v>
      </c>
      <c r="AF313" s="27">
        <f>$K313*N313*负载统计!$K$5/60</f>
        <v>0</v>
      </c>
      <c r="AG313" s="27">
        <f>$K313*O313*负载统计!$K$6/60</f>
        <v>0</v>
      </c>
      <c r="AH313" s="27">
        <f>$K313*P313*负载统计!$K$7/60</f>
        <v>0</v>
      </c>
      <c r="AI313" s="27">
        <f>$K313*Q313*负载统计!$K$8/60</f>
        <v>0</v>
      </c>
      <c r="AJ313" s="27">
        <f>$K313*R313*负载统计!$K$9/60</f>
        <v>0</v>
      </c>
      <c r="AK313" s="27">
        <f>$K313*S313*负载统计!$K$10/60</f>
        <v>0</v>
      </c>
      <c r="AL313" s="27">
        <f>$K313*T313*负载统计!$K$11/60</f>
        <v>0</v>
      </c>
    </row>
    <row r="314" spans="1:38">
      <c r="A314" s="1">
        <v>144</v>
      </c>
      <c r="B314" s="24" t="s">
        <v>1538</v>
      </c>
      <c r="C314" s="24" t="s">
        <v>1539</v>
      </c>
      <c r="D314" s="24" t="s">
        <v>1540</v>
      </c>
      <c r="E314" s="24" t="s">
        <v>1008</v>
      </c>
      <c r="F314" s="24" t="s">
        <v>1009</v>
      </c>
      <c r="G314" s="25">
        <f>VLOOKUP(A314,负载电气特性!A:G,7,FALSE)</f>
        <v>28</v>
      </c>
      <c r="H314" s="26" t="s">
        <v>61</v>
      </c>
      <c r="I314" s="25" t="s">
        <v>1706</v>
      </c>
      <c r="J314" s="25" t="s">
        <v>1707</v>
      </c>
      <c r="K314" s="25">
        <v>0.03</v>
      </c>
      <c r="L314" s="25">
        <v>1</v>
      </c>
      <c r="M314" s="25">
        <v>1</v>
      </c>
      <c r="N314" s="25">
        <v>1</v>
      </c>
      <c r="O314" s="25">
        <v>1</v>
      </c>
      <c r="P314" s="25">
        <v>1</v>
      </c>
      <c r="Q314" s="25">
        <v>1</v>
      </c>
      <c r="R314" s="25">
        <v>1</v>
      </c>
      <c r="S314" s="25">
        <v>1</v>
      </c>
      <c r="T314" s="25">
        <v>1</v>
      </c>
      <c r="U314" s="27">
        <f>_xlfn.LET(_xlpm.maxVal,_xlfn.MAXIFS($K:$K,$A:$A,A314),IF(AND(_xlpm.maxVal=K314,L314&lt;&gt;0),_xlpm.maxVal,""))</f>
        <v>0.03</v>
      </c>
      <c r="V314" s="27">
        <f>_xlfn.LET(_xlpm.maxVal,_xlfn.MAXIFS($K:$K,$A:$A,A314),IF(AND(_xlpm.maxVal=K314,M314&lt;&gt;0),_xlpm.maxVal,""))</f>
        <v>0.03</v>
      </c>
      <c r="W314" s="27">
        <f>_xlfn.LET(_xlpm.maxVal,_xlfn.MAXIFS($K:$K,$A:$A,A314),IF(AND(_xlpm.maxVal=K314,N314&lt;&gt;0),_xlpm.maxVal,""))</f>
        <v>0.03</v>
      </c>
      <c r="X314" s="27">
        <f>_xlfn.LET(_xlpm.maxVal,_xlfn.MAXIFS($K:$K,$A:$A,A314),IF(AND(_xlpm.maxVal=K314,O314&lt;&gt;0),_xlpm.maxVal,""))</f>
        <v>0.03</v>
      </c>
      <c r="Y314" s="27">
        <f>_xlfn.LET(_xlpm.maxVal,_xlfn.MAXIFS($K:$K,$A:$A,A314),IF(AND(_xlpm.maxVal=K314,P314&lt;&gt;0),_xlpm.maxVal,""))</f>
        <v>0.03</v>
      </c>
      <c r="Z314" s="27">
        <f>_xlfn.LET(_xlpm.maxVal,_xlfn.MAXIFS($K:$K,$A:$A,A314),IF(AND(_xlpm.maxVal=K314,Q314&lt;&gt;0),_xlpm.maxVal,""))</f>
        <v>0.03</v>
      </c>
      <c r="AA314" s="27">
        <f>_xlfn.LET(_xlpm.maxVal,_xlfn.MAXIFS($K:$K,$A:$A,A314),IF(AND(_xlpm.maxVal=K314,R314&lt;&gt;0),_xlpm.maxVal,""))</f>
        <v>0.03</v>
      </c>
      <c r="AB314" s="27">
        <f>_xlfn.LET(_xlpm.maxVal,_xlfn.MAXIFS($K:$K,$A:$A,A314),IF(AND(_xlpm.maxVal=K314,S314&lt;&gt;0),_xlpm.maxVal,""))</f>
        <v>0.03</v>
      </c>
      <c r="AC314" s="27">
        <f>_xlfn.LET(_xlpm.maxVal,_xlfn.MAXIFS($K:$K,$A:$A,A314),IF(AND(_xlpm.maxVal=K314,T314&lt;&gt;0),_xlpm.maxVal,""))</f>
        <v>0.03</v>
      </c>
      <c r="AD314" s="27">
        <f>$K314*L314*负载统计!$K$3/60</f>
        <v>0</v>
      </c>
      <c r="AE314" s="27">
        <f>$K314*L314*负载统计!$K$4/60</f>
        <v>0</v>
      </c>
      <c r="AF314" s="27">
        <f>$K314*N314*负载统计!$K$5/60</f>
        <v>0.0005</v>
      </c>
      <c r="AG314" s="27">
        <f>$K314*O314*负载统计!$K$6/60</f>
        <v>0.0015</v>
      </c>
      <c r="AH314" s="27">
        <f>$K314*P314*负载统计!$K$7/60</f>
        <v>0.003385</v>
      </c>
      <c r="AI314" s="27">
        <f>$K314*Q314*负载统计!$K$8/60</f>
        <v>0.0218</v>
      </c>
      <c r="AJ314" s="27">
        <f>$K314*R314*负载统计!$K$9/60</f>
        <v>0.006925</v>
      </c>
      <c r="AK314" s="27">
        <f>$K314*S314*负载统计!$K$10/60</f>
        <v>0.00025</v>
      </c>
      <c r="AL314" s="27">
        <f>$K314*T314*负载统计!$K$11/60</f>
        <v>0.002</v>
      </c>
    </row>
    <row r="315" spans="1:38">
      <c r="A315" s="1">
        <v>144</v>
      </c>
      <c r="B315" s="24" t="s">
        <v>1538</v>
      </c>
      <c r="C315" s="24" t="s">
        <v>1539</v>
      </c>
      <c r="D315" s="24" t="s">
        <v>1540</v>
      </c>
      <c r="E315" s="24" t="s">
        <v>1008</v>
      </c>
      <c r="F315" s="24" t="s">
        <v>1009</v>
      </c>
      <c r="G315" s="25">
        <f>VLOOKUP(A315,负载电气特性!A:G,7,FALSE)</f>
        <v>28</v>
      </c>
      <c r="H315" s="26" t="s">
        <v>61</v>
      </c>
      <c r="I315" s="25" t="s">
        <v>1706</v>
      </c>
      <c r="J315" s="25" t="s">
        <v>1708</v>
      </c>
      <c r="K315" s="25">
        <v>0</v>
      </c>
      <c r="L315" s="25">
        <v>0</v>
      </c>
      <c r="M315" s="25">
        <v>0</v>
      </c>
      <c r="N315" s="25">
        <v>0</v>
      </c>
      <c r="O315" s="25">
        <v>0</v>
      </c>
      <c r="P315" s="25">
        <v>0</v>
      </c>
      <c r="Q315" s="25">
        <v>0</v>
      </c>
      <c r="R315" s="25">
        <v>0</v>
      </c>
      <c r="S315" s="25">
        <v>0</v>
      </c>
      <c r="T315" s="25">
        <v>0</v>
      </c>
      <c r="U315" s="27" t="str">
        <f>_xlfn.LET(_xlpm.maxVal,_xlfn.MAXIFS($K:$K,$A:$A,A315),IF(AND(_xlpm.maxVal=K315,L315&lt;&gt;0),_xlpm.maxVal,""))</f>
        <v/>
      </c>
      <c r="V315" s="27" t="str">
        <f>_xlfn.LET(_xlpm.maxVal,_xlfn.MAXIFS($K:$K,$A:$A,A315),IF(AND(_xlpm.maxVal=K315,M315&lt;&gt;0),_xlpm.maxVal,""))</f>
        <v/>
      </c>
      <c r="W315" s="27" t="str">
        <f>_xlfn.LET(_xlpm.maxVal,_xlfn.MAXIFS($K:$K,$A:$A,A315),IF(AND(_xlpm.maxVal=K315,N315&lt;&gt;0),_xlpm.maxVal,""))</f>
        <v/>
      </c>
      <c r="X315" s="27" t="str">
        <f>_xlfn.LET(_xlpm.maxVal,_xlfn.MAXIFS($K:$K,$A:$A,A315),IF(AND(_xlpm.maxVal=K315,O315&lt;&gt;0),_xlpm.maxVal,""))</f>
        <v/>
      </c>
      <c r="Y315" s="27" t="str">
        <f>_xlfn.LET(_xlpm.maxVal,_xlfn.MAXIFS($K:$K,$A:$A,A315),IF(AND(_xlpm.maxVal=K315,P315&lt;&gt;0),_xlpm.maxVal,""))</f>
        <v/>
      </c>
      <c r="Z315" s="27" t="str">
        <f>_xlfn.LET(_xlpm.maxVal,_xlfn.MAXIFS($K:$K,$A:$A,A315),IF(AND(_xlpm.maxVal=K315,Q315&lt;&gt;0),_xlpm.maxVal,""))</f>
        <v/>
      </c>
      <c r="AA315" s="27" t="str">
        <f>_xlfn.LET(_xlpm.maxVal,_xlfn.MAXIFS($K:$K,$A:$A,A315),IF(AND(_xlpm.maxVal=K315,R315&lt;&gt;0),_xlpm.maxVal,""))</f>
        <v/>
      </c>
      <c r="AB315" s="27" t="str">
        <f>_xlfn.LET(_xlpm.maxVal,_xlfn.MAXIFS($K:$K,$A:$A,A315),IF(AND(_xlpm.maxVal=K315,S315&lt;&gt;0),_xlpm.maxVal,""))</f>
        <v/>
      </c>
      <c r="AC315" s="27" t="str">
        <f>_xlfn.LET(_xlpm.maxVal,_xlfn.MAXIFS($K:$K,$A:$A,A315),IF(AND(_xlpm.maxVal=K315,T315&lt;&gt;0),_xlpm.maxVal,""))</f>
        <v/>
      </c>
      <c r="AD315" s="27">
        <f>$K315*L315*负载统计!$K$3/60</f>
        <v>0</v>
      </c>
      <c r="AE315" s="27">
        <f>$K315*L315*负载统计!$K$4/60</f>
        <v>0</v>
      </c>
      <c r="AF315" s="27">
        <f>$K315*N315*负载统计!$K$5/60</f>
        <v>0</v>
      </c>
      <c r="AG315" s="27">
        <f>$K315*O315*负载统计!$K$6/60</f>
        <v>0</v>
      </c>
      <c r="AH315" s="27">
        <f>$K315*P315*负载统计!$K$7/60</f>
        <v>0</v>
      </c>
      <c r="AI315" s="27">
        <f>$K315*Q315*负载统计!$K$8/60</f>
        <v>0</v>
      </c>
      <c r="AJ315" s="27">
        <f>$K315*R315*负载统计!$K$9/60</f>
        <v>0</v>
      </c>
      <c r="AK315" s="27">
        <f>$K315*S315*负载统计!$K$10/60</f>
        <v>0</v>
      </c>
      <c r="AL315" s="27">
        <f>$K315*T315*负载统计!$K$11/60</f>
        <v>0</v>
      </c>
    </row>
    <row r="316" spans="1:38">
      <c r="A316" s="1">
        <v>145</v>
      </c>
      <c r="B316" s="24" t="s">
        <v>1541</v>
      </c>
      <c r="C316" s="24" t="s">
        <v>1539</v>
      </c>
      <c r="D316" s="24" t="s">
        <v>1542</v>
      </c>
      <c r="E316" s="24" t="s">
        <v>1008</v>
      </c>
      <c r="F316" s="24" t="s">
        <v>1011</v>
      </c>
      <c r="G316" s="25">
        <f>VLOOKUP(A316,负载电气特性!A:G,7,FALSE)</f>
        <v>28</v>
      </c>
      <c r="H316" s="26" t="s">
        <v>61</v>
      </c>
      <c r="I316" s="25" t="s">
        <v>1706</v>
      </c>
      <c r="J316" s="25" t="s">
        <v>1707</v>
      </c>
      <c r="K316" s="25">
        <v>0.03</v>
      </c>
      <c r="L316" s="25">
        <v>1</v>
      </c>
      <c r="M316" s="25">
        <v>1</v>
      </c>
      <c r="N316" s="25">
        <v>1</v>
      </c>
      <c r="O316" s="25">
        <v>1</v>
      </c>
      <c r="P316" s="25">
        <v>1</v>
      </c>
      <c r="Q316" s="25">
        <v>1</v>
      </c>
      <c r="R316" s="25">
        <v>1</v>
      </c>
      <c r="S316" s="25">
        <v>1</v>
      </c>
      <c r="T316" s="25">
        <v>1</v>
      </c>
      <c r="U316" s="27">
        <f>_xlfn.LET(_xlpm.maxVal,_xlfn.MAXIFS($K:$K,$A:$A,A316),IF(AND(_xlpm.maxVal=K316,L316&lt;&gt;0),_xlpm.maxVal,""))</f>
        <v>0.03</v>
      </c>
      <c r="V316" s="27">
        <f>_xlfn.LET(_xlpm.maxVal,_xlfn.MAXIFS($K:$K,$A:$A,A316),IF(AND(_xlpm.maxVal=K316,M316&lt;&gt;0),_xlpm.maxVal,""))</f>
        <v>0.03</v>
      </c>
      <c r="W316" s="27">
        <f>_xlfn.LET(_xlpm.maxVal,_xlfn.MAXIFS($K:$K,$A:$A,A316),IF(AND(_xlpm.maxVal=K316,N316&lt;&gt;0),_xlpm.maxVal,""))</f>
        <v>0.03</v>
      </c>
      <c r="X316" s="27">
        <f>_xlfn.LET(_xlpm.maxVal,_xlfn.MAXIFS($K:$K,$A:$A,A316),IF(AND(_xlpm.maxVal=K316,O316&lt;&gt;0),_xlpm.maxVal,""))</f>
        <v>0.03</v>
      </c>
      <c r="Y316" s="27">
        <f>_xlfn.LET(_xlpm.maxVal,_xlfn.MAXIFS($K:$K,$A:$A,A316),IF(AND(_xlpm.maxVal=K316,P316&lt;&gt;0),_xlpm.maxVal,""))</f>
        <v>0.03</v>
      </c>
      <c r="Z316" s="27">
        <f>_xlfn.LET(_xlpm.maxVal,_xlfn.MAXIFS($K:$K,$A:$A,A316),IF(AND(_xlpm.maxVal=K316,Q316&lt;&gt;0),_xlpm.maxVal,""))</f>
        <v>0.03</v>
      </c>
      <c r="AA316" s="27">
        <f>_xlfn.LET(_xlpm.maxVal,_xlfn.MAXIFS($K:$K,$A:$A,A316),IF(AND(_xlpm.maxVal=K316,R316&lt;&gt;0),_xlpm.maxVal,""))</f>
        <v>0.03</v>
      </c>
      <c r="AB316" s="27">
        <f>_xlfn.LET(_xlpm.maxVal,_xlfn.MAXIFS($K:$K,$A:$A,A316),IF(AND(_xlpm.maxVal=K316,S316&lt;&gt;0),_xlpm.maxVal,""))</f>
        <v>0.03</v>
      </c>
      <c r="AC316" s="27">
        <f>_xlfn.LET(_xlpm.maxVal,_xlfn.MAXIFS($K:$K,$A:$A,A316),IF(AND(_xlpm.maxVal=K316,T316&lt;&gt;0),_xlpm.maxVal,""))</f>
        <v>0.03</v>
      </c>
      <c r="AD316" s="27">
        <f>$K316*L316*负载统计!$K$3/60</f>
        <v>0</v>
      </c>
      <c r="AE316" s="27">
        <f>$K316*L316*负载统计!$K$4/60</f>
        <v>0</v>
      </c>
      <c r="AF316" s="27">
        <f>$K316*N316*负载统计!$K$5/60</f>
        <v>0.0005</v>
      </c>
      <c r="AG316" s="27">
        <f>$K316*O316*负载统计!$K$6/60</f>
        <v>0.0015</v>
      </c>
      <c r="AH316" s="27">
        <f>$K316*P316*负载统计!$K$7/60</f>
        <v>0.003385</v>
      </c>
      <c r="AI316" s="27">
        <f>$K316*Q316*负载统计!$K$8/60</f>
        <v>0.0218</v>
      </c>
      <c r="AJ316" s="27">
        <f>$K316*R316*负载统计!$K$9/60</f>
        <v>0.006925</v>
      </c>
      <c r="AK316" s="27">
        <f>$K316*S316*负载统计!$K$10/60</f>
        <v>0.00025</v>
      </c>
      <c r="AL316" s="27">
        <f>$K316*T316*负载统计!$K$11/60</f>
        <v>0.002</v>
      </c>
    </row>
    <row r="317" spans="1:38">
      <c r="A317" s="1">
        <v>145</v>
      </c>
      <c r="B317" s="24" t="s">
        <v>1541</v>
      </c>
      <c r="C317" s="24" t="s">
        <v>1539</v>
      </c>
      <c r="D317" s="24" t="s">
        <v>1542</v>
      </c>
      <c r="E317" s="24" t="s">
        <v>1008</v>
      </c>
      <c r="F317" s="24" t="s">
        <v>1011</v>
      </c>
      <c r="G317" s="25">
        <f>VLOOKUP(A317,负载电气特性!A:G,7,FALSE)</f>
        <v>28</v>
      </c>
      <c r="H317" s="26" t="s">
        <v>61</v>
      </c>
      <c r="I317" s="25" t="s">
        <v>1706</v>
      </c>
      <c r="J317" s="25" t="s">
        <v>1708</v>
      </c>
      <c r="K317" s="25">
        <v>0</v>
      </c>
      <c r="L317" s="25">
        <v>0</v>
      </c>
      <c r="M317" s="25">
        <v>0</v>
      </c>
      <c r="N317" s="25">
        <v>0</v>
      </c>
      <c r="O317" s="25">
        <v>0</v>
      </c>
      <c r="P317" s="25">
        <v>0</v>
      </c>
      <c r="Q317" s="25">
        <v>0</v>
      </c>
      <c r="R317" s="25">
        <v>0</v>
      </c>
      <c r="S317" s="25">
        <v>0</v>
      </c>
      <c r="T317" s="25">
        <v>0</v>
      </c>
      <c r="U317" s="27" t="str">
        <f>_xlfn.LET(_xlpm.maxVal,_xlfn.MAXIFS($K:$K,$A:$A,A317),IF(AND(_xlpm.maxVal=K317,L317&lt;&gt;0),_xlpm.maxVal,""))</f>
        <v/>
      </c>
      <c r="V317" s="27" t="str">
        <f>_xlfn.LET(_xlpm.maxVal,_xlfn.MAXIFS($K:$K,$A:$A,A317),IF(AND(_xlpm.maxVal=K317,M317&lt;&gt;0),_xlpm.maxVal,""))</f>
        <v/>
      </c>
      <c r="W317" s="27" t="str">
        <f>_xlfn.LET(_xlpm.maxVal,_xlfn.MAXIFS($K:$K,$A:$A,A317),IF(AND(_xlpm.maxVal=K317,N317&lt;&gt;0),_xlpm.maxVal,""))</f>
        <v/>
      </c>
      <c r="X317" s="27" t="str">
        <f>_xlfn.LET(_xlpm.maxVal,_xlfn.MAXIFS($K:$K,$A:$A,A317),IF(AND(_xlpm.maxVal=K317,O317&lt;&gt;0),_xlpm.maxVal,""))</f>
        <v/>
      </c>
      <c r="Y317" s="27" t="str">
        <f>_xlfn.LET(_xlpm.maxVal,_xlfn.MAXIFS($K:$K,$A:$A,A317),IF(AND(_xlpm.maxVal=K317,P317&lt;&gt;0),_xlpm.maxVal,""))</f>
        <v/>
      </c>
      <c r="Z317" s="27" t="str">
        <f>_xlfn.LET(_xlpm.maxVal,_xlfn.MAXIFS($K:$K,$A:$A,A317),IF(AND(_xlpm.maxVal=K317,Q317&lt;&gt;0),_xlpm.maxVal,""))</f>
        <v/>
      </c>
      <c r="AA317" s="27" t="str">
        <f>_xlfn.LET(_xlpm.maxVal,_xlfn.MAXIFS($K:$K,$A:$A,A317),IF(AND(_xlpm.maxVal=K317,R317&lt;&gt;0),_xlpm.maxVal,""))</f>
        <v/>
      </c>
      <c r="AB317" s="27" t="str">
        <f>_xlfn.LET(_xlpm.maxVal,_xlfn.MAXIFS($K:$K,$A:$A,A317),IF(AND(_xlpm.maxVal=K317,S317&lt;&gt;0),_xlpm.maxVal,""))</f>
        <v/>
      </c>
      <c r="AC317" s="27" t="str">
        <f>_xlfn.LET(_xlpm.maxVal,_xlfn.MAXIFS($K:$K,$A:$A,A317),IF(AND(_xlpm.maxVal=K317,T317&lt;&gt;0),_xlpm.maxVal,""))</f>
        <v/>
      </c>
      <c r="AD317" s="27">
        <f>$K317*L317*负载统计!$K$3/60</f>
        <v>0</v>
      </c>
      <c r="AE317" s="27">
        <f>$K317*L317*负载统计!$K$4/60</f>
        <v>0</v>
      </c>
      <c r="AF317" s="27">
        <f>$K317*N317*负载统计!$K$5/60</f>
        <v>0</v>
      </c>
      <c r="AG317" s="27">
        <f>$K317*O317*负载统计!$K$6/60</f>
        <v>0</v>
      </c>
      <c r="AH317" s="27">
        <f>$K317*P317*负载统计!$K$7/60</f>
        <v>0</v>
      </c>
      <c r="AI317" s="27">
        <f>$K317*Q317*负载统计!$K$8/60</f>
        <v>0</v>
      </c>
      <c r="AJ317" s="27">
        <f>$K317*R317*负载统计!$K$9/60</f>
        <v>0</v>
      </c>
      <c r="AK317" s="27">
        <f>$K317*S317*负载统计!$K$10/60</f>
        <v>0</v>
      </c>
      <c r="AL317" s="27">
        <f>$K317*T317*负载统计!$K$11/60</f>
        <v>0</v>
      </c>
    </row>
    <row r="318" spans="1:38">
      <c r="A318" s="1">
        <v>146</v>
      </c>
      <c r="B318" s="24" t="s">
        <v>1543</v>
      </c>
      <c r="C318" s="24" t="s">
        <v>1539</v>
      </c>
      <c r="D318" s="24" t="s">
        <v>1012</v>
      </c>
      <c r="E318" s="24" t="s">
        <v>1013</v>
      </c>
      <c r="F318" s="24" t="s">
        <v>1014</v>
      </c>
      <c r="G318" s="25">
        <f>VLOOKUP(A318,负载电气特性!A:G,7,FALSE)</f>
        <v>28</v>
      </c>
      <c r="H318" s="26" t="s">
        <v>61</v>
      </c>
      <c r="I318" s="25" t="s">
        <v>1706</v>
      </c>
      <c r="J318" s="25" t="s">
        <v>1707</v>
      </c>
      <c r="K318" s="25">
        <v>0.01</v>
      </c>
      <c r="L318" s="25">
        <v>1</v>
      </c>
      <c r="M318" s="25">
        <v>1</v>
      </c>
      <c r="N318" s="25">
        <v>1</v>
      </c>
      <c r="O318" s="25">
        <v>1</v>
      </c>
      <c r="P318" s="25">
        <v>1</v>
      </c>
      <c r="Q318" s="25">
        <v>1</v>
      </c>
      <c r="R318" s="25">
        <v>1</v>
      </c>
      <c r="S318" s="25">
        <v>1</v>
      </c>
      <c r="T318" s="25">
        <v>1</v>
      </c>
      <c r="U318" s="27">
        <f>_xlfn.LET(_xlpm.maxVal,_xlfn.MAXIFS($K:$K,$A:$A,A318),IF(AND(_xlpm.maxVal=K318,L318&lt;&gt;0),_xlpm.maxVal,""))</f>
        <v>0.01</v>
      </c>
      <c r="V318" s="27">
        <f>_xlfn.LET(_xlpm.maxVal,_xlfn.MAXIFS($K:$K,$A:$A,A318),IF(AND(_xlpm.maxVal=K318,M318&lt;&gt;0),_xlpm.maxVal,""))</f>
        <v>0.01</v>
      </c>
      <c r="W318" s="27">
        <f>_xlfn.LET(_xlpm.maxVal,_xlfn.MAXIFS($K:$K,$A:$A,A318),IF(AND(_xlpm.maxVal=K318,N318&lt;&gt;0),_xlpm.maxVal,""))</f>
        <v>0.01</v>
      </c>
      <c r="X318" s="27">
        <f>_xlfn.LET(_xlpm.maxVal,_xlfn.MAXIFS($K:$K,$A:$A,A318),IF(AND(_xlpm.maxVal=K318,O318&lt;&gt;0),_xlpm.maxVal,""))</f>
        <v>0.01</v>
      </c>
      <c r="Y318" s="27">
        <f>_xlfn.LET(_xlpm.maxVal,_xlfn.MAXIFS($K:$K,$A:$A,A318),IF(AND(_xlpm.maxVal=K318,P318&lt;&gt;0),_xlpm.maxVal,""))</f>
        <v>0.01</v>
      </c>
      <c r="Z318" s="27">
        <f>_xlfn.LET(_xlpm.maxVal,_xlfn.MAXIFS($K:$K,$A:$A,A318),IF(AND(_xlpm.maxVal=K318,Q318&lt;&gt;0),_xlpm.maxVal,""))</f>
        <v>0.01</v>
      </c>
      <c r="AA318" s="27">
        <f>_xlfn.LET(_xlpm.maxVal,_xlfn.MAXIFS($K:$K,$A:$A,A318),IF(AND(_xlpm.maxVal=K318,R318&lt;&gt;0),_xlpm.maxVal,""))</f>
        <v>0.01</v>
      </c>
      <c r="AB318" s="27">
        <f>_xlfn.LET(_xlpm.maxVal,_xlfn.MAXIFS($K:$K,$A:$A,A318),IF(AND(_xlpm.maxVal=K318,S318&lt;&gt;0),_xlpm.maxVal,""))</f>
        <v>0.01</v>
      </c>
      <c r="AC318" s="27">
        <f>_xlfn.LET(_xlpm.maxVal,_xlfn.MAXIFS($K:$K,$A:$A,A318),IF(AND(_xlpm.maxVal=K318,T318&lt;&gt;0),_xlpm.maxVal,""))</f>
        <v>0.01</v>
      </c>
      <c r="AD318" s="27">
        <f>$K318*L318*负载统计!$K$3/60</f>
        <v>0</v>
      </c>
      <c r="AE318" s="27">
        <f>$K318*L318*负载统计!$K$4/60</f>
        <v>0</v>
      </c>
      <c r="AF318" s="27">
        <f>$K318*N318*负载统计!$K$5/60</f>
        <v>0.000166666666666667</v>
      </c>
      <c r="AG318" s="27">
        <f>$K318*O318*负载统计!$K$6/60</f>
        <v>0.0005</v>
      </c>
      <c r="AH318" s="27">
        <f>$K318*P318*负载统计!$K$7/60</f>
        <v>0.00112833333333333</v>
      </c>
      <c r="AI318" s="27">
        <f>$K318*Q318*负载统计!$K$8/60</f>
        <v>0.00726666666666667</v>
      </c>
      <c r="AJ318" s="27">
        <f>$K318*R318*负载统计!$K$9/60</f>
        <v>0.00230833333333333</v>
      </c>
      <c r="AK318" s="27">
        <f>$K318*S318*负载统计!$K$10/60</f>
        <v>8.33333333333333e-5</v>
      </c>
      <c r="AL318" s="27">
        <f>$K318*T318*负载统计!$K$11/60</f>
        <v>0.000666666666666667</v>
      </c>
    </row>
    <row r="319" spans="1:38">
      <c r="A319" s="1">
        <v>146</v>
      </c>
      <c r="B319" s="24" t="s">
        <v>1543</v>
      </c>
      <c r="C319" s="24" t="s">
        <v>1539</v>
      </c>
      <c r="D319" s="24" t="s">
        <v>1012</v>
      </c>
      <c r="E319" s="24" t="s">
        <v>1013</v>
      </c>
      <c r="F319" s="24" t="s">
        <v>1014</v>
      </c>
      <c r="G319" s="25">
        <f>VLOOKUP(A319,负载电气特性!A:G,7,FALSE)</f>
        <v>28</v>
      </c>
      <c r="H319" s="26" t="s">
        <v>61</v>
      </c>
      <c r="I319" s="25" t="s">
        <v>1706</v>
      </c>
      <c r="J319" s="25" t="s">
        <v>1708</v>
      </c>
      <c r="K319" s="25">
        <v>0</v>
      </c>
      <c r="L319" s="25">
        <v>0</v>
      </c>
      <c r="M319" s="25">
        <v>0</v>
      </c>
      <c r="N319" s="25">
        <v>0</v>
      </c>
      <c r="O319" s="25">
        <v>0</v>
      </c>
      <c r="P319" s="25">
        <v>0</v>
      </c>
      <c r="Q319" s="25">
        <v>0</v>
      </c>
      <c r="R319" s="25">
        <v>0</v>
      </c>
      <c r="S319" s="25">
        <v>0</v>
      </c>
      <c r="T319" s="25">
        <v>0</v>
      </c>
      <c r="U319" s="27" t="str">
        <f>_xlfn.LET(_xlpm.maxVal,_xlfn.MAXIFS($K:$K,$A:$A,A319),IF(AND(_xlpm.maxVal=K319,L319&lt;&gt;0),_xlpm.maxVal,""))</f>
        <v/>
      </c>
      <c r="V319" s="27" t="str">
        <f>_xlfn.LET(_xlpm.maxVal,_xlfn.MAXIFS($K:$K,$A:$A,A319),IF(AND(_xlpm.maxVal=K319,M319&lt;&gt;0),_xlpm.maxVal,""))</f>
        <v/>
      </c>
      <c r="W319" s="27" t="str">
        <f>_xlfn.LET(_xlpm.maxVal,_xlfn.MAXIFS($K:$K,$A:$A,A319),IF(AND(_xlpm.maxVal=K319,N319&lt;&gt;0),_xlpm.maxVal,""))</f>
        <v/>
      </c>
      <c r="X319" s="27" t="str">
        <f>_xlfn.LET(_xlpm.maxVal,_xlfn.MAXIFS($K:$K,$A:$A,A319),IF(AND(_xlpm.maxVal=K319,O319&lt;&gt;0),_xlpm.maxVal,""))</f>
        <v/>
      </c>
      <c r="Y319" s="27" t="str">
        <f>_xlfn.LET(_xlpm.maxVal,_xlfn.MAXIFS($K:$K,$A:$A,A319),IF(AND(_xlpm.maxVal=K319,P319&lt;&gt;0),_xlpm.maxVal,""))</f>
        <v/>
      </c>
      <c r="Z319" s="27" t="str">
        <f>_xlfn.LET(_xlpm.maxVal,_xlfn.MAXIFS($K:$K,$A:$A,A319),IF(AND(_xlpm.maxVal=K319,Q319&lt;&gt;0),_xlpm.maxVal,""))</f>
        <v/>
      </c>
      <c r="AA319" s="27" t="str">
        <f>_xlfn.LET(_xlpm.maxVal,_xlfn.MAXIFS($K:$K,$A:$A,A319),IF(AND(_xlpm.maxVal=K319,R319&lt;&gt;0),_xlpm.maxVal,""))</f>
        <v/>
      </c>
      <c r="AB319" s="27" t="str">
        <f>_xlfn.LET(_xlpm.maxVal,_xlfn.MAXIFS($K:$K,$A:$A,A319),IF(AND(_xlpm.maxVal=K319,S319&lt;&gt;0),_xlpm.maxVal,""))</f>
        <v/>
      </c>
      <c r="AC319" s="27" t="str">
        <f>_xlfn.LET(_xlpm.maxVal,_xlfn.MAXIFS($K:$K,$A:$A,A319),IF(AND(_xlpm.maxVal=K319,T319&lt;&gt;0),_xlpm.maxVal,""))</f>
        <v/>
      </c>
      <c r="AD319" s="27">
        <f>$K319*L319*负载统计!$K$3/60</f>
        <v>0</v>
      </c>
      <c r="AE319" s="27">
        <f>$K319*L319*负载统计!$K$4/60</f>
        <v>0</v>
      </c>
      <c r="AF319" s="27">
        <f>$K319*N319*负载统计!$K$5/60</f>
        <v>0</v>
      </c>
      <c r="AG319" s="27">
        <f>$K319*O319*负载统计!$K$6/60</f>
        <v>0</v>
      </c>
      <c r="AH319" s="27">
        <f>$K319*P319*负载统计!$K$7/60</f>
        <v>0</v>
      </c>
      <c r="AI319" s="27">
        <f>$K319*Q319*负载统计!$K$8/60</f>
        <v>0</v>
      </c>
      <c r="AJ319" s="27">
        <f>$K319*R319*负载统计!$K$9/60</f>
        <v>0</v>
      </c>
      <c r="AK319" s="27">
        <f>$K319*S319*负载统计!$K$10/60</f>
        <v>0</v>
      </c>
      <c r="AL319" s="27">
        <f>$K319*T319*负载统计!$K$11/60</f>
        <v>0</v>
      </c>
    </row>
    <row r="320" spans="1:38">
      <c r="A320" s="1">
        <v>147</v>
      </c>
      <c r="B320" s="24" t="s">
        <v>1544</v>
      </c>
      <c r="C320" s="24" t="s">
        <v>1539</v>
      </c>
      <c r="D320" s="24" t="s">
        <v>1015</v>
      </c>
      <c r="E320" s="24" t="s">
        <v>1016</v>
      </c>
      <c r="F320" s="24" t="s">
        <v>1017</v>
      </c>
      <c r="G320" s="25">
        <f>VLOOKUP(A320,负载电气特性!A:G,7,FALSE)</f>
        <v>28</v>
      </c>
      <c r="H320" s="26" t="s">
        <v>61</v>
      </c>
      <c r="I320" s="25" t="s">
        <v>1706</v>
      </c>
      <c r="J320" s="25" t="s">
        <v>1707</v>
      </c>
      <c r="K320" s="25">
        <v>0.006</v>
      </c>
      <c r="L320" s="25">
        <v>1</v>
      </c>
      <c r="M320" s="25">
        <v>1</v>
      </c>
      <c r="N320" s="25">
        <v>1</v>
      </c>
      <c r="O320" s="25">
        <v>1</v>
      </c>
      <c r="P320" s="25">
        <v>1</v>
      </c>
      <c r="Q320" s="25">
        <v>1</v>
      </c>
      <c r="R320" s="25">
        <v>1</v>
      </c>
      <c r="S320" s="25">
        <v>1</v>
      </c>
      <c r="T320" s="25">
        <v>1</v>
      </c>
      <c r="U320" s="27">
        <f>_xlfn.LET(_xlpm.maxVal,_xlfn.MAXIFS($K:$K,$A:$A,A320),IF(AND(_xlpm.maxVal=K320,L320&lt;&gt;0),_xlpm.maxVal,""))</f>
        <v>0.006</v>
      </c>
      <c r="V320" s="27">
        <f>_xlfn.LET(_xlpm.maxVal,_xlfn.MAXIFS($K:$K,$A:$A,A320),IF(AND(_xlpm.maxVal=K320,M320&lt;&gt;0),_xlpm.maxVal,""))</f>
        <v>0.006</v>
      </c>
      <c r="W320" s="27">
        <f>_xlfn.LET(_xlpm.maxVal,_xlfn.MAXIFS($K:$K,$A:$A,A320),IF(AND(_xlpm.maxVal=K320,N320&lt;&gt;0),_xlpm.maxVal,""))</f>
        <v>0.006</v>
      </c>
      <c r="X320" s="27">
        <f>_xlfn.LET(_xlpm.maxVal,_xlfn.MAXIFS($K:$K,$A:$A,A320),IF(AND(_xlpm.maxVal=K320,O320&lt;&gt;0),_xlpm.maxVal,""))</f>
        <v>0.006</v>
      </c>
      <c r="Y320" s="27">
        <f>_xlfn.LET(_xlpm.maxVal,_xlfn.MAXIFS($K:$K,$A:$A,A320),IF(AND(_xlpm.maxVal=K320,P320&lt;&gt;0),_xlpm.maxVal,""))</f>
        <v>0.006</v>
      </c>
      <c r="Z320" s="27">
        <f>_xlfn.LET(_xlpm.maxVal,_xlfn.MAXIFS($K:$K,$A:$A,A320),IF(AND(_xlpm.maxVal=K320,Q320&lt;&gt;0),_xlpm.maxVal,""))</f>
        <v>0.006</v>
      </c>
      <c r="AA320" s="27">
        <f>_xlfn.LET(_xlpm.maxVal,_xlfn.MAXIFS($K:$K,$A:$A,A320),IF(AND(_xlpm.maxVal=K320,R320&lt;&gt;0),_xlpm.maxVal,""))</f>
        <v>0.006</v>
      </c>
      <c r="AB320" s="27">
        <f>_xlfn.LET(_xlpm.maxVal,_xlfn.MAXIFS($K:$K,$A:$A,A320),IF(AND(_xlpm.maxVal=K320,S320&lt;&gt;0),_xlpm.maxVal,""))</f>
        <v>0.006</v>
      </c>
      <c r="AC320" s="27">
        <f>_xlfn.LET(_xlpm.maxVal,_xlfn.MAXIFS($K:$K,$A:$A,A320),IF(AND(_xlpm.maxVal=K320,T320&lt;&gt;0),_xlpm.maxVal,""))</f>
        <v>0.006</v>
      </c>
      <c r="AD320" s="27">
        <f>$K320*L320*负载统计!$K$3/60</f>
        <v>0</v>
      </c>
      <c r="AE320" s="27">
        <f>$K320*L320*负载统计!$K$4/60</f>
        <v>0</v>
      </c>
      <c r="AF320" s="27">
        <f>$K320*N320*负载统计!$K$5/60</f>
        <v>0.0001</v>
      </c>
      <c r="AG320" s="27">
        <f>$K320*O320*负载统计!$K$6/60</f>
        <v>0.0003</v>
      </c>
      <c r="AH320" s="27">
        <f>$K320*P320*负载统计!$K$7/60</f>
        <v>0.000677</v>
      </c>
      <c r="AI320" s="27">
        <f>$K320*Q320*负载统计!$K$8/60</f>
        <v>0.00436</v>
      </c>
      <c r="AJ320" s="27">
        <f>$K320*R320*负载统计!$K$9/60</f>
        <v>0.001385</v>
      </c>
      <c r="AK320" s="27">
        <f>$K320*S320*负载统计!$K$10/60</f>
        <v>5e-5</v>
      </c>
      <c r="AL320" s="27">
        <f>$K320*T320*负载统计!$K$11/60</f>
        <v>0.0004</v>
      </c>
    </row>
    <row r="321" spans="1:38">
      <c r="A321" s="1">
        <v>147</v>
      </c>
      <c r="B321" s="24" t="s">
        <v>1544</v>
      </c>
      <c r="C321" s="24" t="s">
        <v>1539</v>
      </c>
      <c r="D321" s="24" t="s">
        <v>1015</v>
      </c>
      <c r="E321" s="24" t="s">
        <v>1016</v>
      </c>
      <c r="F321" s="24" t="s">
        <v>1017</v>
      </c>
      <c r="G321" s="25">
        <f>VLOOKUP(A321,负载电气特性!A:G,7,FALSE)</f>
        <v>28</v>
      </c>
      <c r="H321" s="26" t="s">
        <v>61</v>
      </c>
      <c r="I321" s="25" t="s">
        <v>1706</v>
      </c>
      <c r="J321" s="25" t="s">
        <v>1708</v>
      </c>
      <c r="K321" s="25">
        <v>0</v>
      </c>
      <c r="L321" s="25">
        <v>0</v>
      </c>
      <c r="M321" s="25">
        <v>0</v>
      </c>
      <c r="N321" s="25">
        <v>0</v>
      </c>
      <c r="O321" s="25">
        <v>0</v>
      </c>
      <c r="P321" s="25">
        <v>0</v>
      </c>
      <c r="Q321" s="25">
        <v>0</v>
      </c>
      <c r="R321" s="25">
        <v>0</v>
      </c>
      <c r="S321" s="25">
        <v>0</v>
      </c>
      <c r="T321" s="25">
        <v>0</v>
      </c>
      <c r="U321" s="27" t="str">
        <f>_xlfn.LET(_xlpm.maxVal,_xlfn.MAXIFS($K:$K,$A:$A,A321),IF(AND(_xlpm.maxVal=K321,L321&lt;&gt;0),_xlpm.maxVal,""))</f>
        <v/>
      </c>
      <c r="V321" s="27" t="str">
        <f>_xlfn.LET(_xlpm.maxVal,_xlfn.MAXIFS($K:$K,$A:$A,A321),IF(AND(_xlpm.maxVal=K321,M321&lt;&gt;0),_xlpm.maxVal,""))</f>
        <v/>
      </c>
      <c r="W321" s="27" t="str">
        <f>_xlfn.LET(_xlpm.maxVal,_xlfn.MAXIFS($K:$K,$A:$A,A321),IF(AND(_xlpm.maxVal=K321,N321&lt;&gt;0),_xlpm.maxVal,""))</f>
        <v/>
      </c>
      <c r="X321" s="27" t="str">
        <f>_xlfn.LET(_xlpm.maxVal,_xlfn.MAXIFS($K:$K,$A:$A,A321),IF(AND(_xlpm.maxVal=K321,O321&lt;&gt;0),_xlpm.maxVal,""))</f>
        <v/>
      </c>
      <c r="Y321" s="27" t="str">
        <f>_xlfn.LET(_xlpm.maxVal,_xlfn.MAXIFS($K:$K,$A:$A,A321),IF(AND(_xlpm.maxVal=K321,P321&lt;&gt;0),_xlpm.maxVal,""))</f>
        <v/>
      </c>
      <c r="Z321" s="27" t="str">
        <f>_xlfn.LET(_xlpm.maxVal,_xlfn.MAXIFS($K:$K,$A:$A,A321),IF(AND(_xlpm.maxVal=K321,Q321&lt;&gt;0),_xlpm.maxVal,""))</f>
        <v/>
      </c>
      <c r="AA321" s="27" t="str">
        <f>_xlfn.LET(_xlpm.maxVal,_xlfn.MAXIFS($K:$K,$A:$A,A321),IF(AND(_xlpm.maxVal=K321,R321&lt;&gt;0),_xlpm.maxVal,""))</f>
        <v/>
      </c>
      <c r="AB321" s="27" t="str">
        <f>_xlfn.LET(_xlpm.maxVal,_xlfn.MAXIFS($K:$K,$A:$A,A321),IF(AND(_xlpm.maxVal=K321,S321&lt;&gt;0),_xlpm.maxVal,""))</f>
        <v/>
      </c>
      <c r="AC321" s="27" t="str">
        <f>_xlfn.LET(_xlpm.maxVal,_xlfn.MAXIFS($K:$K,$A:$A,A321),IF(AND(_xlpm.maxVal=K321,T321&lt;&gt;0),_xlpm.maxVal,""))</f>
        <v/>
      </c>
      <c r="AD321" s="27">
        <f>$K321*L321*负载统计!$K$3/60</f>
        <v>0</v>
      </c>
      <c r="AE321" s="27">
        <f>$K321*L321*负载统计!$K$4/60</f>
        <v>0</v>
      </c>
      <c r="AF321" s="27">
        <f>$K321*N321*负载统计!$K$5/60</f>
        <v>0</v>
      </c>
      <c r="AG321" s="27">
        <f>$K321*O321*负载统计!$K$6/60</f>
        <v>0</v>
      </c>
      <c r="AH321" s="27">
        <f>$K321*P321*负载统计!$K$7/60</f>
        <v>0</v>
      </c>
      <c r="AI321" s="27">
        <f>$K321*Q321*负载统计!$K$8/60</f>
        <v>0</v>
      </c>
      <c r="AJ321" s="27">
        <f>$K321*R321*负载统计!$K$9/60</f>
        <v>0</v>
      </c>
      <c r="AK321" s="27">
        <f>$K321*S321*负载统计!$K$10/60</f>
        <v>0</v>
      </c>
      <c r="AL321" s="27">
        <f>$K321*T321*负载统计!$K$11/60</f>
        <v>0</v>
      </c>
    </row>
    <row r="322" spans="1:38">
      <c r="A322" s="1">
        <v>148</v>
      </c>
      <c r="B322" s="24" t="s">
        <v>1545</v>
      </c>
      <c r="C322" s="24" t="s">
        <v>1539</v>
      </c>
      <c r="D322" s="24" t="s">
        <v>1018</v>
      </c>
      <c r="E322" s="24" t="s">
        <v>1019</v>
      </c>
      <c r="F322" s="24" t="s">
        <v>1020</v>
      </c>
      <c r="G322" s="25">
        <f>VLOOKUP(A322,负载电气特性!A:G,7,FALSE)</f>
        <v>28</v>
      </c>
      <c r="H322" s="26" t="s">
        <v>66</v>
      </c>
      <c r="I322" s="25" t="s">
        <v>1706</v>
      </c>
      <c r="J322" s="25" t="s">
        <v>1707</v>
      </c>
      <c r="K322" s="25">
        <v>0.2</v>
      </c>
      <c r="L322" s="25">
        <v>1</v>
      </c>
      <c r="M322" s="25">
        <v>1</v>
      </c>
      <c r="N322" s="25">
        <v>1</v>
      </c>
      <c r="O322" s="25">
        <v>1</v>
      </c>
      <c r="P322" s="25">
        <v>1</v>
      </c>
      <c r="Q322" s="25">
        <v>1</v>
      </c>
      <c r="R322" s="25">
        <v>1</v>
      </c>
      <c r="S322" s="25">
        <v>1</v>
      </c>
      <c r="T322" s="25">
        <v>1</v>
      </c>
      <c r="U322" s="27">
        <f>_xlfn.LET(_xlpm.maxVal,_xlfn.MAXIFS($K:$K,$A:$A,A322),IF(AND(_xlpm.maxVal=K322,L322&lt;&gt;0),_xlpm.maxVal,""))</f>
        <v>0.2</v>
      </c>
      <c r="V322" s="27">
        <f>_xlfn.LET(_xlpm.maxVal,_xlfn.MAXIFS($K:$K,$A:$A,A322),IF(AND(_xlpm.maxVal=K322,M322&lt;&gt;0),_xlpm.maxVal,""))</f>
        <v>0.2</v>
      </c>
      <c r="W322" s="27">
        <f>_xlfn.LET(_xlpm.maxVal,_xlfn.MAXIFS($K:$K,$A:$A,A322),IF(AND(_xlpm.maxVal=K322,N322&lt;&gt;0),_xlpm.maxVal,""))</f>
        <v>0.2</v>
      </c>
      <c r="X322" s="27">
        <f>_xlfn.LET(_xlpm.maxVal,_xlfn.MAXIFS($K:$K,$A:$A,A322),IF(AND(_xlpm.maxVal=K322,O322&lt;&gt;0),_xlpm.maxVal,""))</f>
        <v>0.2</v>
      </c>
      <c r="Y322" s="27">
        <f>_xlfn.LET(_xlpm.maxVal,_xlfn.MAXIFS($K:$K,$A:$A,A322),IF(AND(_xlpm.maxVal=K322,P322&lt;&gt;0),_xlpm.maxVal,""))</f>
        <v>0.2</v>
      </c>
      <c r="Z322" s="27">
        <f>_xlfn.LET(_xlpm.maxVal,_xlfn.MAXIFS($K:$K,$A:$A,A322),IF(AND(_xlpm.maxVal=K322,Q322&lt;&gt;0),_xlpm.maxVal,""))</f>
        <v>0.2</v>
      </c>
      <c r="AA322" s="27">
        <f>_xlfn.LET(_xlpm.maxVal,_xlfn.MAXIFS($K:$K,$A:$A,A322),IF(AND(_xlpm.maxVal=K322,R322&lt;&gt;0),_xlpm.maxVal,""))</f>
        <v>0.2</v>
      </c>
      <c r="AB322" s="27">
        <f>_xlfn.LET(_xlpm.maxVal,_xlfn.MAXIFS($K:$K,$A:$A,A322),IF(AND(_xlpm.maxVal=K322,S322&lt;&gt;0),_xlpm.maxVal,""))</f>
        <v>0.2</v>
      </c>
      <c r="AC322" s="27">
        <f>_xlfn.LET(_xlpm.maxVal,_xlfn.MAXIFS($K:$K,$A:$A,A322),IF(AND(_xlpm.maxVal=K322,T322&lt;&gt;0),_xlpm.maxVal,""))</f>
        <v>0.2</v>
      </c>
      <c r="AD322" s="27">
        <f>$K322*L322*负载统计!$K$3/60</f>
        <v>0</v>
      </c>
      <c r="AE322" s="27">
        <f>$K322*L322*负载统计!$K$4/60</f>
        <v>0</v>
      </c>
      <c r="AF322" s="27">
        <f>$K322*N322*负载统计!$K$5/60</f>
        <v>0.00333333333333333</v>
      </c>
      <c r="AG322" s="27">
        <f>$K322*O322*负载统计!$K$6/60</f>
        <v>0.01</v>
      </c>
      <c r="AH322" s="27">
        <f>$K322*P322*负载统计!$K$7/60</f>
        <v>0.0225666666666667</v>
      </c>
      <c r="AI322" s="27">
        <f>$K322*Q322*负载统计!$K$8/60</f>
        <v>0.145333333333333</v>
      </c>
      <c r="AJ322" s="27">
        <f>$K322*R322*负载统计!$K$9/60</f>
        <v>0.0461666666666667</v>
      </c>
      <c r="AK322" s="27">
        <f>$K322*S322*负载统计!$K$10/60</f>
        <v>0.00166666666666667</v>
      </c>
      <c r="AL322" s="27">
        <f>$K322*T322*负载统计!$K$11/60</f>
        <v>0.0133333333333333</v>
      </c>
    </row>
    <row r="323" spans="1:38">
      <c r="A323" s="1">
        <v>148</v>
      </c>
      <c r="B323" s="24" t="s">
        <v>1545</v>
      </c>
      <c r="C323" s="24" t="s">
        <v>1539</v>
      </c>
      <c r="D323" s="24" t="s">
        <v>1018</v>
      </c>
      <c r="E323" s="24" t="s">
        <v>1019</v>
      </c>
      <c r="F323" s="24" t="s">
        <v>1020</v>
      </c>
      <c r="G323" s="25">
        <f>VLOOKUP(A323,负载电气特性!A:G,7,FALSE)</f>
        <v>28</v>
      </c>
      <c r="H323" s="26" t="s">
        <v>66</v>
      </c>
      <c r="I323" s="25" t="s">
        <v>1706</v>
      </c>
      <c r="J323" s="25" t="s">
        <v>1708</v>
      </c>
      <c r="K323" s="25">
        <v>0</v>
      </c>
      <c r="L323" s="25">
        <v>0</v>
      </c>
      <c r="M323" s="25">
        <v>0</v>
      </c>
      <c r="N323" s="25">
        <v>0</v>
      </c>
      <c r="O323" s="25">
        <v>0</v>
      </c>
      <c r="P323" s="25">
        <v>0</v>
      </c>
      <c r="Q323" s="25">
        <v>0</v>
      </c>
      <c r="R323" s="25">
        <v>0</v>
      </c>
      <c r="S323" s="25">
        <v>0</v>
      </c>
      <c r="T323" s="25">
        <v>0</v>
      </c>
      <c r="U323" s="27" t="str">
        <f>_xlfn.LET(_xlpm.maxVal,_xlfn.MAXIFS($K:$K,$A:$A,A323),IF(AND(_xlpm.maxVal=K323,L323&lt;&gt;0),_xlpm.maxVal,""))</f>
        <v/>
      </c>
      <c r="V323" s="27" t="str">
        <f>_xlfn.LET(_xlpm.maxVal,_xlfn.MAXIFS($K:$K,$A:$A,A323),IF(AND(_xlpm.maxVal=K323,M323&lt;&gt;0),_xlpm.maxVal,""))</f>
        <v/>
      </c>
      <c r="W323" s="27" t="str">
        <f>_xlfn.LET(_xlpm.maxVal,_xlfn.MAXIFS($K:$K,$A:$A,A323),IF(AND(_xlpm.maxVal=K323,N323&lt;&gt;0),_xlpm.maxVal,""))</f>
        <v/>
      </c>
      <c r="X323" s="27" t="str">
        <f>_xlfn.LET(_xlpm.maxVal,_xlfn.MAXIFS($K:$K,$A:$A,A323),IF(AND(_xlpm.maxVal=K323,O323&lt;&gt;0),_xlpm.maxVal,""))</f>
        <v/>
      </c>
      <c r="Y323" s="27" t="str">
        <f>_xlfn.LET(_xlpm.maxVal,_xlfn.MAXIFS($K:$K,$A:$A,A323),IF(AND(_xlpm.maxVal=K323,P323&lt;&gt;0),_xlpm.maxVal,""))</f>
        <v/>
      </c>
      <c r="Z323" s="27" t="str">
        <f>_xlfn.LET(_xlpm.maxVal,_xlfn.MAXIFS($K:$K,$A:$A,A323),IF(AND(_xlpm.maxVal=K323,Q323&lt;&gt;0),_xlpm.maxVal,""))</f>
        <v/>
      </c>
      <c r="AA323" s="27" t="str">
        <f>_xlfn.LET(_xlpm.maxVal,_xlfn.MAXIFS($K:$K,$A:$A,A323),IF(AND(_xlpm.maxVal=K323,R323&lt;&gt;0),_xlpm.maxVal,""))</f>
        <v/>
      </c>
      <c r="AB323" s="27" t="str">
        <f>_xlfn.LET(_xlpm.maxVal,_xlfn.MAXIFS($K:$K,$A:$A,A323),IF(AND(_xlpm.maxVal=K323,S323&lt;&gt;0),_xlpm.maxVal,""))</f>
        <v/>
      </c>
      <c r="AC323" s="27" t="str">
        <f>_xlfn.LET(_xlpm.maxVal,_xlfn.MAXIFS($K:$K,$A:$A,A323),IF(AND(_xlpm.maxVal=K323,T323&lt;&gt;0),_xlpm.maxVal,""))</f>
        <v/>
      </c>
      <c r="AD323" s="27">
        <f>$K323*L323*负载统计!$K$3/60</f>
        <v>0</v>
      </c>
      <c r="AE323" s="27">
        <f>$K323*L323*负载统计!$K$4/60</f>
        <v>0</v>
      </c>
      <c r="AF323" s="27">
        <f>$K323*N323*负载统计!$K$5/60</f>
        <v>0</v>
      </c>
      <c r="AG323" s="27">
        <f>$K323*O323*负载统计!$K$6/60</f>
        <v>0</v>
      </c>
      <c r="AH323" s="27">
        <f>$K323*P323*负载统计!$K$7/60</f>
        <v>0</v>
      </c>
      <c r="AI323" s="27">
        <f>$K323*Q323*负载统计!$K$8/60</f>
        <v>0</v>
      </c>
      <c r="AJ323" s="27">
        <f>$K323*R323*负载统计!$K$9/60</f>
        <v>0</v>
      </c>
      <c r="AK323" s="27">
        <f>$K323*S323*负载统计!$K$10/60</f>
        <v>0</v>
      </c>
      <c r="AL323" s="27">
        <f>$K323*T323*负载统计!$K$11/60</f>
        <v>0</v>
      </c>
    </row>
    <row r="324" spans="1:38">
      <c r="A324" s="1">
        <v>149</v>
      </c>
      <c r="B324" s="24" t="s">
        <v>1546</v>
      </c>
      <c r="C324" s="24" t="s">
        <v>1539</v>
      </c>
      <c r="D324" s="24" t="s">
        <v>1021</v>
      </c>
      <c r="E324" s="24" t="s">
        <v>1022</v>
      </c>
      <c r="F324" s="24" t="s">
        <v>1023</v>
      </c>
      <c r="G324" s="25">
        <f>VLOOKUP(A324,负载电气特性!A:G,7,FALSE)</f>
        <v>28</v>
      </c>
      <c r="H324" s="26" t="s">
        <v>61</v>
      </c>
      <c r="I324" s="25" t="s">
        <v>1706</v>
      </c>
      <c r="J324" s="25" t="s">
        <v>1707</v>
      </c>
      <c r="K324" s="25">
        <v>0.02</v>
      </c>
      <c r="L324" s="25">
        <v>1</v>
      </c>
      <c r="M324" s="25">
        <v>1</v>
      </c>
      <c r="N324" s="25">
        <v>1</v>
      </c>
      <c r="O324" s="25">
        <v>1</v>
      </c>
      <c r="P324" s="25">
        <v>1</v>
      </c>
      <c r="Q324" s="25">
        <v>1</v>
      </c>
      <c r="R324" s="25">
        <v>1</v>
      </c>
      <c r="S324" s="25">
        <v>1</v>
      </c>
      <c r="T324" s="25">
        <v>1</v>
      </c>
      <c r="U324" s="27">
        <f>_xlfn.LET(_xlpm.maxVal,_xlfn.MAXIFS($K:$K,$A:$A,A324),IF(AND(_xlpm.maxVal=K324,L324&lt;&gt;0),_xlpm.maxVal,""))</f>
        <v>0.02</v>
      </c>
      <c r="V324" s="27">
        <f>_xlfn.LET(_xlpm.maxVal,_xlfn.MAXIFS($K:$K,$A:$A,A324),IF(AND(_xlpm.maxVal=K324,M324&lt;&gt;0),_xlpm.maxVal,""))</f>
        <v>0.02</v>
      </c>
      <c r="W324" s="27">
        <f>_xlfn.LET(_xlpm.maxVal,_xlfn.MAXIFS($K:$K,$A:$A,A324),IF(AND(_xlpm.maxVal=K324,N324&lt;&gt;0),_xlpm.maxVal,""))</f>
        <v>0.02</v>
      </c>
      <c r="X324" s="27">
        <f>_xlfn.LET(_xlpm.maxVal,_xlfn.MAXIFS($K:$K,$A:$A,A324),IF(AND(_xlpm.maxVal=K324,O324&lt;&gt;0),_xlpm.maxVal,""))</f>
        <v>0.02</v>
      </c>
      <c r="Y324" s="27">
        <f>_xlfn.LET(_xlpm.maxVal,_xlfn.MAXIFS($K:$K,$A:$A,A324),IF(AND(_xlpm.maxVal=K324,P324&lt;&gt;0),_xlpm.maxVal,""))</f>
        <v>0.02</v>
      </c>
      <c r="Z324" s="27">
        <f>_xlfn.LET(_xlpm.maxVal,_xlfn.MAXIFS($K:$K,$A:$A,A324),IF(AND(_xlpm.maxVal=K324,Q324&lt;&gt;0),_xlpm.maxVal,""))</f>
        <v>0.02</v>
      </c>
      <c r="AA324" s="27">
        <f>_xlfn.LET(_xlpm.maxVal,_xlfn.MAXIFS($K:$K,$A:$A,A324),IF(AND(_xlpm.maxVal=K324,R324&lt;&gt;0),_xlpm.maxVal,""))</f>
        <v>0.02</v>
      </c>
      <c r="AB324" s="27">
        <f>_xlfn.LET(_xlpm.maxVal,_xlfn.MAXIFS($K:$K,$A:$A,A324),IF(AND(_xlpm.maxVal=K324,S324&lt;&gt;0),_xlpm.maxVal,""))</f>
        <v>0.02</v>
      </c>
      <c r="AC324" s="27">
        <f>_xlfn.LET(_xlpm.maxVal,_xlfn.MAXIFS($K:$K,$A:$A,A324),IF(AND(_xlpm.maxVal=K324,T324&lt;&gt;0),_xlpm.maxVal,""))</f>
        <v>0.02</v>
      </c>
      <c r="AD324" s="27">
        <f>$K324*L324*负载统计!$K$3/60</f>
        <v>0</v>
      </c>
      <c r="AE324" s="27">
        <f>$K324*L324*负载统计!$K$4/60</f>
        <v>0</v>
      </c>
      <c r="AF324" s="27">
        <f>$K324*N324*负载统计!$K$5/60</f>
        <v>0.000333333333333333</v>
      </c>
      <c r="AG324" s="27">
        <f>$K324*O324*负载统计!$K$6/60</f>
        <v>0.001</v>
      </c>
      <c r="AH324" s="27">
        <f>$K324*P324*负载统计!$K$7/60</f>
        <v>0.00225666666666667</v>
      </c>
      <c r="AI324" s="27">
        <f>$K324*Q324*负载统计!$K$8/60</f>
        <v>0.0145333333333333</v>
      </c>
      <c r="AJ324" s="27">
        <f>$K324*R324*负载统计!$K$9/60</f>
        <v>0.00461666666666667</v>
      </c>
      <c r="AK324" s="27">
        <f>$K324*S324*负载统计!$K$10/60</f>
        <v>0.000166666666666667</v>
      </c>
      <c r="AL324" s="27">
        <f>$K324*T324*负载统计!$K$11/60</f>
        <v>0.00133333333333333</v>
      </c>
    </row>
    <row r="325" spans="1:38">
      <c r="A325" s="1">
        <v>149</v>
      </c>
      <c r="B325" s="24" t="s">
        <v>1546</v>
      </c>
      <c r="C325" s="24" t="s">
        <v>1539</v>
      </c>
      <c r="D325" s="24" t="s">
        <v>1021</v>
      </c>
      <c r="E325" s="24" t="s">
        <v>1022</v>
      </c>
      <c r="F325" s="24" t="s">
        <v>1023</v>
      </c>
      <c r="G325" s="25">
        <f>VLOOKUP(A325,负载电气特性!A:G,7,FALSE)</f>
        <v>28</v>
      </c>
      <c r="H325" s="26" t="s">
        <v>61</v>
      </c>
      <c r="I325" s="25" t="s">
        <v>1706</v>
      </c>
      <c r="J325" s="25" t="s">
        <v>1708</v>
      </c>
      <c r="K325" s="25">
        <v>0</v>
      </c>
      <c r="L325" s="25">
        <v>0</v>
      </c>
      <c r="M325" s="25">
        <v>0</v>
      </c>
      <c r="N325" s="25">
        <v>0</v>
      </c>
      <c r="O325" s="25">
        <v>0</v>
      </c>
      <c r="P325" s="25">
        <v>0</v>
      </c>
      <c r="Q325" s="25">
        <v>0</v>
      </c>
      <c r="R325" s="25">
        <v>0</v>
      </c>
      <c r="S325" s="25">
        <v>0</v>
      </c>
      <c r="T325" s="25">
        <v>0</v>
      </c>
      <c r="U325" s="27" t="str">
        <f>_xlfn.LET(_xlpm.maxVal,_xlfn.MAXIFS($K:$K,$A:$A,A325),IF(AND(_xlpm.maxVal=K325,L325&lt;&gt;0),_xlpm.maxVal,""))</f>
        <v/>
      </c>
      <c r="V325" s="27" t="str">
        <f>_xlfn.LET(_xlpm.maxVal,_xlfn.MAXIFS($K:$K,$A:$A,A325),IF(AND(_xlpm.maxVal=K325,M325&lt;&gt;0),_xlpm.maxVal,""))</f>
        <v/>
      </c>
      <c r="W325" s="27" t="str">
        <f>_xlfn.LET(_xlpm.maxVal,_xlfn.MAXIFS($K:$K,$A:$A,A325),IF(AND(_xlpm.maxVal=K325,N325&lt;&gt;0),_xlpm.maxVal,""))</f>
        <v/>
      </c>
      <c r="X325" s="27" t="str">
        <f>_xlfn.LET(_xlpm.maxVal,_xlfn.MAXIFS($K:$K,$A:$A,A325),IF(AND(_xlpm.maxVal=K325,O325&lt;&gt;0),_xlpm.maxVal,""))</f>
        <v/>
      </c>
      <c r="Y325" s="27" t="str">
        <f>_xlfn.LET(_xlpm.maxVal,_xlfn.MAXIFS($K:$K,$A:$A,A325),IF(AND(_xlpm.maxVal=K325,P325&lt;&gt;0),_xlpm.maxVal,""))</f>
        <v/>
      </c>
      <c r="Z325" s="27" t="str">
        <f>_xlfn.LET(_xlpm.maxVal,_xlfn.MAXIFS($K:$K,$A:$A,A325),IF(AND(_xlpm.maxVal=K325,Q325&lt;&gt;0),_xlpm.maxVal,""))</f>
        <v/>
      </c>
      <c r="AA325" s="27" t="str">
        <f>_xlfn.LET(_xlpm.maxVal,_xlfn.MAXIFS($K:$K,$A:$A,A325),IF(AND(_xlpm.maxVal=K325,R325&lt;&gt;0),_xlpm.maxVal,""))</f>
        <v/>
      </c>
      <c r="AB325" s="27" t="str">
        <f>_xlfn.LET(_xlpm.maxVal,_xlfn.MAXIFS($K:$K,$A:$A,A325),IF(AND(_xlpm.maxVal=K325,S325&lt;&gt;0),_xlpm.maxVal,""))</f>
        <v/>
      </c>
      <c r="AC325" s="27" t="str">
        <f>_xlfn.LET(_xlpm.maxVal,_xlfn.MAXIFS($K:$K,$A:$A,A325),IF(AND(_xlpm.maxVal=K325,T325&lt;&gt;0),_xlpm.maxVal,""))</f>
        <v/>
      </c>
      <c r="AD325" s="27">
        <f>$K325*L325*负载统计!$K$3/60</f>
        <v>0</v>
      </c>
      <c r="AE325" s="27">
        <f>$K325*L325*负载统计!$K$4/60</f>
        <v>0</v>
      </c>
      <c r="AF325" s="27">
        <f>$K325*N325*负载统计!$K$5/60</f>
        <v>0</v>
      </c>
      <c r="AG325" s="27">
        <f>$K325*O325*负载统计!$K$6/60</f>
        <v>0</v>
      </c>
      <c r="AH325" s="27">
        <f>$K325*P325*负载统计!$K$7/60</f>
        <v>0</v>
      </c>
      <c r="AI325" s="27">
        <f>$K325*Q325*负载统计!$K$8/60</f>
        <v>0</v>
      </c>
      <c r="AJ325" s="27">
        <f>$K325*R325*负载统计!$K$9/60</f>
        <v>0</v>
      </c>
      <c r="AK325" s="27">
        <f>$K325*S325*负载统计!$K$10/60</f>
        <v>0</v>
      </c>
      <c r="AL325" s="27">
        <f>$K325*T325*负载统计!$K$11/60</f>
        <v>0</v>
      </c>
    </row>
    <row r="326" spans="1:38">
      <c r="A326" s="1">
        <v>150</v>
      </c>
      <c r="B326" s="24" t="s">
        <v>1547</v>
      </c>
      <c r="C326" s="24" t="s">
        <v>1539</v>
      </c>
      <c r="D326" s="24" t="s">
        <v>1029</v>
      </c>
      <c r="E326" s="24" t="s">
        <v>1030</v>
      </c>
      <c r="F326" s="24" t="s">
        <v>1031</v>
      </c>
      <c r="G326" s="25">
        <f>VLOOKUP(A326,负载电气特性!A:G,7,FALSE)</f>
        <v>28</v>
      </c>
      <c r="H326" s="26" t="s">
        <v>61</v>
      </c>
      <c r="I326" s="25" t="s">
        <v>1706</v>
      </c>
      <c r="J326" s="25" t="s">
        <v>1707</v>
      </c>
      <c r="K326" s="25">
        <v>0.01</v>
      </c>
      <c r="L326" s="25">
        <v>1</v>
      </c>
      <c r="M326" s="25">
        <v>1</v>
      </c>
      <c r="N326" s="25">
        <v>1</v>
      </c>
      <c r="O326" s="25">
        <v>1</v>
      </c>
      <c r="P326" s="25">
        <v>1</v>
      </c>
      <c r="Q326" s="25">
        <v>1</v>
      </c>
      <c r="R326" s="25">
        <v>1</v>
      </c>
      <c r="S326" s="25">
        <v>1</v>
      </c>
      <c r="T326" s="25">
        <v>1</v>
      </c>
      <c r="U326" s="27">
        <f>_xlfn.LET(_xlpm.maxVal,_xlfn.MAXIFS($K:$K,$A:$A,A326),IF(AND(_xlpm.maxVal=K326,L326&lt;&gt;0),_xlpm.maxVal,""))</f>
        <v>0.01</v>
      </c>
      <c r="V326" s="27">
        <f>_xlfn.LET(_xlpm.maxVal,_xlfn.MAXIFS($K:$K,$A:$A,A326),IF(AND(_xlpm.maxVal=K326,M326&lt;&gt;0),_xlpm.maxVal,""))</f>
        <v>0.01</v>
      </c>
      <c r="W326" s="27">
        <f>_xlfn.LET(_xlpm.maxVal,_xlfn.MAXIFS($K:$K,$A:$A,A326),IF(AND(_xlpm.maxVal=K326,N326&lt;&gt;0),_xlpm.maxVal,""))</f>
        <v>0.01</v>
      </c>
      <c r="X326" s="27">
        <f>_xlfn.LET(_xlpm.maxVal,_xlfn.MAXIFS($K:$K,$A:$A,A326),IF(AND(_xlpm.maxVal=K326,O326&lt;&gt;0),_xlpm.maxVal,""))</f>
        <v>0.01</v>
      </c>
      <c r="Y326" s="27">
        <f>_xlfn.LET(_xlpm.maxVal,_xlfn.MAXIFS($K:$K,$A:$A,A326),IF(AND(_xlpm.maxVal=K326,P326&lt;&gt;0),_xlpm.maxVal,""))</f>
        <v>0.01</v>
      </c>
      <c r="Z326" s="27">
        <f>_xlfn.LET(_xlpm.maxVal,_xlfn.MAXIFS($K:$K,$A:$A,A326),IF(AND(_xlpm.maxVal=K326,Q326&lt;&gt;0),_xlpm.maxVal,""))</f>
        <v>0.01</v>
      </c>
      <c r="AA326" s="27">
        <f>_xlfn.LET(_xlpm.maxVal,_xlfn.MAXIFS($K:$K,$A:$A,A326),IF(AND(_xlpm.maxVal=K326,R326&lt;&gt;0),_xlpm.maxVal,""))</f>
        <v>0.01</v>
      </c>
      <c r="AB326" s="27">
        <f>_xlfn.LET(_xlpm.maxVal,_xlfn.MAXIFS($K:$K,$A:$A,A326),IF(AND(_xlpm.maxVal=K326,S326&lt;&gt;0),_xlpm.maxVal,""))</f>
        <v>0.01</v>
      </c>
      <c r="AC326" s="27">
        <f>_xlfn.LET(_xlpm.maxVal,_xlfn.MAXIFS($K:$K,$A:$A,A326),IF(AND(_xlpm.maxVal=K326,T326&lt;&gt;0),_xlpm.maxVal,""))</f>
        <v>0.01</v>
      </c>
      <c r="AD326" s="27">
        <f>$K326*L326*负载统计!$K$3/60</f>
        <v>0</v>
      </c>
      <c r="AE326" s="27">
        <f>$K326*L326*负载统计!$K$4/60</f>
        <v>0</v>
      </c>
      <c r="AF326" s="27">
        <f>$K326*N326*负载统计!$K$5/60</f>
        <v>0.000166666666666667</v>
      </c>
      <c r="AG326" s="27">
        <f>$K326*O326*负载统计!$K$6/60</f>
        <v>0.0005</v>
      </c>
      <c r="AH326" s="27">
        <f>$K326*P326*负载统计!$K$7/60</f>
        <v>0.00112833333333333</v>
      </c>
      <c r="AI326" s="27">
        <f>$K326*Q326*负载统计!$K$8/60</f>
        <v>0.00726666666666667</v>
      </c>
      <c r="AJ326" s="27">
        <f>$K326*R326*负载统计!$K$9/60</f>
        <v>0.00230833333333333</v>
      </c>
      <c r="AK326" s="27">
        <f>$K326*S326*负载统计!$K$10/60</f>
        <v>8.33333333333333e-5</v>
      </c>
      <c r="AL326" s="27">
        <f>$K326*T326*负载统计!$K$11/60</f>
        <v>0.000666666666666667</v>
      </c>
    </row>
    <row r="327" spans="1:38">
      <c r="A327" s="1">
        <v>150</v>
      </c>
      <c r="B327" s="24" t="s">
        <v>1547</v>
      </c>
      <c r="C327" s="24" t="s">
        <v>1539</v>
      </c>
      <c r="D327" s="24" t="s">
        <v>1029</v>
      </c>
      <c r="E327" s="24" t="s">
        <v>1030</v>
      </c>
      <c r="F327" s="24" t="s">
        <v>1031</v>
      </c>
      <c r="G327" s="25">
        <f>VLOOKUP(A327,负载电气特性!A:G,7,FALSE)</f>
        <v>28</v>
      </c>
      <c r="H327" s="26" t="s">
        <v>61</v>
      </c>
      <c r="I327" s="25" t="s">
        <v>1706</v>
      </c>
      <c r="J327" s="25" t="s">
        <v>1708</v>
      </c>
      <c r="K327" s="25">
        <v>0</v>
      </c>
      <c r="L327" s="25">
        <v>0</v>
      </c>
      <c r="M327" s="25">
        <v>0</v>
      </c>
      <c r="N327" s="25">
        <v>0</v>
      </c>
      <c r="O327" s="25">
        <v>0</v>
      </c>
      <c r="P327" s="25">
        <v>0</v>
      </c>
      <c r="Q327" s="25">
        <v>0</v>
      </c>
      <c r="R327" s="25">
        <v>0</v>
      </c>
      <c r="S327" s="25">
        <v>0</v>
      </c>
      <c r="T327" s="25">
        <v>0</v>
      </c>
      <c r="U327" s="27" t="str">
        <f>_xlfn.LET(_xlpm.maxVal,_xlfn.MAXIFS($K:$K,$A:$A,A327),IF(AND(_xlpm.maxVal=K327,L327&lt;&gt;0),_xlpm.maxVal,""))</f>
        <v/>
      </c>
      <c r="V327" s="27" t="str">
        <f>_xlfn.LET(_xlpm.maxVal,_xlfn.MAXIFS($K:$K,$A:$A,A327),IF(AND(_xlpm.maxVal=K327,M327&lt;&gt;0),_xlpm.maxVal,""))</f>
        <v/>
      </c>
      <c r="W327" s="27" t="str">
        <f>_xlfn.LET(_xlpm.maxVal,_xlfn.MAXIFS($K:$K,$A:$A,A327),IF(AND(_xlpm.maxVal=K327,N327&lt;&gt;0),_xlpm.maxVal,""))</f>
        <v/>
      </c>
      <c r="X327" s="27" t="str">
        <f>_xlfn.LET(_xlpm.maxVal,_xlfn.MAXIFS($K:$K,$A:$A,A327),IF(AND(_xlpm.maxVal=K327,O327&lt;&gt;0),_xlpm.maxVal,""))</f>
        <v/>
      </c>
      <c r="Y327" s="27" t="str">
        <f>_xlfn.LET(_xlpm.maxVal,_xlfn.MAXIFS($K:$K,$A:$A,A327),IF(AND(_xlpm.maxVal=K327,P327&lt;&gt;0),_xlpm.maxVal,""))</f>
        <v/>
      </c>
      <c r="Z327" s="27" t="str">
        <f>_xlfn.LET(_xlpm.maxVal,_xlfn.MAXIFS($K:$K,$A:$A,A327),IF(AND(_xlpm.maxVal=K327,Q327&lt;&gt;0),_xlpm.maxVal,""))</f>
        <v/>
      </c>
      <c r="AA327" s="27" t="str">
        <f>_xlfn.LET(_xlpm.maxVal,_xlfn.MAXIFS($K:$K,$A:$A,A327),IF(AND(_xlpm.maxVal=K327,R327&lt;&gt;0),_xlpm.maxVal,""))</f>
        <v/>
      </c>
      <c r="AB327" s="27" t="str">
        <f>_xlfn.LET(_xlpm.maxVal,_xlfn.MAXIFS($K:$K,$A:$A,A327),IF(AND(_xlpm.maxVal=K327,S327&lt;&gt;0),_xlpm.maxVal,""))</f>
        <v/>
      </c>
      <c r="AC327" s="27" t="str">
        <f>_xlfn.LET(_xlpm.maxVal,_xlfn.MAXIFS($K:$K,$A:$A,A327),IF(AND(_xlpm.maxVal=K327,T327&lt;&gt;0),_xlpm.maxVal,""))</f>
        <v/>
      </c>
      <c r="AD327" s="27">
        <f>$K327*L327*负载统计!$K$3/60</f>
        <v>0</v>
      </c>
      <c r="AE327" s="27">
        <f>$K327*L327*负载统计!$K$4/60</f>
        <v>0</v>
      </c>
      <c r="AF327" s="27">
        <f>$K327*N327*负载统计!$K$5/60</f>
        <v>0</v>
      </c>
      <c r="AG327" s="27">
        <f>$K327*O327*负载统计!$K$6/60</f>
        <v>0</v>
      </c>
      <c r="AH327" s="27">
        <f>$K327*P327*负载统计!$K$7/60</f>
        <v>0</v>
      </c>
      <c r="AI327" s="27">
        <f>$K327*Q327*负载统计!$K$8/60</f>
        <v>0</v>
      </c>
      <c r="AJ327" s="27">
        <f>$K327*R327*负载统计!$K$9/60</f>
        <v>0</v>
      </c>
      <c r="AK327" s="27">
        <f>$K327*S327*负载统计!$K$10/60</f>
        <v>0</v>
      </c>
      <c r="AL327" s="27">
        <f>$K327*T327*负载统计!$K$11/60</f>
        <v>0</v>
      </c>
    </row>
    <row r="328" spans="1:38">
      <c r="A328" s="1">
        <v>151</v>
      </c>
      <c r="B328" s="24" t="s">
        <v>1548</v>
      </c>
      <c r="C328" s="24" t="s">
        <v>1539</v>
      </c>
      <c r="D328" s="24" t="s">
        <v>1032</v>
      </c>
      <c r="E328" s="24" t="s">
        <v>1033</v>
      </c>
      <c r="F328" s="24" t="s">
        <v>1034</v>
      </c>
      <c r="G328" s="25">
        <f>VLOOKUP(A328,负载电气特性!A:G,7,FALSE)</f>
        <v>28</v>
      </c>
      <c r="H328" s="26" t="s">
        <v>61</v>
      </c>
      <c r="I328" s="25" t="s">
        <v>1706</v>
      </c>
      <c r="J328" s="25" t="s">
        <v>1707</v>
      </c>
      <c r="K328" s="25">
        <v>0.01</v>
      </c>
      <c r="L328" s="25">
        <v>1</v>
      </c>
      <c r="M328" s="25">
        <v>1</v>
      </c>
      <c r="N328" s="25">
        <v>1</v>
      </c>
      <c r="O328" s="25">
        <v>1</v>
      </c>
      <c r="P328" s="25">
        <v>1</v>
      </c>
      <c r="Q328" s="25">
        <v>1</v>
      </c>
      <c r="R328" s="25">
        <v>1</v>
      </c>
      <c r="S328" s="25">
        <v>1</v>
      </c>
      <c r="T328" s="25">
        <v>1</v>
      </c>
      <c r="U328" s="27">
        <f>_xlfn.LET(_xlpm.maxVal,_xlfn.MAXIFS($K:$K,$A:$A,A328),IF(AND(_xlpm.maxVal=K328,L328&lt;&gt;0),_xlpm.maxVal,""))</f>
        <v>0.01</v>
      </c>
      <c r="V328" s="27">
        <f>_xlfn.LET(_xlpm.maxVal,_xlfn.MAXIFS($K:$K,$A:$A,A328),IF(AND(_xlpm.maxVal=K328,M328&lt;&gt;0),_xlpm.maxVal,""))</f>
        <v>0.01</v>
      </c>
      <c r="W328" s="27">
        <f>_xlfn.LET(_xlpm.maxVal,_xlfn.MAXIFS($K:$K,$A:$A,A328),IF(AND(_xlpm.maxVal=K328,N328&lt;&gt;0),_xlpm.maxVal,""))</f>
        <v>0.01</v>
      </c>
      <c r="X328" s="27">
        <f>_xlfn.LET(_xlpm.maxVal,_xlfn.MAXIFS($K:$K,$A:$A,A328),IF(AND(_xlpm.maxVal=K328,O328&lt;&gt;0),_xlpm.maxVal,""))</f>
        <v>0.01</v>
      </c>
      <c r="Y328" s="27">
        <f>_xlfn.LET(_xlpm.maxVal,_xlfn.MAXIFS($K:$K,$A:$A,A328),IF(AND(_xlpm.maxVal=K328,P328&lt;&gt;0),_xlpm.maxVal,""))</f>
        <v>0.01</v>
      </c>
      <c r="Z328" s="27">
        <f>_xlfn.LET(_xlpm.maxVal,_xlfn.MAXIFS($K:$K,$A:$A,A328),IF(AND(_xlpm.maxVal=K328,Q328&lt;&gt;0),_xlpm.maxVal,""))</f>
        <v>0.01</v>
      </c>
      <c r="AA328" s="27">
        <f>_xlfn.LET(_xlpm.maxVal,_xlfn.MAXIFS($K:$K,$A:$A,A328),IF(AND(_xlpm.maxVal=K328,R328&lt;&gt;0),_xlpm.maxVal,""))</f>
        <v>0.01</v>
      </c>
      <c r="AB328" s="27">
        <f>_xlfn.LET(_xlpm.maxVal,_xlfn.MAXIFS($K:$K,$A:$A,A328),IF(AND(_xlpm.maxVal=K328,S328&lt;&gt;0),_xlpm.maxVal,""))</f>
        <v>0.01</v>
      </c>
      <c r="AC328" s="27">
        <f>_xlfn.LET(_xlpm.maxVal,_xlfn.MAXIFS($K:$K,$A:$A,A328),IF(AND(_xlpm.maxVal=K328,T328&lt;&gt;0),_xlpm.maxVal,""))</f>
        <v>0.01</v>
      </c>
      <c r="AD328" s="27">
        <f>$K328*L328*负载统计!$K$3/60</f>
        <v>0</v>
      </c>
      <c r="AE328" s="27">
        <f>$K328*L328*负载统计!$K$4/60</f>
        <v>0</v>
      </c>
      <c r="AF328" s="27">
        <f>$K328*N328*负载统计!$K$5/60</f>
        <v>0.000166666666666667</v>
      </c>
      <c r="AG328" s="27">
        <f>$K328*O328*负载统计!$K$6/60</f>
        <v>0.0005</v>
      </c>
      <c r="AH328" s="27">
        <f>$K328*P328*负载统计!$K$7/60</f>
        <v>0.00112833333333333</v>
      </c>
      <c r="AI328" s="27">
        <f>$K328*Q328*负载统计!$K$8/60</f>
        <v>0.00726666666666667</v>
      </c>
      <c r="AJ328" s="27">
        <f>$K328*R328*负载统计!$K$9/60</f>
        <v>0.00230833333333333</v>
      </c>
      <c r="AK328" s="27">
        <f>$K328*S328*负载统计!$K$10/60</f>
        <v>8.33333333333333e-5</v>
      </c>
      <c r="AL328" s="27">
        <f>$K328*T328*负载统计!$K$11/60</f>
        <v>0.000666666666666667</v>
      </c>
    </row>
    <row r="329" spans="1:38">
      <c r="A329" s="1">
        <v>151</v>
      </c>
      <c r="B329" s="24" t="s">
        <v>1548</v>
      </c>
      <c r="C329" s="24" t="s">
        <v>1539</v>
      </c>
      <c r="D329" s="24" t="s">
        <v>1032</v>
      </c>
      <c r="E329" s="24" t="s">
        <v>1033</v>
      </c>
      <c r="F329" s="24" t="s">
        <v>1034</v>
      </c>
      <c r="G329" s="25">
        <f>VLOOKUP(A329,负载电气特性!A:G,7,FALSE)</f>
        <v>28</v>
      </c>
      <c r="H329" s="26" t="s">
        <v>61</v>
      </c>
      <c r="I329" s="25" t="s">
        <v>1706</v>
      </c>
      <c r="J329" s="25" t="s">
        <v>1708</v>
      </c>
      <c r="K329" s="25">
        <v>0</v>
      </c>
      <c r="L329" s="25">
        <v>0</v>
      </c>
      <c r="M329" s="25">
        <v>0</v>
      </c>
      <c r="N329" s="25">
        <v>0</v>
      </c>
      <c r="O329" s="25">
        <v>0</v>
      </c>
      <c r="P329" s="25">
        <v>0</v>
      </c>
      <c r="Q329" s="25">
        <v>0</v>
      </c>
      <c r="R329" s="25">
        <v>0</v>
      </c>
      <c r="S329" s="25">
        <v>0</v>
      </c>
      <c r="T329" s="25">
        <v>0</v>
      </c>
      <c r="U329" s="27" t="str">
        <f>_xlfn.LET(_xlpm.maxVal,_xlfn.MAXIFS($K:$K,$A:$A,A329),IF(AND(_xlpm.maxVal=K329,L329&lt;&gt;0),_xlpm.maxVal,""))</f>
        <v/>
      </c>
      <c r="V329" s="27" t="str">
        <f>_xlfn.LET(_xlpm.maxVal,_xlfn.MAXIFS($K:$K,$A:$A,A329),IF(AND(_xlpm.maxVal=K329,M329&lt;&gt;0),_xlpm.maxVal,""))</f>
        <v/>
      </c>
      <c r="W329" s="27" t="str">
        <f>_xlfn.LET(_xlpm.maxVal,_xlfn.MAXIFS($K:$K,$A:$A,A329),IF(AND(_xlpm.maxVal=K329,N329&lt;&gt;0),_xlpm.maxVal,""))</f>
        <v/>
      </c>
      <c r="X329" s="27" t="str">
        <f>_xlfn.LET(_xlpm.maxVal,_xlfn.MAXIFS($K:$K,$A:$A,A329),IF(AND(_xlpm.maxVal=K329,O329&lt;&gt;0),_xlpm.maxVal,""))</f>
        <v/>
      </c>
      <c r="Y329" s="27" t="str">
        <f>_xlfn.LET(_xlpm.maxVal,_xlfn.MAXIFS($K:$K,$A:$A,A329),IF(AND(_xlpm.maxVal=K329,P329&lt;&gt;0),_xlpm.maxVal,""))</f>
        <v/>
      </c>
      <c r="Z329" s="27" t="str">
        <f>_xlfn.LET(_xlpm.maxVal,_xlfn.MAXIFS($K:$K,$A:$A,A329),IF(AND(_xlpm.maxVal=K329,Q329&lt;&gt;0),_xlpm.maxVal,""))</f>
        <v/>
      </c>
      <c r="AA329" s="27" t="str">
        <f>_xlfn.LET(_xlpm.maxVal,_xlfn.MAXIFS($K:$K,$A:$A,A329),IF(AND(_xlpm.maxVal=K329,R329&lt;&gt;0),_xlpm.maxVal,""))</f>
        <v/>
      </c>
      <c r="AB329" s="27" t="str">
        <f>_xlfn.LET(_xlpm.maxVal,_xlfn.MAXIFS($K:$K,$A:$A,A329),IF(AND(_xlpm.maxVal=K329,S329&lt;&gt;0),_xlpm.maxVal,""))</f>
        <v/>
      </c>
      <c r="AC329" s="27" t="str">
        <f>_xlfn.LET(_xlpm.maxVal,_xlfn.MAXIFS($K:$K,$A:$A,A329),IF(AND(_xlpm.maxVal=K329,T329&lt;&gt;0),_xlpm.maxVal,""))</f>
        <v/>
      </c>
      <c r="AD329" s="27">
        <f>$K329*L329*负载统计!$K$3/60</f>
        <v>0</v>
      </c>
      <c r="AE329" s="27">
        <f>$K329*L329*负载统计!$K$4/60</f>
        <v>0</v>
      </c>
      <c r="AF329" s="27">
        <f>$K329*N329*负载统计!$K$5/60</f>
        <v>0</v>
      </c>
      <c r="AG329" s="27">
        <f>$K329*O329*负载统计!$K$6/60</f>
        <v>0</v>
      </c>
      <c r="AH329" s="27">
        <f>$K329*P329*负载统计!$K$7/60</f>
        <v>0</v>
      </c>
      <c r="AI329" s="27">
        <f>$K329*Q329*负载统计!$K$8/60</f>
        <v>0</v>
      </c>
      <c r="AJ329" s="27">
        <f>$K329*R329*负载统计!$K$9/60</f>
        <v>0</v>
      </c>
      <c r="AK329" s="27">
        <f>$K329*S329*负载统计!$K$10/60</f>
        <v>0</v>
      </c>
      <c r="AL329" s="27">
        <f>$K329*T329*负载统计!$K$11/60</f>
        <v>0</v>
      </c>
    </row>
    <row r="330" spans="1:38">
      <c r="A330" s="1">
        <v>152</v>
      </c>
      <c r="B330" s="24" t="s">
        <v>1549</v>
      </c>
      <c r="C330" s="24" t="s">
        <v>1539</v>
      </c>
      <c r="D330" s="24" t="s">
        <v>1035</v>
      </c>
      <c r="E330" s="24" t="s">
        <v>1036</v>
      </c>
      <c r="F330" s="24" t="s">
        <v>1037</v>
      </c>
      <c r="G330" s="25">
        <f>VLOOKUP(A330,负载电气特性!A:G,7,FALSE)</f>
        <v>28</v>
      </c>
      <c r="H330" s="26" t="s">
        <v>61</v>
      </c>
      <c r="I330" s="25" t="s">
        <v>1706</v>
      </c>
      <c r="J330" s="25" t="s">
        <v>1707</v>
      </c>
      <c r="K330" s="25">
        <v>0.01</v>
      </c>
      <c r="L330" s="25">
        <v>1</v>
      </c>
      <c r="M330" s="25">
        <v>1</v>
      </c>
      <c r="N330" s="25">
        <v>1</v>
      </c>
      <c r="O330" s="25">
        <v>1</v>
      </c>
      <c r="P330" s="25">
        <v>1</v>
      </c>
      <c r="Q330" s="25">
        <v>1</v>
      </c>
      <c r="R330" s="25">
        <v>1</v>
      </c>
      <c r="S330" s="25">
        <v>1</v>
      </c>
      <c r="T330" s="25">
        <v>1</v>
      </c>
      <c r="U330" s="27">
        <f>_xlfn.LET(_xlpm.maxVal,_xlfn.MAXIFS($K:$K,$A:$A,A330),IF(AND(_xlpm.maxVal=K330,L330&lt;&gt;0),_xlpm.maxVal,""))</f>
        <v>0.01</v>
      </c>
      <c r="V330" s="27">
        <f>_xlfn.LET(_xlpm.maxVal,_xlfn.MAXIFS($K:$K,$A:$A,A330),IF(AND(_xlpm.maxVal=K330,M330&lt;&gt;0),_xlpm.maxVal,""))</f>
        <v>0.01</v>
      </c>
      <c r="W330" s="27">
        <f>_xlfn.LET(_xlpm.maxVal,_xlfn.MAXIFS($K:$K,$A:$A,A330),IF(AND(_xlpm.maxVal=K330,N330&lt;&gt;0),_xlpm.maxVal,""))</f>
        <v>0.01</v>
      </c>
      <c r="X330" s="27">
        <f>_xlfn.LET(_xlpm.maxVal,_xlfn.MAXIFS($K:$K,$A:$A,A330),IF(AND(_xlpm.maxVal=K330,O330&lt;&gt;0),_xlpm.maxVal,""))</f>
        <v>0.01</v>
      </c>
      <c r="Y330" s="27">
        <f>_xlfn.LET(_xlpm.maxVal,_xlfn.MAXIFS($K:$K,$A:$A,A330),IF(AND(_xlpm.maxVal=K330,P330&lt;&gt;0),_xlpm.maxVal,""))</f>
        <v>0.01</v>
      </c>
      <c r="Z330" s="27">
        <f>_xlfn.LET(_xlpm.maxVal,_xlfn.MAXIFS($K:$K,$A:$A,A330),IF(AND(_xlpm.maxVal=K330,Q330&lt;&gt;0),_xlpm.maxVal,""))</f>
        <v>0.01</v>
      </c>
      <c r="AA330" s="27">
        <f>_xlfn.LET(_xlpm.maxVal,_xlfn.MAXIFS($K:$K,$A:$A,A330),IF(AND(_xlpm.maxVal=K330,R330&lt;&gt;0),_xlpm.maxVal,""))</f>
        <v>0.01</v>
      </c>
      <c r="AB330" s="27">
        <f>_xlfn.LET(_xlpm.maxVal,_xlfn.MAXIFS($K:$K,$A:$A,A330),IF(AND(_xlpm.maxVal=K330,S330&lt;&gt;0),_xlpm.maxVal,""))</f>
        <v>0.01</v>
      </c>
      <c r="AC330" s="27">
        <f>_xlfn.LET(_xlpm.maxVal,_xlfn.MAXIFS($K:$K,$A:$A,A330),IF(AND(_xlpm.maxVal=K330,T330&lt;&gt;0),_xlpm.maxVal,""))</f>
        <v>0.01</v>
      </c>
      <c r="AD330" s="27">
        <f>$K330*L330*负载统计!$K$3/60</f>
        <v>0</v>
      </c>
      <c r="AE330" s="27">
        <f>$K330*L330*负载统计!$K$4/60</f>
        <v>0</v>
      </c>
      <c r="AF330" s="27">
        <f>$K330*N330*负载统计!$K$5/60</f>
        <v>0.000166666666666667</v>
      </c>
      <c r="AG330" s="27">
        <f>$K330*O330*负载统计!$K$6/60</f>
        <v>0.0005</v>
      </c>
      <c r="AH330" s="27">
        <f>$K330*P330*负载统计!$K$7/60</f>
        <v>0.00112833333333333</v>
      </c>
      <c r="AI330" s="27">
        <f>$K330*Q330*负载统计!$K$8/60</f>
        <v>0.00726666666666667</v>
      </c>
      <c r="AJ330" s="27">
        <f>$K330*R330*负载统计!$K$9/60</f>
        <v>0.00230833333333333</v>
      </c>
      <c r="AK330" s="27">
        <f>$K330*S330*负载统计!$K$10/60</f>
        <v>8.33333333333333e-5</v>
      </c>
      <c r="AL330" s="27">
        <f>$K330*T330*负载统计!$K$11/60</f>
        <v>0.000666666666666667</v>
      </c>
    </row>
    <row r="331" spans="1:38">
      <c r="A331" s="1">
        <v>152</v>
      </c>
      <c r="B331" s="24" t="s">
        <v>1549</v>
      </c>
      <c r="C331" s="24" t="s">
        <v>1539</v>
      </c>
      <c r="D331" s="24" t="s">
        <v>1035</v>
      </c>
      <c r="E331" s="24" t="s">
        <v>1036</v>
      </c>
      <c r="F331" s="24" t="s">
        <v>1037</v>
      </c>
      <c r="G331" s="25">
        <f>VLOOKUP(A331,负载电气特性!A:G,7,FALSE)</f>
        <v>28</v>
      </c>
      <c r="H331" s="26" t="s">
        <v>61</v>
      </c>
      <c r="I331" s="25" t="s">
        <v>1706</v>
      </c>
      <c r="J331" s="25" t="s">
        <v>1708</v>
      </c>
      <c r="K331" s="25">
        <v>0</v>
      </c>
      <c r="L331" s="25">
        <v>0</v>
      </c>
      <c r="M331" s="25">
        <v>0</v>
      </c>
      <c r="N331" s="25">
        <v>0</v>
      </c>
      <c r="O331" s="25">
        <v>0</v>
      </c>
      <c r="P331" s="25">
        <v>0</v>
      </c>
      <c r="Q331" s="25">
        <v>0</v>
      </c>
      <c r="R331" s="25">
        <v>0</v>
      </c>
      <c r="S331" s="25">
        <v>0</v>
      </c>
      <c r="T331" s="25">
        <v>0</v>
      </c>
      <c r="U331" s="27" t="str">
        <f>_xlfn.LET(_xlpm.maxVal,_xlfn.MAXIFS($K:$K,$A:$A,A331),IF(AND(_xlpm.maxVal=K331,L331&lt;&gt;0),_xlpm.maxVal,""))</f>
        <v/>
      </c>
      <c r="V331" s="27" t="str">
        <f>_xlfn.LET(_xlpm.maxVal,_xlfn.MAXIFS($K:$K,$A:$A,A331),IF(AND(_xlpm.maxVal=K331,M331&lt;&gt;0),_xlpm.maxVal,""))</f>
        <v/>
      </c>
      <c r="W331" s="27" t="str">
        <f>_xlfn.LET(_xlpm.maxVal,_xlfn.MAXIFS($K:$K,$A:$A,A331),IF(AND(_xlpm.maxVal=K331,N331&lt;&gt;0),_xlpm.maxVal,""))</f>
        <v/>
      </c>
      <c r="X331" s="27" t="str">
        <f>_xlfn.LET(_xlpm.maxVal,_xlfn.MAXIFS($K:$K,$A:$A,A331),IF(AND(_xlpm.maxVal=K331,O331&lt;&gt;0),_xlpm.maxVal,""))</f>
        <v/>
      </c>
      <c r="Y331" s="27" t="str">
        <f>_xlfn.LET(_xlpm.maxVal,_xlfn.MAXIFS($K:$K,$A:$A,A331),IF(AND(_xlpm.maxVal=K331,P331&lt;&gt;0),_xlpm.maxVal,""))</f>
        <v/>
      </c>
      <c r="Z331" s="27" t="str">
        <f>_xlfn.LET(_xlpm.maxVal,_xlfn.MAXIFS($K:$K,$A:$A,A331),IF(AND(_xlpm.maxVal=K331,Q331&lt;&gt;0),_xlpm.maxVal,""))</f>
        <v/>
      </c>
      <c r="AA331" s="27" t="str">
        <f>_xlfn.LET(_xlpm.maxVal,_xlfn.MAXIFS($K:$K,$A:$A,A331),IF(AND(_xlpm.maxVal=K331,R331&lt;&gt;0),_xlpm.maxVal,""))</f>
        <v/>
      </c>
      <c r="AB331" s="27" t="str">
        <f>_xlfn.LET(_xlpm.maxVal,_xlfn.MAXIFS($K:$K,$A:$A,A331),IF(AND(_xlpm.maxVal=K331,S331&lt;&gt;0),_xlpm.maxVal,""))</f>
        <v/>
      </c>
      <c r="AC331" s="27" t="str">
        <f>_xlfn.LET(_xlpm.maxVal,_xlfn.MAXIFS($K:$K,$A:$A,A331),IF(AND(_xlpm.maxVal=K331,T331&lt;&gt;0),_xlpm.maxVal,""))</f>
        <v/>
      </c>
      <c r="AD331" s="27">
        <f>$K331*L331*负载统计!$K$3/60</f>
        <v>0</v>
      </c>
      <c r="AE331" s="27">
        <f>$K331*L331*负载统计!$K$4/60</f>
        <v>0</v>
      </c>
      <c r="AF331" s="27">
        <f>$K331*N331*负载统计!$K$5/60</f>
        <v>0</v>
      </c>
      <c r="AG331" s="27">
        <f>$K331*O331*负载统计!$K$6/60</f>
        <v>0</v>
      </c>
      <c r="AH331" s="27">
        <f>$K331*P331*负载统计!$K$7/60</f>
        <v>0</v>
      </c>
      <c r="AI331" s="27">
        <f>$K331*Q331*负载统计!$K$8/60</f>
        <v>0</v>
      </c>
      <c r="AJ331" s="27">
        <f>$K331*R331*负载统计!$K$9/60</f>
        <v>0</v>
      </c>
      <c r="AK331" s="27">
        <f>$K331*S331*负载统计!$K$10/60</f>
        <v>0</v>
      </c>
      <c r="AL331" s="27">
        <f>$K331*T331*负载统计!$K$11/60</f>
        <v>0</v>
      </c>
    </row>
    <row r="332" spans="1:38">
      <c r="A332" s="1">
        <v>153</v>
      </c>
      <c r="B332" s="24" t="s">
        <v>1550</v>
      </c>
      <c r="C332" s="24" t="s">
        <v>1539</v>
      </c>
      <c r="D332" s="24" t="s">
        <v>1038</v>
      </c>
      <c r="E332" s="24" t="s">
        <v>1039</v>
      </c>
      <c r="F332" s="24" t="s">
        <v>1040</v>
      </c>
      <c r="G332" s="25">
        <f>VLOOKUP(A332,负载电气特性!A:G,7,FALSE)</f>
        <v>28</v>
      </c>
      <c r="H332" s="26" t="s">
        <v>61</v>
      </c>
      <c r="I332" s="25" t="s">
        <v>1706</v>
      </c>
      <c r="J332" s="25" t="s">
        <v>1707</v>
      </c>
      <c r="K332" s="25">
        <v>0.01</v>
      </c>
      <c r="L332" s="25">
        <v>1</v>
      </c>
      <c r="M332" s="25">
        <v>1</v>
      </c>
      <c r="N332" s="25">
        <v>1</v>
      </c>
      <c r="O332" s="25">
        <v>1</v>
      </c>
      <c r="P332" s="25">
        <v>1</v>
      </c>
      <c r="Q332" s="25">
        <v>1</v>
      </c>
      <c r="R332" s="25">
        <v>1</v>
      </c>
      <c r="S332" s="25">
        <v>1</v>
      </c>
      <c r="T332" s="25">
        <v>1</v>
      </c>
      <c r="U332" s="27">
        <f>_xlfn.LET(_xlpm.maxVal,_xlfn.MAXIFS($K:$K,$A:$A,A332),IF(AND(_xlpm.maxVal=K332,L332&lt;&gt;0),_xlpm.maxVal,""))</f>
        <v>0.01</v>
      </c>
      <c r="V332" s="27">
        <f>_xlfn.LET(_xlpm.maxVal,_xlfn.MAXIFS($K:$K,$A:$A,A332),IF(AND(_xlpm.maxVal=K332,M332&lt;&gt;0),_xlpm.maxVal,""))</f>
        <v>0.01</v>
      </c>
      <c r="W332" s="27">
        <f>_xlfn.LET(_xlpm.maxVal,_xlfn.MAXIFS($K:$K,$A:$A,A332),IF(AND(_xlpm.maxVal=K332,N332&lt;&gt;0),_xlpm.maxVal,""))</f>
        <v>0.01</v>
      </c>
      <c r="X332" s="27">
        <f>_xlfn.LET(_xlpm.maxVal,_xlfn.MAXIFS($K:$K,$A:$A,A332),IF(AND(_xlpm.maxVal=K332,O332&lt;&gt;0),_xlpm.maxVal,""))</f>
        <v>0.01</v>
      </c>
      <c r="Y332" s="27">
        <f>_xlfn.LET(_xlpm.maxVal,_xlfn.MAXIFS($K:$K,$A:$A,A332),IF(AND(_xlpm.maxVal=K332,P332&lt;&gt;0),_xlpm.maxVal,""))</f>
        <v>0.01</v>
      </c>
      <c r="Z332" s="27">
        <f>_xlfn.LET(_xlpm.maxVal,_xlfn.MAXIFS($K:$K,$A:$A,A332),IF(AND(_xlpm.maxVal=K332,Q332&lt;&gt;0),_xlpm.maxVal,""))</f>
        <v>0.01</v>
      </c>
      <c r="AA332" s="27">
        <f>_xlfn.LET(_xlpm.maxVal,_xlfn.MAXIFS($K:$K,$A:$A,A332),IF(AND(_xlpm.maxVal=K332,R332&lt;&gt;0),_xlpm.maxVal,""))</f>
        <v>0.01</v>
      </c>
      <c r="AB332" s="27">
        <f>_xlfn.LET(_xlpm.maxVal,_xlfn.MAXIFS($K:$K,$A:$A,A332),IF(AND(_xlpm.maxVal=K332,S332&lt;&gt;0),_xlpm.maxVal,""))</f>
        <v>0.01</v>
      </c>
      <c r="AC332" s="27">
        <f>_xlfn.LET(_xlpm.maxVal,_xlfn.MAXIFS($K:$K,$A:$A,A332),IF(AND(_xlpm.maxVal=K332,T332&lt;&gt;0),_xlpm.maxVal,""))</f>
        <v>0.01</v>
      </c>
      <c r="AD332" s="27">
        <f>$K332*L332*负载统计!$K$3/60</f>
        <v>0</v>
      </c>
      <c r="AE332" s="27">
        <f>$K332*L332*负载统计!$K$4/60</f>
        <v>0</v>
      </c>
      <c r="AF332" s="27">
        <f>$K332*N332*负载统计!$K$5/60</f>
        <v>0.000166666666666667</v>
      </c>
      <c r="AG332" s="27">
        <f>$K332*O332*负载统计!$K$6/60</f>
        <v>0.0005</v>
      </c>
      <c r="AH332" s="27">
        <f>$K332*P332*负载统计!$K$7/60</f>
        <v>0.00112833333333333</v>
      </c>
      <c r="AI332" s="27">
        <f>$K332*Q332*负载统计!$K$8/60</f>
        <v>0.00726666666666667</v>
      </c>
      <c r="AJ332" s="27">
        <f>$K332*R332*负载统计!$K$9/60</f>
        <v>0.00230833333333333</v>
      </c>
      <c r="AK332" s="27">
        <f>$K332*S332*负载统计!$K$10/60</f>
        <v>8.33333333333333e-5</v>
      </c>
      <c r="AL332" s="27">
        <f>$K332*T332*负载统计!$K$11/60</f>
        <v>0.000666666666666667</v>
      </c>
    </row>
    <row r="333" spans="1:38">
      <c r="A333" s="1">
        <v>153</v>
      </c>
      <c r="B333" s="24" t="s">
        <v>1550</v>
      </c>
      <c r="C333" s="24" t="s">
        <v>1539</v>
      </c>
      <c r="D333" s="24" t="s">
        <v>1038</v>
      </c>
      <c r="E333" s="24" t="s">
        <v>1039</v>
      </c>
      <c r="F333" s="24" t="s">
        <v>1040</v>
      </c>
      <c r="G333" s="25">
        <f>VLOOKUP(A333,负载电气特性!A:G,7,FALSE)</f>
        <v>28</v>
      </c>
      <c r="H333" s="26" t="s">
        <v>61</v>
      </c>
      <c r="I333" s="25" t="s">
        <v>1706</v>
      </c>
      <c r="J333" s="25" t="s">
        <v>1708</v>
      </c>
      <c r="K333" s="25">
        <v>0</v>
      </c>
      <c r="L333" s="25">
        <v>0</v>
      </c>
      <c r="M333" s="25">
        <v>0</v>
      </c>
      <c r="N333" s="25">
        <v>0</v>
      </c>
      <c r="O333" s="25">
        <v>0</v>
      </c>
      <c r="P333" s="25">
        <v>0</v>
      </c>
      <c r="Q333" s="25">
        <v>0</v>
      </c>
      <c r="R333" s="25">
        <v>0</v>
      </c>
      <c r="S333" s="25">
        <v>0</v>
      </c>
      <c r="T333" s="25">
        <v>0</v>
      </c>
      <c r="U333" s="27" t="str">
        <f>_xlfn.LET(_xlpm.maxVal,_xlfn.MAXIFS($K:$K,$A:$A,A333),IF(AND(_xlpm.maxVal=K333,L333&lt;&gt;0),_xlpm.maxVal,""))</f>
        <v/>
      </c>
      <c r="V333" s="27" t="str">
        <f>_xlfn.LET(_xlpm.maxVal,_xlfn.MAXIFS($K:$K,$A:$A,A333),IF(AND(_xlpm.maxVal=K333,M333&lt;&gt;0),_xlpm.maxVal,""))</f>
        <v/>
      </c>
      <c r="W333" s="27" t="str">
        <f>_xlfn.LET(_xlpm.maxVal,_xlfn.MAXIFS($K:$K,$A:$A,A333),IF(AND(_xlpm.maxVal=K333,N333&lt;&gt;0),_xlpm.maxVal,""))</f>
        <v/>
      </c>
      <c r="X333" s="27" t="str">
        <f>_xlfn.LET(_xlpm.maxVal,_xlfn.MAXIFS($K:$K,$A:$A,A333),IF(AND(_xlpm.maxVal=K333,O333&lt;&gt;0),_xlpm.maxVal,""))</f>
        <v/>
      </c>
      <c r="Y333" s="27" t="str">
        <f>_xlfn.LET(_xlpm.maxVal,_xlfn.MAXIFS($K:$K,$A:$A,A333),IF(AND(_xlpm.maxVal=K333,P333&lt;&gt;0),_xlpm.maxVal,""))</f>
        <v/>
      </c>
      <c r="Z333" s="27" t="str">
        <f>_xlfn.LET(_xlpm.maxVal,_xlfn.MAXIFS($K:$K,$A:$A,A333),IF(AND(_xlpm.maxVal=K333,Q333&lt;&gt;0),_xlpm.maxVal,""))</f>
        <v/>
      </c>
      <c r="AA333" s="27" t="str">
        <f>_xlfn.LET(_xlpm.maxVal,_xlfn.MAXIFS($K:$K,$A:$A,A333),IF(AND(_xlpm.maxVal=K333,R333&lt;&gt;0),_xlpm.maxVal,""))</f>
        <v/>
      </c>
      <c r="AB333" s="27" t="str">
        <f>_xlfn.LET(_xlpm.maxVal,_xlfn.MAXIFS($K:$K,$A:$A,A333),IF(AND(_xlpm.maxVal=K333,S333&lt;&gt;0),_xlpm.maxVal,""))</f>
        <v/>
      </c>
      <c r="AC333" s="27" t="str">
        <f>_xlfn.LET(_xlpm.maxVal,_xlfn.MAXIFS($K:$K,$A:$A,A333),IF(AND(_xlpm.maxVal=K333,T333&lt;&gt;0),_xlpm.maxVal,""))</f>
        <v/>
      </c>
      <c r="AD333" s="27">
        <f>$K333*L333*负载统计!$K$3/60</f>
        <v>0</v>
      </c>
      <c r="AE333" s="27">
        <f>$K333*L333*负载统计!$K$4/60</f>
        <v>0</v>
      </c>
      <c r="AF333" s="27">
        <f>$K333*N333*负载统计!$K$5/60</f>
        <v>0</v>
      </c>
      <c r="AG333" s="27">
        <f>$K333*O333*负载统计!$K$6/60</f>
        <v>0</v>
      </c>
      <c r="AH333" s="27">
        <f>$K333*P333*负载统计!$K$7/60</f>
        <v>0</v>
      </c>
      <c r="AI333" s="27">
        <f>$K333*Q333*负载统计!$K$8/60</f>
        <v>0</v>
      </c>
      <c r="AJ333" s="27">
        <f>$K333*R333*负载统计!$K$9/60</f>
        <v>0</v>
      </c>
      <c r="AK333" s="27">
        <f>$K333*S333*负载统计!$K$10/60</f>
        <v>0</v>
      </c>
      <c r="AL333" s="27">
        <f>$K333*T333*负载统计!$K$11/60</f>
        <v>0</v>
      </c>
    </row>
    <row r="334" spans="1:38">
      <c r="A334" s="1">
        <v>154</v>
      </c>
      <c r="B334" s="24" t="s">
        <v>1551</v>
      </c>
      <c r="C334" s="24" t="s">
        <v>1539</v>
      </c>
      <c r="D334" s="24" t="s">
        <v>1041</v>
      </c>
      <c r="E334" s="24" t="s">
        <v>1042</v>
      </c>
      <c r="F334" s="24" t="s">
        <v>1043</v>
      </c>
      <c r="G334" s="25">
        <f>VLOOKUP(A334,负载电气特性!A:G,7,FALSE)</f>
        <v>28</v>
      </c>
      <c r="H334" s="26" t="s">
        <v>61</v>
      </c>
      <c r="I334" s="25" t="s">
        <v>1706</v>
      </c>
      <c r="J334" s="25" t="s">
        <v>1707</v>
      </c>
      <c r="K334" s="25">
        <v>0.01</v>
      </c>
      <c r="L334" s="25">
        <v>1</v>
      </c>
      <c r="M334" s="25">
        <v>1</v>
      </c>
      <c r="N334" s="25">
        <v>1</v>
      </c>
      <c r="O334" s="25">
        <v>1</v>
      </c>
      <c r="P334" s="25">
        <v>1</v>
      </c>
      <c r="Q334" s="25">
        <v>1</v>
      </c>
      <c r="R334" s="25">
        <v>1</v>
      </c>
      <c r="S334" s="25">
        <v>1</v>
      </c>
      <c r="T334" s="25">
        <v>1</v>
      </c>
      <c r="U334" s="27">
        <f>_xlfn.LET(_xlpm.maxVal,_xlfn.MAXIFS($K:$K,$A:$A,A334),IF(AND(_xlpm.maxVal=K334,L334&lt;&gt;0),_xlpm.maxVal,""))</f>
        <v>0.01</v>
      </c>
      <c r="V334" s="27">
        <f>_xlfn.LET(_xlpm.maxVal,_xlfn.MAXIFS($K:$K,$A:$A,A334),IF(AND(_xlpm.maxVal=K334,M334&lt;&gt;0),_xlpm.maxVal,""))</f>
        <v>0.01</v>
      </c>
      <c r="W334" s="27">
        <f>_xlfn.LET(_xlpm.maxVal,_xlfn.MAXIFS($K:$K,$A:$A,A334),IF(AND(_xlpm.maxVal=K334,N334&lt;&gt;0),_xlpm.maxVal,""))</f>
        <v>0.01</v>
      </c>
      <c r="X334" s="27">
        <f>_xlfn.LET(_xlpm.maxVal,_xlfn.MAXIFS($K:$K,$A:$A,A334),IF(AND(_xlpm.maxVal=K334,O334&lt;&gt;0),_xlpm.maxVal,""))</f>
        <v>0.01</v>
      </c>
      <c r="Y334" s="27">
        <f>_xlfn.LET(_xlpm.maxVal,_xlfn.MAXIFS($K:$K,$A:$A,A334),IF(AND(_xlpm.maxVal=K334,P334&lt;&gt;0),_xlpm.maxVal,""))</f>
        <v>0.01</v>
      </c>
      <c r="Z334" s="27">
        <f>_xlfn.LET(_xlpm.maxVal,_xlfn.MAXIFS($K:$K,$A:$A,A334),IF(AND(_xlpm.maxVal=K334,Q334&lt;&gt;0),_xlpm.maxVal,""))</f>
        <v>0.01</v>
      </c>
      <c r="AA334" s="27">
        <f>_xlfn.LET(_xlpm.maxVal,_xlfn.MAXIFS($K:$K,$A:$A,A334),IF(AND(_xlpm.maxVal=K334,R334&lt;&gt;0),_xlpm.maxVal,""))</f>
        <v>0.01</v>
      </c>
      <c r="AB334" s="27">
        <f>_xlfn.LET(_xlpm.maxVal,_xlfn.MAXIFS($K:$K,$A:$A,A334),IF(AND(_xlpm.maxVal=K334,S334&lt;&gt;0),_xlpm.maxVal,""))</f>
        <v>0.01</v>
      </c>
      <c r="AC334" s="27">
        <f>_xlfn.LET(_xlpm.maxVal,_xlfn.MAXIFS($K:$K,$A:$A,A334),IF(AND(_xlpm.maxVal=K334,T334&lt;&gt;0),_xlpm.maxVal,""))</f>
        <v>0.01</v>
      </c>
      <c r="AD334" s="27">
        <f>$K334*L334*负载统计!$K$3/60</f>
        <v>0</v>
      </c>
      <c r="AE334" s="27">
        <f>$K334*L334*负载统计!$K$4/60</f>
        <v>0</v>
      </c>
      <c r="AF334" s="27">
        <f>$K334*N334*负载统计!$K$5/60</f>
        <v>0.000166666666666667</v>
      </c>
      <c r="AG334" s="27">
        <f>$K334*O334*负载统计!$K$6/60</f>
        <v>0.0005</v>
      </c>
      <c r="AH334" s="27">
        <f>$K334*P334*负载统计!$K$7/60</f>
        <v>0.00112833333333333</v>
      </c>
      <c r="AI334" s="27">
        <f>$K334*Q334*负载统计!$K$8/60</f>
        <v>0.00726666666666667</v>
      </c>
      <c r="AJ334" s="27">
        <f>$K334*R334*负载统计!$K$9/60</f>
        <v>0.00230833333333333</v>
      </c>
      <c r="AK334" s="27">
        <f>$K334*S334*负载统计!$K$10/60</f>
        <v>8.33333333333333e-5</v>
      </c>
      <c r="AL334" s="27">
        <f>$K334*T334*负载统计!$K$11/60</f>
        <v>0.000666666666666667</v>
      </c>
    </row>
    <row r="335" spans="1:38">
      <c r="A335" s="1">
        <v>154</v>
      </c>
      <c r="B335" s="24" t="s">
        <v>1551</v>
      </c>
      <c r="C335" s="24" t="s">
        <v>1539</v>
      </c>
      <c r="D335" s="24" t="s">
        <v>1041</v>
      </c>
      <c r="E335" s="24" t="s">
        <v>1042</v>
      </c>
      <c r="F335" s="24" t="s">
        <v>1043</v>
      </c>
      <c r="G335" s="25">
        <f>VLOOKUP(A335,负载电气特性!A:G,7,FALSE)</f>
        <v>28</v>
      </c>
      <c r="H335" s="26" t="s">
        <v>61</v>
      </c>
      <c r="I335" s="25" t="s">
        <v>1706</v>
      </c>
      <c r="J335" s="25" t="s">
        <v>1708</v>
      </c>
      <c r="K335" s="25">
        <v>0</v>
      </c>
      <c r="L335" s="25">
        <v>0</v>
      </c>
      <c r="M335" s="25">
        <v>0</v>
      </c>
      <c r="N335" s="25">
        <v>0</v>
      </c>
      <c r="O335" s="25">
        <v>0</v>
      </c>
      <c r="P335" s="25">
        <v>0</v>
      </c>
      <c r="Q335" s="25">
        <v>0</v>
      </c>
      <c r="R335" s="25">
        <v>0</v>
      </c>
      <c r="S335" s="25">
        <v>0</v>
      </c>
      <c r="T335" s="25">
        <v>0</v>
      </c>
      <c r="U335" s="27" t="str">
        <f>_xlfn.LET(_xlpm.maxVal,_xlfn.MAXIFS($K:$K,$A:$A,A335),IF(AND(_xlpm.maxVal=K335,L335&lt;&gt;0),_xlpm.maxVal,""))</f>
        <v/>
      </c>
      <c r="V335" s="27" t="str">
        <f>_xlfn.LET(_xlpm.maxVal,_xlfn.MAXIFS($K:$K,$A:$A,A335),IF(AND(_xlpm.maxVal=K335,M335&lt;&gt;0),_xlpm.maxVal,""))</f>
        <v/>
      </c>
      <c r="W335" s="27" t="str">
        <f>_xlfn.LET(_xlpm.maxVal,_xlfn.MAXIFS($K:$K,$A:$A,A335),IF(AND(_xlpm.maxVal=K335,N335&lt;&gt;0),_xlpm.maxVal,""))</f>
        <v/>
      </c>
      <c r="X335" s="27" t="str">
        <f>_xlfn.LET(_xlpm.maxVal,_xlfn.MAXIFS($K:$K,$A:$A,A335),IF(AND(_xlpm.maxVal=K335,O335&lt;&gt;0),_xlpm.maxVal,""))</f>
        <v/>
      </c>
      <c r="Y335" s="27" t="str">
        <f>_xlfn.LET(_xlpm.maxVal,_xlfn.MAXIFS($K:$K,$A:$A,A335),IF(AND(_xlpm.maxVal=K335,P335&lt;&gt;0),_xlpm.maxVal,""))</f>
        <v/>
      </c>
      <c r="Z335" s="27" t="str">
        <f>_xlfn.LET(_xlpm.maxVal,_xlfn.MAXIFS($K:$K,$A:$A,A335),IF(AND(_xlpm.maxVal=K335,Q335&lt;&gt;0),_xlpm.maxVal,""))</f>
        <v/>
      </c>
      <c r="AA335" s="27" t="str">
        <f>_xlfn.LET(_xlpm.maxVal,_xlfn.MAXIFS($K:$K,$A:$A,A335),IF(AND(_xlpm.maxVal=K335,R335&lt;&gt;0),_xlpm.maxVal,""))</f>
        <v/>
      </c>
      <c r="AB335" s="27" t="str">
        <f>_xlfn.LET(_xlpm.maxVal,_xlfn.MAXIFS($K:$K,$A:$A,A335),IF(AND(_xlpm.maxVal=K335,S335&lt;&gt;0),_xlpm.maxVal,""))</f>
        <v/>
      </c>
      <c r="AC335" s="27" t="str">
        <f>_xlfn.LET(_xlpm.maxVal,_xlfn.MAXIFS($K:$K,$A:$A,A335),IF(AND(_xlpm.maxVal=K335,T335&lt;&gt;0),_xlpm.maxVal,""))</f>
        <v/>
      </c>
      <c r="AD335" s="27">
        <f>$K335*L335*负载统计!$K$3/60</f>
        <v>0</v>
      </c>
      <c r="AE335" s="27">
        <f>$K335*L335*负载统计!$K$4/60</f>
        <v>0</v>
      </c>
      <c r="AF335" s="27">
        <f>$K335*N335*负载统计!$K$5/60</f>
        <v>0</v>
      </c>
      <c r="AG335" s="27">
        <f>$K335*O335*负载统计!$K$6/60</f>
        <v>0</v>
      </c>
      <c r="AH335" s="27">
        <f>$K335*P335*负载统计!$K$7/60</f>
        <v>0</v>
      </c>
      <c r="AI335" s="27">
        <f>$K335*Q335*负载统计!$K$8/60</f>
        <v>0</v>
      </c>
      <c r="AJ335" s="27">
        <f>$K335*R335*负载统计!$K$9/60</f>
        <v>0</v>
      </c>
      <c r="AK335" s="27">
        <f>$K335*S335*负载统计!$K$10/60</f>
        <v>0</v>
      </c>
      <c r="AL335" s="27">
        <f>$K335*T335*负载统计!$K$11/60</f>
        <v>0</v>
      </c>
    </row>
    <row r="336" spans="1:38">
      <c r="A336" s="1">
        <v>155</v>
      </c>
      <c r="B336" s="24" t="s">
        <v>1552</v>
      </c>
      <c r="C336" s="24" t="s">
        <v>1539</v>
      </c>
      <c r="D336" s="24" t="s">
        <v>1060</v>
      </c>
      <c r="E336" s="24" t="s">
        <v>1061</v>
      </c>
      <c r="F336" s="24" t="s">
        <v>1062</v>
      </c>
      <c r="G336" s="25">
        <f>VLOOKUP(A336,负载电气特性!A:G,7,FALSE)</f>
        <v>28</v>
      </c>
      <c r="H336" s="26" t="s">
        <v>61</v>
      </c>
      <c r="I336" s="25" t="s">
        <v>1706</v>
      </c>
      <c r="J336" s="25" t="s">
        <v>1707</v>
      </c>
      <c r="K336" s="25">
        <v>0.01</v>
      </c>
      <c r="L336" s="25">
        <v>1</v>
      </c>
      <c r="M336" s="25">
        <v>1</v>
      </c>
      <c r="N336" s="25">
        <v>1</v>
      </c>
      <c r="O336" s="25">
        <v>1</v>
      </c>
      <c r="P336" s="25">
        <v>1</v>
      </c>
      <c r="Q336" s="25">
        <v>1</v>
      </c>
      <c r="R336" s="25">
        <v>1</v>
      </c>
      <c r="S336" s="25">
        <v>1</v>
      </c>
      <c r="T336" s="25">
        <v>1</v>
      </c>
      <c r="U336" s="27">
        <f>_xlfn.LET(_xlpm.maxVal,_xlfn.MAXIFS($K:$K,$A:$A,A336),IF(AND(_xlpm.maxVal=K336,L336&lt;&gt;0),_xlpm.maxVal,""))</f>
        <v>0.01</v>
      </c>
      <c r="V336" s="27">
        <f>_xlfn.LET(_xlpm.maxVal,_xlfn.MAXIFS($K:$K,$A:$A,A336),IF(AND(_xlpm.maxVal=K336,M336&lt;&gt;0),_xlpm.maxVal,""))</f>
        <v>0.01</v>
      </c>
      <c r="W336" s="27">
        <f>_xlfn.LET(_xlpm.maxVal,_xlfn.MAXIFS($K:$K,$A:$A,A336),IF(AND(_xlpm.maxVal=K336,N336&lt;&gt;0),_xlpm.maxVal,""))</f>
        <v>0.01</v>
      </c>
      <c r="X336" s="27">
        <f>_xlfn.LET(_xlpm.maxVal,_xlfn.MAXIFS($K:$K,$A:$A,A336),IF(AND(_xlpm.maxVal=K336,O336&lt;&gt;0),_xlpm.maxVal,""))</f>
        <v>0.01</v>
      </c>
      <c r="Y336" s="27">
        <f>_xlfn.LET(_xlpm.maxVal,_xlfn.MAXIFS($K:$K,$A:$A,A336),IF(AND(_xlpm.maxVal=K336,P336&lt;&gt;0),_xlpm.maxVal,""))</f>
        <v>0.01</v>
      </c>
      <c r="Z336" s="27">
        <f>_xlfn.LET(_xlpm.maxVal,_xlfn.MAXIFS($K:$K,$A:$A,A336),IF(AND(_xlpm.maxVal=K336,Q336&lt;&gt;0),_xlpm.maxVal,""))</f>
        <v>0.01</v>
      </c>
      <c r="AA336" s="27">
        <f>_xlfn.LET(_xlpm.maxVal,_xlfn.MAXIFS($K:$K,$A:$A,A336),IF(AND(_xlpm.maxVal=K336,R336&lt;&gt;0),_xlpm.maxVal,""))</f>
        <v>0.01</v>
      </c>
      <c r="AB336" s="27">
        <f>_xlfn.LET(_xlpm.maxVal,_xlfn.MAXIFS($K:$K,$A:$A,A336),IF(AND(_xlpm.maxVal=K336,S336&lt;&gt;0),_xlpm.maxVal,""))</f>
        <v>0.01</v>
      </c>
      <c r="AC336" s="27">
        <f>_xlfn.LET(_xlpm.maxVal,_xlfn.MAXIFS($K:$K,$A:$A,A336),IF(AND(_xlpm.maxVal=K336,T336&lt;&gt;0),_xlpm.maxVal,""))</f>
        <v>0.01</v>
      </c>
      <c r="AD336" s="27">
        <f>$K336*L336*负载统计!$K$3/60</f>
        <v>0</v>
      </c>
      <c r="AE336" s="27">
        <f>$K336*L336*负载统计!$K$4/60</f>
        <v>0</v>
      </c>
      <c r="AF336" s="27">
        <f>$K336*N336*负载统计!$K$5/60</f>
        <v>0.000166666666666667</v>
      </c>
      <c r="AG336" s="27">
        <f>$K336*O336*负载统计!$K$6/60</f>
        <v>0.0005</v>
      </c>
      <c r="AH336" s="27">
        <f>$K336*P336*负载统计!$K$7/60</f>
        <v>0.00112833333333333</v>
      </c>
      <c r="AI336" s="27">
        <f>$K336*Q336*负载统计!$K$8/60</f>
        <v>0.00726666666666667</v>
      </c>
      <c r="AJ336" s="27">
        <f>$K336*R336*负载统计!$K$9/60</f>
        <v>0.00230833333333333</v>
      </c>
      <c r="AK336" s="27">
        <f>$K336*S336*负载统计!$K$10/60</f>
        <v>8.33333333333333e-5</v>
      </c>
      <c r="AL336" s="27">
        <f>$K336*T336*负载统计!$K$11/60</f>
        <v>0.000666666666666667</v>
      </c>
    </row>
    <row r="337" spans="1:38">
      <c r="A337" s="1">
        <v>155</v>
      </c>
      <c r="B337" s="24" t="s">
        <v>1552</v>
      </c>
      <c r="C337" s="24" t="s">
        <v>1539</v>
      </c>
      <c r="D337" s="24" t="s">
        <v>1060</v>
      </c>
      <c r="E337" s="24" t="s">
        <v>1061</v>
      </c>
      <c r="F337" s="24" t="s">
        <v>1062</v>
      </c>
      <c r="G337" s="25">
        <f>VLOOKUP(A337,负载电气特性!A:G,7,FALSE)</f>
        <v>28</v>
      </c>
      <c r="H337" s="26" t="s">
        <v>61</v>
      </c>
      <c r="I337" s="25" t="s">
        <v>1706</v>
      </c>
      <c r="J337" s="25" t="s">
        <v>1708</v>
      </c>
      <c r="K337" s="25">
        <v>0</v>
      </c>
      <c r="L337" s="25">
        <v>0</v>
      </c>
      <c r="M337" s="25">
        <v>0</v>
      </c>
      <c r="N337" s="25">
        <v>0</v>
      </c>
      <c r="O337" s="25">
        <v>0</v>
      </c>
      <c r="P337" s="25">
        <v>0</v>
      </c>
      <c r="Q337" s="25">
        <v>0</v>
      </c>
      <c r="R337" s="25">
        <v>0</v>
      </c>
      <c r="S337" s="25">
        <v>0</v>
      </c>
      <c r="T337" s="25">
        <v>0</v>
      </c>
      <c r="U337" s="27" t="str">
        <f>_xlfn.LET(_xlpm.maxVal,_xlfn.MAXIFS($K:$K,$A:$A,A337),IF(AND(_xlpm.maxVal=K337,L337&lt;&gt;0),_xlpm.maxVal,""))</f>
        <v/>
      </c>
      <c r="V337" s="27" t="str">
        <f>_xlfn.LET(_xlpm.maxVal,_xlfn.MAXIFS($K:$K,$A:$A,A337),IF(AND(_xlpm.maxVal=K337,M337&lt;&gt;0),_xlpm.maxVal,""))</f>
        <v/>
      </c>
      <c r="W337" s="27" t="str">
        <f>_xlfn.LET(_xlpm.maxVal,_xlfn.MAXIFS($K:$K,$A:$A,A337),IF(AND(_xlpm.maxVal=K337,N337&lt;&gt;0),_xlpm.maxVal,""))</f>
        <v/>
      </c>
      <c r="X337" s="27" t="str">
        <f>_xlfn.LET(_xlpm.maxVal,_xlfn.MAXIFS($K:$K,$A:$A,A337),IF(AND(_xlpm.maxVal=K337,O337&lt;&gt;0),_xlpm.maxVal,""))</f>
        <v/>
      </c>
      <c r="Y337" s="27" t="str">
        <f>_xlfn.LET(_xlpm.maxVal,_xlfn.MAXIFS($K:$K,$A:$A,A337),IF(AND(_xlpm.maxVal=K337,P337&lt;&gt;0),_xlpm.maxVal,""))</f>
        <v/>
      </c>
      <c r="Z337" s="27" t="str">
        <f>_xlfn.LET(_xlpm.maxVal,_xlfn.MAXIFS($K:$K,$A:$A,A337),IF(AND(_xlpm.maxVal=K337,Q337&lt;&gt;0),_xlpm.maxVal,""))</f>
        <v/>
      </c>
      <c r="AA337" s="27" t="str">
        <f>_xlfn.LET(_xlpm.maxVal,_xlfn.MAXIFS($K:$K,$A:$A,A337),IF(AND(_xlpm.maxVal=K337,R337&lt;&gt;0),_xlpm.maxVal,""))</f>
        <v/>
      </c>
      <c r="AB337" s="27" t="str">
        <f>_xlfn.LET(_xlpm.maxVal,_xlfn.MAXIFS($K:$K,$A:$A,A337),IF(AND(_xlpm.maxVal=K337,S337&lt;&gt;0),_xlpm.maxVal,""))</f>
        <v/>
      </c>
      <c r="AC337" s="27" t="str">
        <f>_xlfn.LET(_xlpm.maxVal,_xlfn.MAXIFS($K:$K,$A:$A,A337),IF(AND(_xlpm.maxVal=K337,T337&lt;&gt;0),_xlpm.maxVal,""))</f>
        <v/>
      </c>
      <c r="AD337" s="27">
        <f>$K337*L337*负载统计!$K$3/60</f>
        <v>0</v>
      </c>
      <c r="AE337" s="27">
        <f>$K337*L337*负载统计!$K$4/60</f>
        <v>0</v>
      </c>
      <c r="AF337" s="27">
        <f>$K337*N337*负载统计!$K$5/60</f>
        <v>0</v>
      </c>
      <c r="AG337" s="27">
        <f>$K337*O337*负载统计!$K$6/60</f>
        <v>0</v>
      </c>
      <c r="AH337" s="27">
        <f>$K337*P337*负载统计!$K$7/60</f>
        <v>0</v>
      </c>
      <c r="AI337" s="27">
        <f>$K337*Q337*负载统计!$K$8/60</f>
        <v>0</v>
      </c>
      <c r="AJ337" s="27">
        <f>$K337*R337*负载统计!$K$9/60</f>
        <v>0</v>
      </c>
      <c r="AK337" s="27">
        <f>$K337*S337*负载统计!$K$10/60</f>
        <v>0</v>
      </c>
      <c r="AL337" s="27">
        <f>$K337*T337*负载统计!$K$11/60</f>
        <v>0</v>
      </c>
    </row>
    <row r="338" spans="1:38">
      <c r="A338" s="1">
        <v>156</v>
      </c>
      <c r="B338" s="24" t="s">
        <v>1553</v>
      </c>
      <c r="C338" s="24" t="s">
        <v>1539</v>
      </c>
      <c r="D338" s="24" t="s">
        <v>1063</v>
      </c>
      <c r="E338" s="24" t="s">
        <v>1064</v>
      </c>
      <c r="F338" s="24" t="s">
        <v>1065</v>
      </c>
      <c r="G338" s="25">
        <f>VLOOKUP(A338,负载电气特性!A:G,7,FALSE)</f>
        <v>28</v>
      </c>
      <c r="H338" s="26" t="s">
        <v>61</v>
      </c>
      <c r="I338" s="25" t="s">
        <v>1706</v>
      </c>
      <c r="J338" s="25" t="s">
        <v>1707</v>
      </c>
      <c r="K338" s="25">
        <v>0.01</v>
      </c>
      <c r="L338" s="25">
        <v>1</v>
      </c>
      <c r="M338" s="25">
        <v>1</v>
      </c>
      <c r="N338" s="25">
        <v>1</v>
      </c>
      <c r="O338" s="25">
        <v>1</v>
      </c>
      <c r="P338" s="25">
        <v>1</v>
      </c>
      <c r="Q338" s="25">
        <v>1</v>
      </c>
      <c r="R338" s="25">
        <v>1</v>
      </c>
      <c r="S338" s="25">
        <v>1</v>
      </c>
      <c r="T338" s="25">
        <v>1</v>
      </c>
      <c r="U338" s="27">
        <f>_xlfn.LET(_xlpm.maxVal,_xlfn.MAXIFS($K:$K,$A:$A,A338),IF(AND(_xlpm.maxVal=K338,L338&lt;&gt;0),_xlpm.maxVal,""))</f>
        <v>0.01</v>
      </c>
      <c r="V338" s="27">
        <f>_xlfn.LET(_xlpm.maxVal,_xlfn.MAXIFS($K:$K,$A:$A,A338),IF(AND(_xlpm.maxVal=K338,M338&lt;&gt;0),_xlpm.maxVal,""))</f>
        <v>0.01</v>
      </c>
      <c r="W338" s="27">
        <f>_xlfn.LET(_xlpm.maxVal,_xlfn.MAXIFS($K:$K,$A:$A,A338),IF(AND(_xlpm.maxVal=K338,N338&lt;&gt;0),_xlpm.maxVal,""))</f>
        <v>0.01</v>
      </c>
      <c r="X338" s="27">
        <f>_xlfn.LET(_xlpm.maxVal,_xlfn.MAXIFS($K:$K,$A:$A,A338),IF(AND(_xlpm.maxVal=K338,O338&lt;&gt;0),_xlpm.maxVal,""))</f>
        <v>0.01</v>
      </c>
      <c r="Y338" s="27">
        <f>_xlfn.LET(_xlpm.maxVal,_xlfn.MAXIFS($K:$K,$A:$A,A338),IF(AND(_xlpm.maxVal=K338,P338&lt;&gt;0),_xlpm.maxVal,""))</f>
        <v>0.01</v>
      </c>
      <c r="Z338" s="27">
        <f>_xlfn.LET(_xlpm.maxVal,_xlfn.MAXIFS($K:$K,$A:$A,A338),IF(AND(_xlpm.maxVal=K338,Q338&lt;&gt;0),_xlpm.maxVal,""))</f>
        <v>0.01</v>
      </c>
      <c r="AA338" s="27">
        <f>_xlfn.LET(_xlpm.maxVal,_xlfn.MAXIFS($K:$K,$A:$A,A338),IF(AND(_xlpm.maxVal=K338,R338&lt;&gt;0),_xlpm.maxVal,""))</f>
        <v>0.01</v>
      </c>
      <c r="AB338" s="27">
        <f>_xlfn.LET(_xlpm.maxVal,_xlfn.MAXIFS($K:$K,$A:$A,A338),IF(AND(_xlpm.maxVal=K338,S338&lt;&gt;0),_xlpm.maxVal,""))</f>
        <v>0.01</v>
      </c>
      <c r="AC338" s="27">
        <f>_xlfn.LET(_xlpm.maxVal,_xlfn.MAXIFS($K:$K,$A:$A,A338),IF(AND(_xlpm.maxVal=K338,T338&lt;&gt;0),_xlpm.maxVal,""))</f>
        <v>0.01</v>
      </c>
      <c r="AD338" s="27">
        <f>$K338*L338*负载统计!$K$3/60</f>
        <v>0</v>
      </c>
      <c r="AE338" s="27">
        <f>$K338*L338*负载统计!$K$4/60</f>
        <v>0</v>
      </c>
      <c r="AF338" s="27">
        <f>$K338*N338*负载统计!$K$5/60</f>
        <v>0.000166666666666667</v>
      </c>
      <c r="AG338" s="27">
        <f>$K338*O338*负载统计!$K$6/60</f>
        <v>0.0005</v>
      </c>
      <c r="AH338" s="27">
        <f>$K338*P338*负载统计!$K$7/60</f>
        <v>0.00112833333333333</v>
      </c>
      <c r="AI338" s="27">
        <f>$K338*Q338*负载统计!$K$8/60</f>
        <v>0.00726666666666667</v>
      </c>
      <c r="AJ338" s="27">
        <f>$K338*R338*负载统计!$K$9/60</f>
        <v>0.00230833333333333</v>
      </c>
      <c r="AK338" s="27">
        <f>$K338*S338*负载统计!$K$10/60</f>
        <v>8.33333333333333e-5</v>
      </c>
      <c r="AL338" s="27">
        <f>$K338*T338*负载统计!$K$11/60</f>
        <v>0.000666666666666667</v>
      </c>
    </row>
    <row r="339" spans="1:38">
      <c r="A339" s="1">
        <v>156</v>
      </c>
      <c r="B339" s="24" t="s">
        <v>1553</v>
      </c>
      <c r="C339" s="24" t="s">
        <v>1539</v>
      </c>
      <c r="D339" s="24" t="s">
        <v>1063</v>
      </c>
      <c r="E339" s="24" t="s">
        <v>1064</v>
      </c>
      <c r="F339" s="24" t="s">
        <v>1065</v>
      </c>
      <c r="G339" s="25">
        <f>VLOOKUP(A339,负载电气特性!A:G,7,FALSE)</f>
        <v>28</v>
      </c>
      <c r="H339" s="26" t="s">
        <v>61</v>
      </c>
      <c r="I339" s="25" t="s">
        <v>1706</v>
      </c>
      <c r="J339" s="25" t="s">
        <v>1708</v>
      </c>
      <c r="K339" s="25">
        <v>0</v>
      </c>
      <c r="L339" s="25">
        <v>0</v>
      </c>
      <c r="M339" s="25">
        <v>0</v>
      </c>
      <c r="N339" s="25">
        <v>0</v>
      </c>
      <c r="O339" s="25">
        <v>0</v>
      </c>
      <c r="P339" s="25">
        <v>0</v>
      </c>
      <c r="Q339" s="25">
        <v>0</v>
      </c>
      <c r="R339" s="25">
        <v>0</v>
      </c>
      <c r="S339" s="25">
        <v>0</v>
      </c>
      <c r="T339" s="25">
        <v>0</v>
      </c>
      <c r="U339" s="27" t="str">
        <f>_xlfn.LET(_xlpm.maxVal,_xlfn.MAXIFS($K:$K,$A:$A,A339),IF(AND(_xlpm.maxVal=K339,L339&lt;&gt;0),_xlpm.maxVal,""))</f>
        <v/>
      </c>
      <c r="V339" s="27" t="str">
        <f>_xlfn.LET(_xlpm.maxVal,_xlfn.MAXIFS($K:$K,$A:$A,A339),IF(AND(_xlpm.maxVal=K339,M339&lt;&gt;0),_xlpm.maxVal,""))</f>
        <v/>
      </c>
      <c r="W339" s="27" t="str">
        <f>_xlfn.LET(_xlpm.maxVal,_xlfn.MAXIFS($K:$K,$A:$A,A339),IF(AND(_xlpm.maxVal=K339,N339&lt;&gt;0),_xlpm.maxVal,""))</f>
        <v/>
      </c>
      <c r="X339" s="27" t="str">
        <f>_xlfn.LET(_xlpm.maxVal,_xlfn.MAXIFS($K:$K,$A:$A,A339),IF(AND(_xlpm.maxVal=K339,O339&lt;&gt;0),_xlpm.maxVal,""))</f>
        <v/>
      </c>
      <c r="Y339" s="27" t="str">
        <f>_xlfn.LET(_xlpm.maxVal,_xlfn.MAXIFS($K:$K,$A:$A,A339),IF(AND(_xlpm.maxVal=K339,P339&lt;&gt;0),_xlpm.maxVal,""))</f>
        <v/>
      </c>
      <c r="Z339" s="27" t="str">
        <f>_xlfn.LET(_xlpm.maxVal,_xlfn.MAXIFS($K:$K,$A:$A,A339),IF(AND(_xlpm.maxVal=K339,Q339&lt;&gt;0),_xlpm.maxVal,""))</f>
        <v/>
      </c>
      <c r="AA339" s="27" t="str">
        <f>_xlfn.LET(_xlpm.maxVal,_xlfn.MAXIFS($K:$K,$A:$A,A339),IF(AND(_xlpm.maxVal=K339,R339&lt;&gt;0),_xlpm.maxVal,""))</f>
        <v/>
      </c>
      <c r="AB339" s="27" t="str">
        <f>_xlfn.LET(_xlpm.maxVal,_xlfn.MAXIFS($K:$K,$A:$A,A339),IF(AND(_xlpm.maxVal=K339,S339&lt;&gt;0),_xlpm.maxVal,""))</f>
        <v/>
      </c>
      <c r="AC339" s="27" t="str">
        <f>_xlfn.LET(_xlpm.maxVal,_xlfn.MAXIFS($K:$K,$A:$A,A339),IF(AND(_xlpm.maxVal=K339,T339&lt;&gt;0),_xlpm.maxVal,""))</f>
        <v/>
      </c>
      <c r="AD339" s="27">
        <f>$K339*L339*负载统计!$K$3/60</f>
        <v>0</v>
      </c>
      <c r="AE339" s="27">
        <f>$K339*L339*负载统计!$K$4/60</f>
        <v>0</v>
      </c>
      <c r="AF339" s="27">
        <f>$K339*N339*负载统计!$K$5/60</f>
        <v>0</v>
      </c>
      <c r="AG339" s="27">
        <f>$K339*O339*负载统计!$K$6/60</f>
        <v>0</v>
      </c>
      <c r="AH339" s="27">
        <f>$K339*P339*负载统计!$K$7/60</f>
        <v>0</v>
      </c>
      <c r="AI339" s="27">
        <f>$K339*Q339*负载统计!$K$8/60</f>
        <v>0</v>
      </c>
      <c r="AJ339" s="27">
        <f>$K339*R339*负载统计!$K$9/60</f>
        <v>0</v>
      </c>
      <c r="AK339" s="27">
        <f>$K339*S339*负载统计!$K$10/60</f>
        <v>0</v>
      </c>
      <c r="AL339" s="27">
        <f>$K339*T339*负载统计!$K$11/60</f>
        <v>0</v>
      </c>
    </row>
    <row r="340" spans="1:38">
      <c r="A340" s="1">
        <v>157</v>
      </c>
      <c r="B340" s="24" t="s">
        <v>1554</v>
      </c>
      <c r="C340" s="24" t="s">
        <v>1539</v>
      </c>
      <c r="D340" s="24" t="s">
        <v>1066</v>
      </c>
      <c r="E340" s="24" t="s">
        <v>1067</v>
      </c>
      <c r="F340" s="24" t="s">
        <v>1068</v>
      </c>
      <c r="G340" s="25">
        <f>VLOOKUP(A340,负载电气特性!A:G,7,FALSE)</f>
        <v>28</v>
      </c>
      <c r="H340" s="26" t="s">
        <v>61</v>
      </c>
      <c r="I340" s="25" t="s">
        <v>1706</v>
      </c>
      <c r="J340" s="25" t="s">
        <v>1707</v>
      </c>
      <c r="K340" s="25">
        <v>0.01</v>
      </c>
      <c r="L340" s="25">
        <v>1</v>
      </c>
      <c r="M340" s="25">
        <v>1</v>
      </c>
      <c r="N340" s="25">
        <v>1</v>
      </c>
      <c r="O340" s="25">
        <v>1</v>
      </c>
      <c r="P340" s="25">
        <v>1</v>
      </c>
      <c r="Q340" s="25">
        <v>1</v>
      </c>
      <c r="R340" s="25">
        <v>1</v>
      </c>
      <c r="S340" s="25">
        <v>1</v>
      </c>
      <c r="T340" s="25">
        <v>1</v>
      </c>
      <c r="U340" s="27">
        <f>_xlfn.LET(_xlpm.maxVal,_xlfn.MAXIFS($K:$K,$A:$A,A340),IF(AND(_xlpm.maxVal=K340,L340&lt;&gt;0),_xlpm.maxVal,""))</f>
        <v>0.01</v>
      </c>
      <c r="V340" s="27">
        <f>_xlfn.LET(_xlpm.maxVal,_xlfn.MAXIFS($K:$K,$A:$A,A340),IF(AND(_xlpm.maxVal=K340,M340&lt;&gt;0),_xlpm.maxVal,""))</f>
        <v>0.01</v>
      </c>
      <c r="W340" s="27">
        <f>_xlfn.LET(_xlpm.maxVal,_xlfn.MAXIFS($K:$K,$A:$A,A340),IF(AND(_xlpm.maxVal=K340,N340&lt;&gt;0),_xlpm.maxVal,""))</f>
        <v>0.01</v>
      </c>
      <c r="X340" s="27">
        <f>_xlfn.LET(_xlpm.maxVal,_xlfn.MAXIFS($K:$K,$A:$A,A340),IF(AND(_xlpm.maxVal=K340,O340&lt;&gt;0),_xlpm.maxVal,""))</f>
        <v>0.01</v>
      </c>
      <c r="Y340" s="27">
        <f>_xlfn.LET(_xlpm.maxVal,_xlfn.MAXIFS($K:$K,$A:$A,A340),IF(AND(_xlpm.maxVal=K340,P340&lt;&gt;0),_xlpm.maxVal,""))</f>
        <v>0.01</v>
      </c>
      <c r="Z340" s="27">
        <f>_xlfn.LET(_xlpm.maxVal,_xlfn.MAXIFS($K:$K,$A:$A,A340),IF(AND(_xlpm.maxVal=K340,Q340&lt;&gt;0),_xlpm.maxVal,""))</f>
        <v>0.01</v>
      </c>
      <c r="AA340" s="27">
        <f>_xlfn.LET(_xlpm.maxVal,_xlfn.MAXIFS($K:$K,$A:$A,A340),IF(AND(_xlpm.maxVal=K340,R340&lt;&gt;0),_xlpm.maxVal,""))</f>
        <v>0.01</v>
      </c>
      <c r="AB340" s="27">
        <f>_xlfn.LET(_xlpm.maxVal,_xlfn.MAXIFS($K:$K,$A:$A,A340),IF(AND(_xlpm.maxVal=K340,S340&lt;&gt;0),_xlpm.maxVal,""))</f>
        <v>0.01</v>
      </c>
      <c r="AC340" s="27">
        <f>_xlfn.LET(_xlpm.maxVal,_xlfn.MAXIFS($K:$K,$A:$A,A340),IF(AND(_xlpm.maxVal=K340,T340&lt;&gt;0),_xlpm.maxVal,""))</f>
        <v>0.01</v>
      </c>
      <c r="AD340" s="27">
        <f>$K340*L340*负载统计!$K$3/60</f>
        <v>0</v>
      </c>
      <c r="AE340" s="27">
        <f>$K340*L340*负载统计!$K$4/60</f>
        <v>0</v>
      </c>
      <c r="AF340" s="27">
        <f>$K340*N340*负载统计!$K$5/60</f>
        <v>0.000166666666666667</v>
      </c>
      <c r="AG340" s="27">
        <f>$K340*O340*负载统计!$K$6/60</f>
        <v>0.0005</v>
      </c>
      <c r="AH340" s="27">
        <f>$K340*P340*负载统计!$K$7/60</f>
        <v>0.00112833333333333</v>
      </c>
      <c r="AI340" s="27">
        <f>$K340*Q340*负载统计!$K$8/60</f>
        <v>0.00726666666666667</v>
      </c>
      <c r="AJ340" s="27">
        <f>$K340*R340*负载统计!$K$9/60</f>
        <v>0.00230833333333333</v>
      </c>
      <c r="AK340" s="27">
        <f>$K340*S340*负载统计!$K$10/60</f>
        <v>8.33333333333333e-5</v>
      </c>
      <c r="AL340" s="27">
        <f>$K340*T340*负载统计!$K$11/60</f>
        <v>0.000666666666666667</v>
      </c>
    </row>
    <row r="341" spans="1:38">
      <c r="A341" s="1">
        <v>157</v>
      </c>
      <c r="B341" s="24" t="s">
        <v>1554</v>
      </c>
      <c r="C341" s="24" t="s">
        <v>1539</v>
      </c>
      <c r="D341" s="24" t="s">
        <v>1066</v>
      </c>
      <c r="E341" s="24" t="s">
        <v>1067</v>
      </c>
      <c r="F341" s="24" t="s">
        <v>1068</v>
      </c>
      <c r="G341" s="25">
        <f>VLOOKUP(A341,负载电气特性!A:G,7,FALSE)</f>
        <v>28</v>
      </c>
      <c r="H341" s="26" t="s">
        <v>61</v>
      </c>
      <c r="I341" s="25" t="s">
        <v>1706</v>
      </c>
      <c r="J341" s="25" t="s">
        <v>1708</v>
      </c>
      <c r="K341" s="25">
        <v>0</v>
      </c>
      <c r="L341" s="25">
        <v>0</v>
      </c>
      <c r="M341" s="25">
        <v>0</v>
      </c>
      <c r="N341" s="25">
        <v>0</v>
      </c>
      <c r="O341" s="25">
        <v>0</v>
      </c>
      <c r="P341" s="25">
        <v>0</v>
      </c>
      <c r="Q341" s="25">
        <v>0</v>
      </c>
      <c r="R341" s="25">
        <v>0</v>
      </c>
      <c r="S341" s="25">
        <v>0</v>
      </c>
      <c r="T341" s="25">
        <v>0</v>
      </c>
      <c r="U341" s="27" t="str">
        <f>_xlfn.LET(_xlpm.maxVal,_xlfn.MAXIFS($K:$K,$A:$A,A341),IF(AND(_xlpm.maxVal=K341,L341&lt;&gt;0),_xlpm.maxVal,""))</f>
        <v/>
      </c>
      <c r="V341" s="27" t="str">
        <f>_xlfn.LET(_xlpm.maxVal,_xlfn.MAXIFS($K:$K,$A:$A,A341),IF(AND(_xlpm.maxVal=K341,M341&lt;&gt;0),_xlpm.maxVal,""))</f>
        <v/>
      </c>
      <c r="W341" s="27" t="str">
        <f>_xlfn.LET(_xlpm.maxVal,_xlfn.MAXIFS($K:$K,$A:$A,A341),IF(AND(_xlpm.maxVal=K341,N341&lt;&gt;0),_xlpm.maxVal,""))</f>
        <v/>
      </c>
      <c r="X341" s="27" t="str">
        <f>_xlfn.LET(_xlpm.maxVal,_xlfn.MAXIFS($K:$K,$A:$A,A341),IF(AND(_xlpm.maxVal=K341,O341&lt;&gt;0),_xlpm.maxVal,""))</f>
        <v/>
      </c>
      <c r="Y341" s="27" t="str">
        <f>_xlfn.LET(_xlpm.maxVal,_xlfn.MAXIFS($K:$K,$A:$A,A341),IF(AND(_xlpm.maxVal=K341,P341&lt;&gt;0),_xlpm.maxVal,""))</f>
        <v/>
      </c>
      <c r="Z341" s="27" t="str">
        <f>_xlfn.LET(_xlpm.maxVal,_xlfn.MAXIFS($K:$K,$A:$A,A341),IF(AND(_xlpm.maxVal=K341,Q341&lt;&gt;0),_xlpm.maxVal,""))</f>
        <v/>
      </c>
      <c r="AA341" s="27" t="str">
        <f>_xlfn.LET(_xlpm.maxVal,_xlfn.MAXIFS($K:$K,$A:$A,A341),IF(AND(_xlpm.maxVal=K341,R341&lt;&gt;0),_xlpm.maxVal,""))</f>
        <v/>
      </c>
      <c r="AB341" s="27" t="str">
        <f>_xlfn.LET(_xlpm.maxVal,_xlfn.MAXIFS($K:$K,$A:$A,A341),IF(AND(_xlpm.maxVal=K341,S341&lt;&gt;0),_xlpm.maxVal,""))</f>
        <v/>
      </c>
      <c r="AC341" s="27" t="str">
        <f>_xlfn.LET(_xlpm.maxVal,_xlfn.MAXIFS($K:$K,$A:$A,A341),IF(AND(_xlpm.maxVal=K341,T341&lt;&gt;0),_xlpm.maxVal,""))</f>
        <v/>
      </c>
      <c r="AD341" s="27">
        <f>$K341*L341*负载统计!$K$3/60</f>
        <v>0</v>
      </c>
      <c r="AE341" s="27">
        <f>$K341*L341*负载统计!$K$4/60</f>
        <v>0</v>
      </c>
      <c r="AF341" s="27">
        <f>$K341*N341*负载统计!$K$5/60</f>
        <v>0</v>
      </c>
      <c r="AG341" s="27">
        <f>$K341*O341*负载统计!$K$6/60</f>
        <v>0</v>
      </c>
      <c r="AH341" s="27">
        <f>$K341*P341*负载统计!$K$7/60</f>
        <v>0</v>
      </c>
      <c r="AI341" s="27">
        <f>$K341*Q341*负载统计!$K$8/60</f>
        <v>0</v>
      </c>
      <c r="AJ341" s="27">
        <f>$K341*R341*负载统计!$K$9/60</f>
        <v>0</v>
      </c>
      <c r="AK341" s="27">
        <f>$K341*S341*负载统计!$K$10/60</f>
        <v>0</v>
      </c>
      <c r="AL341" s="27">
        <f>$K341*T341*负载统计!$K$11/60</f>
        <v>0</v>
      </c>
    </row>
    <row r="342" spans="1:38">
      <c r="A342" s="1">
        <v>158</v>
      </c>
      <c r="B342" s="24" t="s">
        <v>1555</v>
      </c>
      <c r="C342" s="24" t="s">
        <v>1539</v>
      </c>
      <c r="D342" s="24" t="s">
        <v>1069</v>
      </c>
      <c r="E342" s="24" t="s">
        <v>1070</v>
      </c>
      <c r="F342" s="24" t="s">
        <v>1071</v>
      </c>
      <c r="G342" s="25">
        <f>VLOOKUP(A342,负载电气特性!A:G,7,FALSE)</f>
        <v>28</v>
      </c>
      <c r="H342" s="26" t="s">
        <v>61</v>
      </c>
      <c r="I342" s="25" t="s">
        <v>1706</v>
      </c>
      <c r="J342" s="25" t="s">
        <v>1707</v>
      </c>
      <c r="K342" s="25">
        <v>0.01</v>
      </c>
      <c r="L342" s="25">
        <v>1</v>
      </c>
      <c r="M342" s="25">
        <v>1</v>
      </c>
      <c r="N342" s="25">
        <v>1</v>
      </c>
      <c r="O342" s="25">
        <v>1</v>
      </c>
      <c r="P342" s="25">
        <v>1</v>
      </c>
      <c r="Q342" s="25">
        <v>1</v>
      </c>
      <c r="R342" s="25">
        <v>1</v>
      </c>
      <c r="S342" s="25">
        <v>1</v>
      </c>
      <c r="T342" s="25">
        <v>1</v>
      </c>
      <c r="U342" s="27">
        <f>_xlfn.LET(_xlpm.maxVal,_xlfn.MAXIFS($K:$K,$A:$A,A342),IF(AND(_xlpm.maxVal=K342,L342&lt;&gt;0),_xlpm.maxVal,""))</f>
        <v>0.01</v>
      </c>
      <c r="V342" s="27">
        <f>_xlfn.LET(_xlpm.maxVal,_xlfn.MAXIFS($K:$K,$A:$A,A342),IF(AND(_xlpm.maxVal=K342,M342&lt;&gt;0),_xlpm.maxVal,""))</f>
        <v>0.01</v>
      </c>
      <c r="W342" s="27">
        <f>_xlfn.LET(_xlpm.maxVal,_xlfn.MAXIFS($K:$K,$A:$A,A342),IF(AND(_xlpm.maxVal=K342,N342&lt;&gt;0),_xlpm.maxVal,""))</f>
        <v>0.01</v>
      </c>
      <c r="X342" s="27">
        <f>_xlfn.LET(_xlpm.maxVal,_xlfn.MAXIFS($K:$K,$A:$A,A342),IF(AND(_xlpm.maxVal=K342,O342&lt;&gt;0),_xlpm.maxVal,""))</f>
        <v>0.01</v>
      </c>
      <c r="Y342" s="27">
        <f>_xlfn.LET(_xlpm.maxVal,_xlfn.MAXIFS($K:$K,$A:$A,A342),IF(AND(_xlpm.maxVal=K342,P342&lt;&gt;0),_xlpm.maxVal,""))</f>
        <v>0.01</v>
      </c>
      <c r="Z342" s="27">
        <f>_xlfn.LET(_xlpm.maxVal,_xlfn.MAXIFS($K:$K,$A:$A,A342),IF(AND(_xlpm.maxVal=K342,Q342&lt;&gt;0),_xlpm.maxVal,""))</f>
        <v>0.01</v>
      </c>
      <c r="AA342" s="27">
        <f>_xlfn.LET(_xlpm.maxVal,_xlfn.MAXIFS($K:$K,$A:$A,A342),IF(AND(_xlpm.maxVal=K342,R342&lt;&gt;0),_xlpm.maxVal,""))</f>
        <v>0.01</v>
      </c>
      <c r="AB342" s="27">
        <f>_xlfn.LET(_xlpm.maxVal,_xlfn.MAXIFS($K:$K,$A:$A,A342),IF(AND(_xlpm.maxVal=K342,S342&lt;&gt;0),_xlpm.maxVal,""))</f>
        <v>0.01</v>
      </c>
      <c r="AC342" s="27">
        <f>_xlfn.LET(_xlpm.maxVal,_xlfn.MAXIFS($K:$K,$A:$A,A342),IF(AND(_xlpm.maxVal=K342,T342&lt;&gt;0),_xlpm.maxVal,""))</f>
        <v>0.01</v>
      </c>
      <c r="AD342" s="27">
        <f>$K342*L342*负载统计!$K$3/60</f>
        <v>0</v>
      </c>
      <c r="AE342" s="27">
        <f>$K342*L342*负载统计!$K$4/60</f>
        <v>0</v>
      </c>
      <c r="AF342" s="27">
        <f>$K342*N342*负载统计!$K$5/60</f>
        <v>0.000166666666666667</v>
      </c>
      <c r="AG342" s="27">
        <f>$K342*O342*负载统计!$K$6/60</f>
        <v>0.0005</v>
      </c>
      <c r="AH342" s="27">
        <f>$K342*P342*负载统计!$K$7/60</f>
        <v>0.00112833333333333</v>
      </c>
      <c r="AI342" s="27">
        <f>$K342*Q342*负载统计!$K$8/60</f>
        <v>0.00726666666666667</v>
      </c>
      <c r="AJ342" s="27">
        <f>$K342*R342*负载统计!$K$9/60</f>
        <v>0.00230833333333333</v>
      </c>
      <c r="AK342" s="27">
        <f>$K342*S342*负载统计!$K$10/60</f>
        <v>8.33333333333333e-5</v>
      </c>
      <c r="AL342" s="27">
        <f>$K342*T342*负载统计!$K$11/60</f>
        <v>0.000666666666666667</v>
      </c>
    </row>
    <row r="343" spans="1:38">
      <c r="A343" s="1">
        <v>158</v>
      </c>
      <c r="B343" s="24" t="s">
        <v>1555</v>
      </c>
      <c r="C343" s="24" t="s">
        <v>1539</v>
      </c>
      <c r="D343" s="24" t="s">
        <v>1069</v>
      </c>
      <c r="E343" s="24" t="s">
        <v>1070</v>
      </c>
      <c r="F343" s="24" t="s">
        <v>1071</v>
      </c>
      <c r="G343" s="25">
        <f>VLOOKUP(A343,负载电气特性!A:G,7,FALSE)</f>
        <v>28</v>
      </c>
      <c r="H343" s="26" t="s">
        <v>61</v>
      </c>
      <c r="I343" s="25" t="s">
        <v>1706</v>
      </c>
      <c r="J343" s="25" t="s">
        <v>1708</v>
      </c>
      <c r="K343" s="25">
        <v>0</v>
      </c>
      <c r="L343" s="25">
        <v>0</v>
      </c>
      <c r="M343" s="25">
        <v>0</v>
      </c>
      <c r="N343" s="25">
        <v>0</v>
      </c>
      <c r="O343" s="25">
        <v>0</v>
      </c>
      <c r="P343" s="25">
        <v>0</v>
      </c>
      <c r="Q343" s="25">
        <v>0</v>
      </c>
      <c r="R343" s="25">
        <v>0</v>
      </c>
      <c r="S343" s="25">
        <v>0</v>
      </c>
      <c r="T343" s="25">
        <v>0</v>
      </c>
      <c r="U343" s="27" t="str">
        <f>_xlfn.LET(_xlpm.maxVal,_xlfn.MAXIFS($K:$K,$A:$A,A343),IF(AND(_xlpm.maxVal=K343,L343&lt;&gt;0),_xlpm.maxVal,""))</f>
        <v/>
      </c>
      <c r="V343" s="27" t="str">
        <f>_xlfn.LET(_xlpm.maxVal,_xlfn.MAXIFS($K:$K,$A:$A,A343),IF(AND(_xlpm.maxVal=K343,M343&lt;&gt;0),_xlpm.maxVal,""))</f>
        <v/>
      </c>
      <c r="W343" s="27" t="str">
        <f>_xlfn.LET(_xlpm.maxVal,_xlfn.MAXIFS($K:$K,$A:$A,A343),IF(AND(_xlpm.maxVal=K343,N343&lt;&gt;0),_xlpm.maxVal,""))</f>
        <v/>
      </c>
      <c r="X343" s="27" t="str">
        <f>_xlfn.LET(_xlpm.maxVal,_xlfn.MAXIFS($K:$K,$A:$A,A343),IF(AND(_xlpm.maxVal=K343,O343&lt;&gt;0),_xlpm.maxVal,""))</f>
        <v/>
      </c>
      <c r="Y343" s="27" t="str">
        <f>_xlfn.LET(_xlpm.maxVal,_xlfn.MAXIFS($K:$K,$A:$A,A343),IF(AND(_xlpm.maxVal=K343,P343&lt;&gt;0),_xlpm.maxVal,""))</f>
        <v/>
      </c>
      <c r="Z343" s="27" t="str">
        <f>_xlfn.LET(_xlpm.maxVal,_xlfn.MAXIFS($K:$K,$A:$A,A343),IF(AND(_xlpm.maxVal=K343,Q343&lt;&gt;0),_xlpm.maxVal,""))</f>
        <v/>
      </c>
      <c r="AA343" s="27" t="str">
        <f>_xlfn.LET(_xlpm.maxVal,_xlfn.MAXIFS($K:$K,$A:$A,A343),IF(AND(_xlpm.maxVal=K343,R343&lt;&gt;0),_xlpm.maxVal,""))</f>
        <v/>
      </c>
      <c r="AB343" s="27" t="str">
        <f>_xlfn.LET(_xlpm.maxVal,_xlfn.MAXIFS($K:$K,$A:$A,A343),IF(AND(_xlpm.maxVal=K343,S343&lt;&gt;0),_xlpm.maxVal,""))</f>
        <v/>
      </c>
      <c r="AC343" s="27" t="str">
        <f>_xlfn.LET(_xlpm.maxVal,_xlfn.MAXIFS($K:$K,$A:$A,A343),IF(AND(_xlpm.maxVal=K343,T343&lt;&gt;0),_xlpm.maxVal,""))</f>
        <v/>
      </c>
      <c r="AD343" s="27">
        <f>$K343*L343*负载统计!$K$3/60</f>
        <v>0</v>
      </c>
      <c r="AE343" s="27">
        <f>$K343*L343*负载统计!$K$4/60</f>
        <v>0</v>
      </c>
      <c r="AF343" s="27">
        <f>$K343*N343*负载统计!$K$5/60</f>
        <v>0</v>
      </c>
      <c r="AG343" s="27">
        <f>$K343*O343*负载统计!$K$6/60</f>
        <v>0</v>
      </c>
      <c r="AH343" s="27">
        <f>$K343*P343*负载统计!$K$7/60</f>
        <v>0</v>
      </c>
      <c r="AI343" s="27">
        <f>$K343*Q343*负载统计!$K$8/60</f>
        <v>0</v>
      </c>
      <c r="AJ343" s="27">
        <f>$K343*R343*负载统计!$K$9/60</f>
        <v>0</v>
      </c>
      <c r="AK343" s="27">
        <f>$K343*S343*负载统计!$K$10/60</f>
        <v>0</v>
      </c>
      <c r="AL343" s="27">
        <f>$K343*T343*负载统计!$K$11/60</f>
        <v>0</v>
      </c>
    </row>
    <row r="344" spans="1:38">
      <c r="A344" s="1">
        <v>159</v>
      </c>
      <c r="B344" s="24" t="s">
        <v>1556</v>
      </c>
      <c r="C344" s="24" t="s">
        <v>1557</v>
      </c>
      <c r="D344" s="24" t="s">
        <v>1558</v>
      </c>
      <c r="E344" s="24" t="s">
        <v>1074</v>
      </c>
      <c r="F344" s="24" t="s">
        <v>1075</v>
      </c>
      <c r="G344" s="25">
        <f>VLOOKUP(A344,负载电气特性!A:G,7,FALSE)</f>
        <v>28</v>
      </c>
      <c r="H344" s="26" t="s">
        <v>66</v>
      </c>
      <c r="I344" s="25" t="s">
        <v>1706</v>
      </c>
      <c r="J344" s="25" t="s">
        <v>1707</v>
      </c>
      <c r="K344" s="25">
        <v>0.02</v>
      </c>
      <c r="L344" s="25">
        <v>1</v>
      </c>
      <c r="M344" s="25">
        <v>1</v>
      </c>
      <c r="N344" s="25">
        <v>1</v>
      </c>
      <c r="O344" s="25">
        <v>1</v>
      </c>
      <c r="P344" s="25">
        <v>1</v>
      </c>
      <c r="Q344" s="25">
        <v>1</v>
      </c>
      <c r="R344" s="25">
        <v>1</v>
      </c>
      <c r="S344" s="25">
        <v>1</v>
      </c>
      <c r="T344" s="25">
        <v>1</v>
      </c>
      <c r="U344" s="27">
        <f>_xlfn.LET(_xlpm.maxVal,_xlfn.MAXIFS($K:$K,$A:$A,A344),IF(AND(_xlpm.maxVal=K344,L344&lt;&gt;0),_xlpm.maxVal,""))</f>
        <v>0.02</v>
      </c>
      <c r="V344" s="27">
        <f>_xlfn.LET(_xlpm.maxVal,_xlfn.MAXIFS($K:$K,$A:$A,A344),IF(AND(_xlpm.maxVal=K344,M344&lt;&gt;0),_xlpm.maxVal,""))</f>
        <v>0.02</v>
      </c>
      <c r="W344" s="27">
        <f>_xlfn.LET(_xlpm.maxVal,_xlfn.MAXIFS($K:$K,$A:$A,A344),IF(AND(_xlpm.maxVal=K344,N344&lt;&gt;0),_xlpm.maxVal,""))</f>
        <v>0.02</v>
      </c>
      <c r="X344" s="27">
        <f>_xlfn.LET(_xlpm.maxVal,_xlfn.MAXIFS($K:$K,$A:$A,A344),IF(AND(_xlpm.maxVal=K344,O344&lt;&gt;0),_xlpm.maxVal,""))</f>
        <v>0.02</v>
      </c>
      <c r="Y344" s="27">
        <f>_xlfn.LET(_xlpm.maxVal,_xlfn.MAXIFS($K:$K,$A:$A,A344),IF(AND(_xlpm.maxVal=K344,P344&lt;&gt;0),_xlpm.maxVal,""))</f>
        <v>0.02</v>
      </c>
      <c r="Z344" s="27">
        <f>_xlfn.LET(_xlpm.maxVal,_xlfn.MAXIFS($K:$K,$A:$A,A344),IF(AND(_xlpm.maxVal=K344,Q344&lt;&gt;0),_xlpm.maxVal,""))</f>
        <v>0.02</v>
      </c>
      <c r="AA344" s="27">
        <f>_xlfn.LET(_xlpm.maxVal,_xlfn.MAXIFS($K:$K,$A:$A,A344),IF(AND(_xlpm.maxVal=K344,R344&lt;&gt;0),_xlpm.maxVal,""))</f>
        <v>0.02</v>
      </c>
      <c r="AB344" s="27">
        <f>_xlfn.LET(_xlpm.maxVal,_xlfn.MAXIFS($K:$K,$A:$A,A344),IF(AND(_xlpm.maxVal=K344,S344&lt;&gt;0),_xlpm.maxVal,""))</f>
        <v>0.02</v>
      </c>
      <c r="AC344" s="27">
        <f>_xlfn.LET(_xlpm.maxVal,_xlfn.MAXIFS($K:$K,$A:$A,A344),IF(AND(_xlpm.maxVal=K344,T344&lt;&gt;0),_xlpm.maxVal,""))</f>
        <v>0.02</v>
      </c>
      <c r="AD344" s="27">
        <f>$K344*L344*负载统计!$K$3/60</f>
        <v>0</v>
      </c>
      <c r="AE344" s="27">
        <f>$K344*L344*负载统计!$K$4/60</f>
        <v>0</v>
      </c>
      <c r="AF344" s="27">
        <f>$K344*N344*负载统计!$K$5/60</f>
        <v>0.000333333333333333</v>
      </c>
      <c r="AG344" s="27">
        <f>$K344*O344*负载统计!$K$6/60</f>
        <v>0.001</v>
      </c>
      <c r="AH344" s="27">
        <f>$K344*P344*负载统计!$K$7/60</f>
        <v>0.00225666666666667</v>
      </c>
      <c r="AI344" s="27">
        <f>$K344*Q344*负载统计!$K$8/60</f>
        <v>0.0145333333333333</v>
      </c>
      <c r="AJ344" s="27">
        <f>$K344*R344*负载统计!$K$9/60</f>
        <v>0.00461666666666667</v>
      </c>
      <c r="AK344" s="27">
        <f>$K344*S344*负载统计!$K$10/60</f>
        <v>0.000166666666666667</v>
      </c>
      <c r="AL344" s="27">
        <f>$K344*T344*负载统计!$K$11/60</f>
        <v>0.00133333333333333</v>
      </c>
    </row>
    <row r="345" spans="1:38">
      <c r="A345" s="1">
        <v>159</v>
      </c>
      <c r="B345" s="24" t="s">
        <v>1556</v>
      </c>
      <c r="C345" s="24" t="s">
        <v>1557</v>
      </c>
      <c r="D345" s="24" t="s">
        <v>1558</v>
      </c>
      <c r="E345" s="24" t="s">
        <v>1074</v>
      </c>
      <c r="F345" s="24" t="s">
        <v>1075</v>
      </c>
      <c r="G345" s="25">
        <f>VLOOKUP(A345,负载电气特性!A:G,7,FALSE)</f>
        <v>28</v>
      </c>
      <c r="H345" s="26" t="s">
        <v>66</v>
      </c>
      <c r="I345" s="25" t="s">
        <v>1706</v>
      </c>
      <c r="J345" s="25" t="s">
        <v>1708</v>
      </c>
      <c r="K345" s="25">
        <v>0</v>
      </c>
      <c r="L345" s="25">
        <v>0</v>
      </c>
      <c r="M345" s="25">
        <v>0</v>
      </c>
      <c r="N345" s="25">
        <v>0</v>
      </c>
      <c r="O345" s="25">
        <v>0</v>
      </c>
      <c r="P345" s="25">
        <v>0</v>
      </c>
      <c r="Q345" s="25">
        <v>0</v>
      </c>
      <c r="R345" s="25">
        <v>0</v>
      </c>
      <c r="S345" s="25">
        <v>0</v>
      </c>
      <c r="T345" s="25">
        <v>0</v>
      </c>
      <c r="U345" s="27" t="str">
        <f>_xlfn.LET(_xlpm.maxVal,_xlfn.MAXIFS($K:$K,$A:$A,A345),IF(AND(_xlpm.maxVal=K345,L345&lt;&gt;0),_xlpm.maxVal,""))</f>
        <v/>
      </c>
      <c r="V345" s="27" t="str">
        <f>_xlfn.LET(_xlpm.maxVal,_xlfn.MAXIFS($K:$K,$A:$A,A345),IF(AND(_xlpm.maxVal=K345,M345&lt;&gt;0),_xlpm.maxVal,""))</f>
        <v/>
      </c>
      <c r="W345" s="27" t="str">
        <f>_xlfn.LET(_xlpm.maxVal,_xlfn.MAXIFS($K:$K,$A:$A,A345),IF(AND(_xlpm.maxVal=K345,N345&lt;&gt;0),_xlpm.maxVal,""))</f>
        <v/>
      </c>
      <c r="X345" s="27" t="str">
        <f>_xlfn.LET(_xlpm.maxVal,_xlfn.MAXIFS($K:$K,$A:$A,A345),IF(AND(_xlpm.maxVal=K345,O345&lt;&gt;0),_xlpm.maxVal,""))</f>
        <v/>
      </c>
      <c r="Y345" s="27" t="str">
        <f>_xlfn.LET(_xlpm.maxVal,_xlfn.MAXIFS($K:$K,$A:$A,A345),IF(AND(_xlpm.maxVal=K345,P345&lt;&gt;0),_xlpm.maxVal,""))</f>
        <v/>
      </c>
      <c r="Z345" s="27" t="str">
        <f>_xlfn.LET(_xlpm.maxVal,_xlfn.MAXIFS($K:$K,$A:$A,A345),IF(AND(_xlpm.maxVal=K345,Q345&lt;&gt;0),_xlpm.maxVal,""))</f>
        <v/>
      </c>
      <c r="AA345" s="27" t="str">
        <f>_xlfn.LET(_xlpm.maxVal,_xlfn.MAXIFS($K:$K,$A:$A,A345),IF(AND(_xlpm.maxVal=K345,R345&lt;&gt;0),_xlpm.maxVal,""))</f>
        <v/>
      </c>
      <c r="AB345" s="27" t="str">
        <f>_xlfn.LET(_xlpm.maxVal,_xlfn.MAXIFS($K:$K,$A:$A,A345),IF(AND(_xlpm.maxVal=K345,S345&lt;&gt;0),_xlpm.maxVal,""))</f>
        <v/>
      </c>
      <c r="AC345" s="27" t="str">
        <f>_xlfn.LET(_xlpm.maxVal,_xlfn.MAXIFS($K:$K,$A:$A,A345),IF(AND(_xlpm.maxVal=K345,T345&lt;&gt;0),_xlpm.maxVal,""))</f>
        <v/>
      </c>
      <c r="AD345" s="27">
        <f>$K345*L345*负载统计!$K$3/60</f>
        <v>0</v>
      </c>
      <c r="AE345" s="27">
        <f>$K345*L345*负载统计!$K$4/60</f>
        <v>0</v>
      </c>
      <c r="AF345" s="27">
        <f>$K345*N345*负载统计!$K$5/60</f>
        <v>0</v>
      </c>
      <c r="AG345" s="27">
        <f>$K345*O345*负载统计!$K$6/60</f>
        <v>0</v>
      </c>
      <c r="AH345" s="27">
        <f>$K345*P345*负载统计!$K$7/60</f>
        <v>0</v>
      </c>
      <c r="AI345" s="27">
        <f>$K345*Q345*负载统计!$K$8/60</f>
        <v>0</v>
      </c>
      <c r="AJ345" s="27">
        <f>$K345*R345*负载统计!$K$9/60</f>
        <v>0</v>
      </c>
      <c r="AK345" s="27">
        <f>$K345*S345*负载统计!$K$10/60</f>
        <v>0</v>
      </c>
      <c r="AL345" s="27">
        <f>$K345*T345*负载统计!$K$11/60</f>
        <v>0</v>
      </c>
    </row>
    <row r="346" spans="1:38">
      <c r="A346" s="1">
        <v>160</v>
      </c>
      <c r="B346" s="24" t="s">
        <v>1559</v>
      </c>
      <c r="C346" s="24" t="s">
        <v>1557</v>
      </c>
      <c r="D346" s="24" t="s">
        <v>1558</v>
      </c>
      <c r="E346" s="24" t="s">
        <v>1074</v>
      </c>
      <c r="F346" s="24" t="s">
        <v>1075</v>
      </c>
      <c r="G346" s="25">
        <f>VLOOKUP(A346,负载电气特性!A:G,7,FALSE)</f>
        <v>800</v>
      </c>
      <c r="H346" s="26" t="s">
        <v>66</v>
      </c>
      <c r="I346" s="25" t="s">
        <v>1706</v>
      </c>
      <c r="J346" s="25" t="s">
        <v>1707</v>
      </c>
      <c r="K346" s="25">
        <v>200</v>
      </c>
      <c r="L346" s="25">
        <v>0</v>
      </c>
      <c r="M346" s="25">
        <v>0</v>
      </c>
      <c r="N346" s="25">
        <v>0</v>
      </c>
      <c r="O346" s="25">
        <v>0.29</v>
      </c>
      <c r="P346" s="25">
        <v>1</v>
      </c>
      <c r="Q346" s="25">
        <v>0.36</v>
      </c>
      <c r="R346" s="25">
        <v>0.086</v>
      </c>
      <c r="S346" s="25">
        <v>0.03</v>
      </c>
      <c r="T346" s="25">
        <v>0</v>
      </c>
      <c r="U346" s="27" t="str">
        <f>_xlfn.LET(_xlpm.maxVal,_xlfn.MAXIFS($K:$K,$A:$A,A346),IF(AND(_xlpm.maxVal=K346,L346&lt;&gt;0),_xlpm.maxVal,""))</f>
        <v/>
      </c>
      <c r="V346" s="27" t="str">
        <f>_xlfn.LET(_xlpm.maxVal,_xlfn.MAXIFS($K:$K,$A:$A,A346),IF(AND(_xlpm.maxVal=K346,M346&lt;&gt;0),_xlpm.maxVal,""))</f>
        <v/>
      </c>
      <c r="W346" s="27" t="str">
        <f>_xlfn.LET(_xlpm.maxVal,_xlfn.MAXIFS($K:$K,$A:$A,A346),IF(AND(_xlpm.maxVal=K346,N346&lt;&gt;0),_xlpm.maxVal,""))</f>
        <v/>
      </c>
      <c r="X346" s="27"/>
      <c r="Y346" s="27"/>
      <c r="Z346" s="27"/>
      <c r="AA346" s="27"/>
      <c r="AB346" s="27"/>
      <c r="AC346" s="27"/>
      <c r="AD346" s="27">
        <f>$K346*L346*负载统计!$K$3/60</f>
        <v>0</v>
      </c>
      <c r="AE346" s="27">
        <f>$K346*L346*负载统计!$K$4/60</f>
        <v>0</v>
      </c>
      <c r="AF346" s="27">
        <f>$K346*N346*负载统计!$K$5/60</f>
        <v>0</v>
      </c>
      <c r="AG346" s="27">
        <v>0</v>
      </c>
      <c r="AH346" s="27">
        <v>0</v>
      </c>
      <c r="AI346" s="27">
        <v>0</v>
      </c>
      <c r="AJ346" s="27">
        <v>0</v>
      </c>
      <c r="AK346" s="27">
        <v>0</v>
      </c>
      <c r="AL346" s="27">
        <v>0</v>
      </c>
    </row>
    <row r="347" spans="1:38">
      <c r="A347" s="1">
        <v>160</v>
      </c>
      <c r="B347" s="24" t="s">
        <v>1559</v>
      </c>
      <c r="C347" s="24" t="s">
        <v>1557</v>
      </c>
      <c r="D347" s="24" t="s">
        <v>1558</v>
      </c>
      <c r="E347" s="24" t="s">
        <v>1074</v>
      </c>
      <c r="F347" s="24" t="s">
        <v>1075</v>
      </c>
      <c r="G347" s="25">
        <f>VLOOKUP(A347,负载电气特性!A:G,7,FALSE)</f>
        <v>800</v>
      </c>
      <c r="H347" s="26" t="s">
        <v>66</v>
      </c>
      <c r="I347" s="25" t="s">
        <v>1706</v>
      </c>
      <c r="J347" s="25" t="s">
        <v>1708</v>
      </c>
      <c r="K347" s="25">
        <v>0</v>
      </c>
      <c r="L347" s="25">
        <v>1</v>
      </c>
      <c r="M347" s="25">
        <v>1</v>
      </c>
      <c r="N347" s="25">
        <v>1</v>
      </c>
      <c r="O347" s="25">
        <v>0.7</v>
      </c>
      <c r="P347" s="25">
        <v>0</v>
      </c>
      <c r="Q347" s="25">
        <v>0.6</v>
      </c>
      <c r="R347" s="25">
        <v>0</v>
      </c>
      <c r="S347" s="25">
        <v>1</v>
      </c>
      <c r="T347" s="25">
        <v>1</v>
      </c>
      <c r="U347" s="27" t="str">
        <f>_xlfn.LET(_xlpm.maxVal,_xlfn.MAXIFS($K:$K,$A:$A,A347),IF(AND(_xlpm.maxVal=K347,L347&lt;&gt;0),_xlpm.maxVal,""))</f>
        <v/>
      </c>
      <c r="V347" s="27" t="str">
        <f>_xlfn.LET(_xlpm.maxVal,_xlfn.MAXIFS($K:$K,$A:$A,A347),IF(AND(_xlpm.maxVal=K347,M347&lt;&gt;0),_xlpm.maxVal,""))</f>
        <v/>
      </c>
      <c r="W347" s="27" t="str">
        <f>_xlfn.LET(_xlpm.maxVal,_xlfn.MAXIFS($K:$K,$A:$A,A347),IF(AND(_xlpm.maxVal=K347,N347&lt;&gt;0),_xlpm.maxVal,""))</f>
        <v/>
      </c>
      <c r="X347" s="27" t="str">
        <f>_xlfn.LET(_xlpm.maxVal,_xlfn.MAXIFS($K:$K,$A:$A,A347),IF(AND(_xlpm.maxVal=K347,O347&lt;&gt;0),_xlpm.maxVal,""))</f>
        <v/>
      </c>
      <c r="Y347" s="27" t="str">
        <f>_xlfn.LET(_xlpm.maxVal,_xlfn.MAXIFS($K:$K,$A:$A,A347),IF(AND(_xlpm.maxVal=K347,P347&lt;&gt;0),_xlpm.maxVal,""))</f>
        <v/>
      </c>
      <c r="Z347" s="27" t="str">
        <f>_xlfn.LET(_xlpm.maxVal,_xlfn.MAXIFS($K:$K,$A:$A,A347),IF(AND(_xlpm.maxVal=K347,Q347&lt;&gt;0),_xlpm.maxVal,""))</f>
        <v/>
      </c>
      <c r="AA347" s="27" t="str">
        <f>_xlfn.LET(_xlpm.maxVal,_xlfn.MAXIFS($K:$K,$A:$A,A347),IF(AND(_xlpm.maxVal=K347,R347&lt;&gt;0),_xlpm.maxVal,""))</f>
        <v/>
      </c>
      <c r="AB347" s="27" t="str">
        <f>_xlfn.LET(_xlpm.maxVal,_xlfn.MAXIFS($K:$K,$A:$A,A347),IF(AND(_xlpm.maxVal=K347,S347&lt;&gt;0),_xlpm.maxVal,""))</f>
        <v/>
      </c>
      <c r="AC347" s="27" t="str">
        <f>_xlfn.LET(_xlpm.maxVal,_xlfn.MAXIFS($K:$K,$A:$A,A347),IF(AND(_xlpm.maxVal=K347,T347&lt;&gt;0),_xlpm.maxVal,""))</f>
        <v/>
      </c>
      <c r="AD347" s="27">
        <f>$K347*L347*负载统计!$K$3/60</f>
        <v>0</v>
      </c>
      <c r="AE347" s="27">
        <f>$K347*L347*负载统计!$K$4/60</f>
        <v>0</v>
      </c>
      <c r="AF347" s="27">
        <f>$K347*N347*负载统计!$K$5/60</f>
        <v>0</v>
      </c>
      <c r="AG347" s="27">
        <v>0</v>
      </c>
      <c r="AH347" s="27">
        <v>0</v>
      </c>
      <c r="AI347" s="27">
        <v>0</v>
      </c>
      <c r="AJ347" s="27">
        <v>0</v>
      </c>
      <c r="AK347" s="27">
        <v>0</v>
      </c>
      <c r="AL347" s="27">
        <v>0</v>
      </c>
    </row>
    <row r="348" spans="1:38">
      <c r="A348" s="1">
        <v>161</v>
      </c>
      <c r="B348" s="24" t="s">
        <v>1561</v>
      </c>
      <c r="C348" s="24" t="s">
        <v>1557</v>
      </c>
      <c r="D348" s="24" t="s">
        <v>1562</v>
      </c>
      <c r="E348" s="24" t="s">
        <v>1074</v>
      </c>
      <c r="F348" s="24" t="s">
        <v>1078</v>
      </c>
      <c r="G348" s="25">
        <f>VLOOKUP(A348,负载电气特性!A:G,7,FALSE)</f>
        <v>28</v>
      </c>
      <c r="H348" s="26" t="s">
        <v>66</v>
      </c>
      <c r="I348" s="25" t="s">
        <v>1706</v>
      </c>
      <c r="J348" s="25" t="s">
        <v>1707</v>
      </c>
      <c r="K348" s="25">
        <v>0.02</v>
      </c>
      <c r="L348" s="25">
        <v>1</v>
      </c>
      <c r="M348" s="25">
        <v>1</v>
      </c>
      <c r="N348" s="25">
        <v>1</v>
      </c>
      <c r="O348" s="25">
        <v>1</v>
      </c>
      <c r="P348" s="25">
        <v>1</v>
      </c>
      <c r="Q348" s="25">
        <v>1</v>
      </c>
      <c r="R348" s="25">
        <v>1</v>
      </c>
      <c r="S348" s="25">
        <v>1</v>
      </c>
      <c r="T348" s="25">
        <v>1</v>
      </c>
      <c r="U348" s="27">
        <f>_xlfn.LET(_xlpm.maxVal,_xlfn.MAXIFS($K:$K,$A:$A,A348),IF(AND(_xlpm.maxVal=K348,L348&lt;&gt;0),_xlpm.maxVal,""))</f>
        <v>0.02</v>
      </c>
      <c r="V348" s="27">
        <f>_xlfn.LET(_xlpm.maxVal,_xlfn.MAXIFS($K:$K,$A:$A,A348),IF(AND(_xlpm.maxVal=K348,M348&lt;&gt;0),_xlpm.maxVal,""))</f>
        <v>0.02</v>
      </c>
      <c r="W348" s="27">
        <f>_xlfn.LET(_xlpm.maxVal,_xlfn.MAXIFS($K:$K,$A:$A,A348),IF(AND(_xlpm.maxVal=K348,N348&lt;&gt;0),_xlpm.maxVal,""))</f>
        <v>0.02</v>
      </c>
      <c r="X348" s="27">
        <f>_xlfn.LET(_xlpm.maxVal,_xlfn.MAXIFS($K:$K,$A:$A,A348),IF(AND(_xlpm.maxVal=K348,O348&lt;&gt;0),_xlpm.maxVal,""))</f>
        <v>0.02</v>
      </c>
      <c r="Y348" s="27">
        <f>_xlfn.LET(_xlpm.maxVal,_xlfn.MAXIFS($K:$K,$A:$A,A348),IF(AND(_xlpm.maxVal=K348,P348&lt;&gt;0),_xlpm.maxVal,""))</f>
        <v>0.02</v>
      </c>
      <c r="Z348" s="27">
        <f>_xlfn.LET(_xlpm.maxVal,_xlfn.MAXIFS($K:$K,$A:$A,A348),IF(AND(_xlpm.maxVal=K348,Q348&lt;&gt;0),_xlpm.maxVal,""))</f>
        <v>0.02</v>
      </c>
      <c r="AA348" s="27">
        <f>_xlfn.LET(_xlpm.maxVal,_xlfn.MAXIFS($K:$K,$A:$A,A348),IF(AND(_xlpm.maxVal=K348,R348&lt;&gt;0),_xlpm.maxVal,""))</f>
        <v>0.02</v>
      </c>
      <c r="AB348" s="27">
        <f>_xlfn.LET(_xlpm.maxVal,_xlfn.MAXIFS($K:$K,$A:$A,A348),IF(AND(_xlpm.maxVal=K348,S348&lt;&gt;0),_xlpm.maxVal,""))</f>
        <v>0.02</v>
      </c>
      <c r="AC348" s="27">
        <f>_xlfn.LET(_xlpm.maxVal,_xlfn.MAXIFS($K:$K,$A:$A,A348),IF(AND(_xlpm.maxVal=K348,T348&lt;&gt;0),_xlpm.maxVal,""))</f>
        <v>0.02</v>
      </c>
      <c r="AD348" s="27">
        <f>$K348*L348*负载统计!$K$3/60</f>
        <v>0</v>
      </c>
      <c r="AE348" s="27">
        <f>$K348*L348*负载统计!$K$4/60</f>
        <v>0</v>
      </c>
      <c r="AF348" s="27">
        <f>$K348*N348*负载统计!$K$5/60</f>
        <v>0.000333333333333333</v>
      </c>
      <c r="AG348" s="27">
        <f>$K348*O348*负载统计!$K$6/60</f>
        <v>0.001</v>
      </c>
      <c r="AH348" s="27">
        <f>$K348*P348*负载统计!$K$7/60</f>
        <v>0.00225666666666667</v>
      </c>
      <c r="AI348" s="27">
        <f>$K348*Q348*负载统计!$K$8/60</f>
        <v>0.0145333333333333</v>
      </c>
      <c r="AJ348" s="27">
        <f>$K348*R348*负载统计!$K$9/60</f>
        <v>0.00461666666666667</v>
      </c>
      <c r="AK348" s="27">
        <f>$K348*S348*负载统计!$K$10/60</f>
        <v>0.000166666666666667</v>
      </c>
      <c r="AL348" s="27">
        <f>$K348*T348*负载统计!$K$11/60</f>
        <v>0.00133333333333333</v>
      </c>
    </row>
    <row r="349" spans="1:38">
      <c r="A349" s="1">
        <v>161</v>
      </c>
      <c r="B349" s="24" t="s">
        <v>1561</v>
      </c>
      <c r="C349" s="24" t="s">
        <v>1557</v>
      </c>
      <c r="D349" s="24" t="s">
        <v>1562</v>
      </c>
      <c r="E349" s="24" t="s">
        <v>1074</v>
      </c>
      <c r="F349" s="24" t="s">
        <v>1078</v>
      </c>
      <c r="G349" s="25">
        <f>VLOOKUP(A349,负载电气特性!A:G,7,FALSE)</f>
        <v>28</v>
      </c>
      <c r="H349" s="26" t="s">
        <v>66</v>
      </c>
      <c r="I349" s="25" t="s">
        <v>1706</v>
      </c>
      <c r="J349" s="25" t="s">
        <v>1708</v>
      </c>
      <c r="K349" s="25">
        <v>0</v>
      </c>
      <c r="L349" s="25">
        <v>0</v>
      </c>
      <c r="M349" s="25">
        <v>0</v>
      </c>
      <c r="N349" s="25">
        <v>0</v>
      </c>
      <c r="O349" s="25">
        <v>0</v>
      </c>
      <c r="P349" s="25">
        <v>0</v>
      </c>
      <c r="Q349" s="25">
        <v>0</v>
      </c>
      <c r="R349" s="25">
        <v>0</v>
      </c>
      <c r="S349" s="25">
        <v>0</v>
      </c>
      <c r="T349" s="25">
        <v>0</v>
      </c>
      <c r="U349" s="27" t="str">
        <f>_xlfn.LET(_xlpm.maxVal,_xlfn.MAXIFS($K:$K,$A:$A,A349),IF(AND(_xlpm.maxVal=K349,L349&lt;&gt;0),_xlpm.maxVal,""))</f>
        <v/>
      </c>
      <c r="V349" s="27" t="str">
        <f>_xlfn.LET(_xlpm.maxVal,_xlfn.MAXIFS($K:$K,$A:$A,A349),IF(AND(_xlpm.maxVal=K349,M349&lt;&gt;0),_xlpm.maxVal,""))</f>
        <v/>
      </c>
      <c r="W349" s="27" t="str">
        <f>_xlfn.LET(_xlpm.maxVal,_xlfn.MAXIFS($K:$K,$A:$A,A349),IF(AND(_xlpm.maxVal=K349,N349&lt;&gt;0),_xlpm.maxVal,""))</f>
        <v/>
      </c>
      <c r="X349" s="27" t="str">
        <f>_xlfn.LET(_xlpm.maxVal,_xlfn.MAXIFS($K:$K,$A:$A,A349),IF(AND(_xlpm.maxVal=K349,O349&lt;&gt;0),_xlpm.maxVal,""))</f>
        <v/>
      </c>
      <c r="Y349" s="27" t="str">
        <f>_xlfn.LET(_xlpm.maxVal,_xlfn.MAXIFS($K:$K,$A:$A,A349),IF(AND(_xlpm.maxVal=K349,P349&lt;&gt;0),_xlpm.maxVal,""))</f>
        <v/>
      </c>
      <c r="Z349" s="27" t="str">
        <f>_xlfn.LET(_xlpm.maxVal,_xlfn.MAXIFS($K:$K,$A:$A,A349),IF(AND(_xlpm.maxVal=K349,Q349&lt;&gt;0),_xlpm.maxVal,""))</f>
        <v/>
      </c>
      <c r="AA349" s="27" t="str">
        <f>_xlfn.LET(_xlpm.maxVal,_xlfn.MAXIFS($K:$K,$A:$A,A349),IF(AND(_xlpm.maxVal=K349,R349&lt;&gt;0),_xlpm.maxVal,""))</f>
        <v/>
      </c>
      <c r="AB349" s="27" t="str">
        <f>_xlfn.LET(_xlpm.maxVal,_xlfn.MAXIFS($K:$K,$A:$A,A349),IF(AND(_xlpm.maxVal=K349,S349&lt;&gt;0),_xlpm.maxVal,""))</f>
        <v/>
      </c>
      <c r="AC349" s="27" t="str">
        <f>_xlfn.LET(_xlpm.maxVal,_xlfn.MAXIFS($K:$K,$A:$A,A349),IF(AND(_xlpm.maxVal=K349,T349&lt;&gt;0),_xlpm.maxVal,""))</f>
        <v/>
      </c>
      <c r="AD349" s="27">
        <f>$K349*L349*负载统计!$K$3/60</f>
        <v>0</v>
      </c>
      <c r="AE349" s="27">
        <f>$K349*L349*负载统计!$K$4/60</f>
        <v>0</v>
      </c>
      <c r="AF349" s="27">
        <f>$K349*N349*负载统计!$K$5/60</f>
        <v>0</v>
      </c>
      <c r="AG349" s="27">
        <f>$K349*O349*负载统计!$K$6/60</f>
        <v>0</v>
      </c>
      <c r="AH349" s="27">
        <f>$K349*P349*负载统计!$K$7/60</f>
        <v>0</v>
      </c>
      <c r="AI349" s="27">
        <f>$K349*Q349*负载统计!$K$8/60</f>
        <v>0</v>
      </c>
      <c r="AJ349" s="27">
        <f>$K349*R349*负载统计!$K$9/60</f>
        <v>0</v>
      </c>
      <c r="AK349" s="27">
        <f>$K349*S349*负载统计!$K$10/60</f>
        <v>0</v>
      </c>
      <c r="AL349" s="27">
        <f>$K349*T349*负载统计!$K$11/60</f>
        <v>0</v>
      </c>
    </row>
    <row r="350" spans="1:38">
      <c r="A350" s="1">
        <v>162</v>
      </c>
      <c r="B350" s="24" t="s">
        <v>1563</v>
      </c>
      <c r="C350" s="24" t="s">
        <v>1557</v>
      </c>
      <c r="D350" s="24" t="s">
        <v>1562</v>
      </c>
      <c r="E350" s="24" t="s">
        <v>1074</v>
      </c>
      <c r="F350" s="24" t="s">
        <v>1078</v>
      </c>
      <c r="G350" s="25">
        <f>VLOOKUP(A350,负载电气特性!A:G,7,FALSE)</f>
        <v>800</v>
      </c>
      <c r="H350" s="26" t="s">
        <v>66</v>
      </c>
      <c r="I350" s="25" t="s">
        <v>1706</v>
      </c>
      <c r="J350" s="25" t="s">
        <v>1707</v>
      </c>
      <c r="K350" s="25">
        <v>200</v>
      </c>
      <c r="L350" s="25">
        <v>0</v>
      </c>
      <c r="M350" s="25">
        <v>0</v>
      </c>
      <c r="N350" s="25">
        <v>0</v>
      </c>
      <c r="O350" s="25">
        <v>0.29</v>
      </c>
      <c r="P350" s="25">
        <v>1</v>
      </c>
      <c r="Q350" s="25">
        <v>0.36</v>
      </c>
      <c r="R350" s="25">
        <v>0.086</v>
      </c>
      <c r="S350" s="25">
        <v>0.03</v>
      </c>
      <c r="T350" s="25">
        <v>0</v>
      </c>
      <c r="U350" s="27" t="str">
        <f>_xlfn.LET(_xlpm.maxVal,_xlfn.MAXIFS($K:$K,$A:$A,A350),IF(AND(_xlpm.maxVal=K350,L350&lt;&gt;0),_xlpm.maxVal,""))</f>
        <v/>
      </c>
      <c r="V350" s="27" t="str">
        <f>_xlfn.LET(_xlpm.maxVal,_xlfn.MAXIFS($K:$K,$A:$A,A350),IF(AND(_xlpm.maxVal=K350,M350&lt;&gt;0),_xlpm.maxVal,""))</f>
        <v/>
      </c>
      <c r="W350" s="27" t="str">
        <f>_xlfn.LET(_xlpm.maxVal,_xlfn.MAXIFS($K:$K,$A:$A,A350),IF(AND(_xlpm.maxVal=K350,N350&lt;&gt;0),_xlpm.maxVal,""))</f>
        <v/>
      </c>
      <c r="X350" s="27"/>
      <c r="Y350" s="27"/>
      <c r="Z350" s="27"/>
      <c r="AA350" s="27"/>
      <c r="AB350" s="27"/>
      <c r="AC350" s="27" t="str">
        <f>_xlfn.LET(_xlpm.maxVal,_xlfn.MAXIFS($K:$K,$A:$A,A350),IF(AND(_xlpm.maxVal=K350,T350&lt;&gt;0),_xlpm.maxVal,""))</f>
        <v/>
      </c>
      <c r="AD350" s="27">
        <f>$K350*L350*负载统计!$K$3/60</f>
        <v>0</v>
      </c>
      <c r="AE350" s="27">
        <f>$K350*L350*负载统计!$K$4/60</f>
        <v>0</v>
      </c>
      <c r="AF350" s="27">
        <f>$K350*N350*负载统计!$K$5/60</f>
        <v>0</v>
      </c>
      <c r="AG350" s="27">
        <v>0</v>
      </c>
      <c r="AH350" s="27">
        <v>0</v>
      </c>
      <c r="AI350" s="27">
        <v>0</v>
      </c>
      <c r="AJ350" s="27">
        <v>0</v>
      </c>
      <c r="AK350" s="27">
        <v>0</v>
      </c>
      <c r="AL350" s="27">
        <v>0</v>
      </c>
    </row>
    <row r="351" spans="1:38">
      <c r="A351" s="1">
        <v>162</v>
      </c>
      <c r="B351" s="24" t="s">
        <v>1563</v>
      </c>
      <c r="C351" s="24" t="s">
        <v>1557</v>
      </c>
      <c r="D351" s="24" t="s">
        <v>1562</v>
      </c>
      <c r="E351" s="24" t="s">
        <v>1074</v>
      </c>
      <c r="F351" s="24" t="s">
        <v>1078</v>
      </c>
      <c r="G351" s="25">
        <f>VLOOKUP(A351,负载电气特性!A:G,7,FALSE)</f>
        <v>800</v>
      </c>
      <c r="H351" s="26" t="s">
        <v>66</v>
      </c>
      <c r="I351" s="25" t="s">
        <v>1706</v>
      </c>
      <c r="J351" s="25" t="s">
        <v>1708</v>
      </c>
      <c r="K351" s="25">
        <v>0</v>
      </c>
      <c r="L351" s="25">
        <v>1</v>
      </c>
      <c r="M351" s="25">
        <v>1</v>
      </c>
      <c r="N351" s="25">
        <v>1</v>
      </c>
      <c r="O351" s="25">
        <v>0.7</v>
      </c>
      <c r="P351" s="25">
        <v>0</v>
      </c>
      <c r="Q351" s="25">
        <v>0.6</v>
      </c>
      <c r="R351" s="25">
        <v>0</v>
      </c>
      <c r="S351" s="25">
        <v>1</v>
      </c>
      <c r="T351" s="25">
        <v>1</v>
      </c>
      <c r="U351" s="27" t="str">
        <f>_xlfn.LET(_xlpm.maxVal,_xlfn.MAXIFS($K:$K,$A:$A,A351),IF(AND(_xlpm.maxVal=K351,L351&lt;&gt;0),_xlpm.maxVal,""))</f>
        <v/>
      </c>
      <c r="V351" s="27" t="str">
        <f>_xlfn.LET(_xlpm.maxVal,_xlfn.MAXIFS($K:$K,$A:$A,A351),IF(AND(_xlpm.maxVal=K351,M351&lt;&gt;0),_xlpm.maxVal,""))</f>
        <v/>
      </c>
      <c r="W351" s="27" t="str">
        <f>_xlfn.LET(_xlpm.maxVal,_xlfn.MAXIFS($K:$K,$A:$A,A351),IF(AND(_xlpm.maxVal=K351,N351&lt;&gt;0),_xlpm.maxVal,""))</f>
        <v/>
      </c>
      <c r="X351" s="27" t="str">
        <f>_xlfn.LET(_xlpm.maxVal,_xlfn.MAXIFS($K:$K,$A:$A,A351),IF(AND(_xlpm.maxVal=K351,O351&lt;&gt;0),_xlpm.maxVal,""))</f>
        <v/>
      </c>
      <c r="Y351" s="27" t="str">
        <f>_xlfn.LET(_xlpm.maxVal,_xlfn.MAXIFS($K:$K,$A:$A,A351),IF(AND(_xlpm.maxVal=K351,P351&lt;&gt;0),_xlpm.maxVal,""))</f>
        <v/>
      </c>
      <c r="Z351" s="27" t="str">
        <f>_xlfn.LET(_xlpm.maxVal,_xlfn.MAXIFS($K:$K,$A:$A,A351),IF(AND(_xlpm.maxVal=K351,Q351&lt;&gt;0),_xlpm.maxVal,""))</f>
        <v/>
      </c>
      <c r="AA351" s="27" t="str">
        <f>_xlfn.LET(_xlpm.maxVal,_xlfn.MAXIFS($K:$K,$A:$A,A351),IF(AND(_xlpm.maxVal=K351,R351&lt;&gt;0),_xlpm.maxVal,""))</f>
        <v/>
      </c>
      <c r="AB351" s="27" t="str">
        <f>_xlfn.LET(_xlpm.maxVal,_xlfn.MAXIFS($K:$K,$A:$A,A351),IF(AND(_xlpm.maxVal=K351,S351&lt;&gt;0),_xlpm.maxVal,""))</f>
        <v/>
      </c>
      <c r="AC351" s="27" t="str">
        <f>_xlfn.LET(_xlpm.maxVal,_xlfn.MAXIFS($K:$K,$A:$A,A351),IF(AND(_xlpm.maxVal=K351,T351&lt;&gt;0),_xlpm.maxVal,""))</f>
        <v/>
      </c>
      <c r="AD351" s="27">
        <f>$K351*L351*负载统计!$K$3/60</f>
        <v>0</v>
      </c>
      <c r="AE351" s="27">
        <f>$K351*L351*负载统计!$K$4/60</f>
        <v>0</v>
      </c>
      <c r="AF351" s="27">
        <f>$K351*N351*负载统计!$K$5/60</f>
        <v>0</v>
      </c>
      <c r="AG351" s="27">
        <v>0</v>
      </c>
      <c r="AH351" s="27">
        <v>0</v>
      </c>
      <c r="AI351" s="27">
        <v>0</v>
      </c>
      <c r="AJ351" s="27">
        <v>0</v>
      </c>
      <c r="AK351" s="27">
        <v>0</v>
      </c>
      <c r="AL351" s="27">
        <v>0</v>
      </c>
    </row>
    <row r="352" spans="1:38">
      <c r="A352" s="1">
        <v>163</v>
      </c>
      <c r="B352" s="24" t="s">
        <v>1564</v>
      </c>
      <c r="C352" s="24" t="s">
        <v>1557</v>
      </c>
      <c r="D352" s="24" t="s">
        <v>1565</v>
      </c>
      <c r="E352" s="24" t="s">
        <v>1074</v>
      </c>
      <c r="F352" s="24" t="s">
        <v>1081</v>
      </c>
      <c r="G352" s="25">
        <f>VLOOKUP(A352,负载电气特性!A:G,7,FALSE)</f>
        <v>28</v>
      </c>
      <c r="H352" s="26" t="s">
        <v>66</v>
      </c>
      <c r="I352" s="25" t="s">
        <v>1706</v>
      </c>
      <c r="J352" s="25" t="s">
        <v>1707</v>
      </c>
      <c r="K352" s="25">
        <v>0.02</v>
      </c>
      <c r="L352" s="25">
        <v>1</v>
      </c>
      <c r="M352" s="25">
        <v>1</v>
      </c>
      <c r="N352" s="25">
        <v>1</v>
      </c>
      <c r="O352" s="25">
        <v>1</v>
      </c>
      <c r="P352" s="25">
        <v>1</v>
      </c>
      <c r="Q352" s="25">
        <v>1</v>
      </c>
      <c r="R352" s="25">
        <v>1</v>
      </c>
      <c r="S352" s="25">
        <v>1</v>
      </c>
      <c r="T352" s="25">
        <v>1</v>
      </c>
      <c r="U352" s="27">
        <f>_xlfn.LET(_xlpm.maxVal,_xlfn.MAXIFS($K:$K,$A:$A,A352),IF(AND(_xlpm.maxVal=K352,L352&lt;&gt;0),_xlpm.maxVal,""))</f>
        <v>0.02</v>
      </c>
      <c r="V352" s="27">
        <f>_xlfn.LET(_xlpm.maxVal,_xlfn.MAXIFS($K:$K,$A:$A,A352),IF(AND(_xlpm.maxVal=K352,M352&lt;&gt;0),_xlpm.maxVal,""))</f>
        <v>0.02</v>
      </c>
      <c r="W352" s="27">
        <f>_xlfn.LET(_xlpm.maxVal,_xlfn.MAXIFS($K:$K,$A:$A,A352),IF(AND(_xlpm.maxVal=K352,N352&lt;&gt;0),_xlpm.maxVal,""))</f>
        <v>0.02</v>
      </c>
      <c r="X352" s="27">
        <f>_xlfn.LET(_xlpm.maxVal,_xlfn.MAXIFS($K:$K,$A:$A,A352),IF(AND(_xlpm.maxVal=K352,O352&lt;&gt;0),_xlpm.maxVal,""))</f>
        <v>0.02</v>
      </c>
      <c r="Y352" s="27">
        <f>_xlfn.LET(_xlpm.maxVal,_xlfn.MAXIFS($K:$K,$A:$A,A352),IF(AND(_xlpm.maxVal=K352,P352&lt;&gt;0),_xlpm.maxVal,""))</f>
        <v>0.02</v>
      </c>
      <c r="Z352" s="27">
        <f>_xlfn.LET(_xlpm.maxVal,_xlfn.MAXIFS($K:$K,$A:$A,A352),IF(AND(_xlpm.maxVal=K352,Q352&lt;&gt;0),_xlpm.maxVal,""))</f>
        <v>0.02</v>
      </c>
      <c r="AA352" s="27">
        <f>_xlfn.LET(_xlpm.maxVal,_xlfn.MAXIFS($K:$K,$A:$A,A352),IF(AND(_xlpm.maxVal=K352,R352&lt;&gt;0),_xlpm.maxVal,""))</f>
        <v>0.02</v>
      </c>
      <c r="AB352" s="27">
        <f>_xlfn.LET(_xlpm.maxVal,_xlfn.MAXIFS($K:$K,$A:$A,A352),IF(AND(_xlpm.maxVal=K352,S352&lt;&gt;0),_xlpm.maxVal,""))</f>
        <v>0.02</v>
      </c>
      <c r="AC352" s="27">
        <f>_xlfn.LET(_xlpm.maxVal,_xlfn.MAXIFS($K:$K,$A:$A,A352),IF(AND(_xlpm.maxVal=K352,T352&lt;&gt;0),_xlpm.maxVal,""))</f>
        <v>0.02</v>
      </c>
      <c r="AD352" s="27">
        <f>$K352*L352*负载统计!$K$3/60</f>
        <v>0</v>
      </c>
      <c r="AE352" s="27">
        <f>$K352*L352*负载统计!$K$4/60</f>
        <v>0</v>
      </c>
      <c r="AF352" s="27">
        <f>$K352*N352*负载统计!$K$5/60</f>
        <v>0.000333333333333333</v>
      </c>
      <c r="AG352" s="27">
        <f>$K352*O352*负载统计!$K$6/60</f>
        <v>0.001</v>
      </c>
      <c r="AH352" s="27">
        <f>$K352*P352*负载统计!$K$7/60</f>
        <v>0.00225666666666667</v>
      </c>
      <c r="AI352" s="27">
        <f>$K352*Q352*负载统计!$K$8/60</f>
        <v>0.0145333333333333</v>
      </c>
      <c r="AJ352" s="27">
        <f>$K352*R352*负载统计!$K$9/60</f>
        <v>0.00461666666666667</v>
      </c>
      <c r="AK352" s="27">
        <f>$K352*S352*负载统计!$K$10/60</f>
        <v>0.000166666666666667</v>
      </c>
      <c r="AL352" s="27">
        <f>$K352*T352*负载统计!$K$11/60</f>
        <v>0.00133333333333333</v>
      </c>
    </row>
    <row r="353" spans="1:38">
      <c r="A353" s="1">
        <v>163</v>
      </c>
      <c r="B353" s="24" t="s">
        <v>1564</v>
      </c>
      <c r="C353" s="24" t="s">
        <v>1557</v>
      </c>
      <c r="D353" s="24" t="s">
        <v>1565</v>
      </c>
      <c r="E353" s="24" t="s">
        <v>1074</v>
      </c>
      <c r="F353" s="24" t="s">
        <v>1081</v>
      </c>
      <c r="G353" s="25">
        <f>VLOOKUP(A353,负载电气特性!A:G,7,FALSE)</f>
        <v>28</v>
      </c>
      <c r="H353" s="26" t="s">
        <v>66</v>
      </c>
      <c r="I353" s="25" t="s">
        <v>1706</v>
      </c>
      <c r="J353" s="25" t="s">
        <v>1708</v>
      </c>
      <c r="K353" s="25">
        <v>0</v>
      </c>
      <c r="L353" s="25">
        <v>0</v>
      </c>
      <c r="M353" s="25">
        <v>0</v>
      </c>
      <c r="N353" s="25">
        <v>0</v>
      </c>
      <c r="O353" s="25">
        <v>0</v>
      </c>
      <c r="P353" s="25">
        <v>0</v>
      </c>
      <c r="Q353" s="25">
        <v>0</v>
      </c>
      <c r="R353" s="25">
        <v>0</v>
      </c>
      <c r="S353" s="25">
        <v>0</v>
      </c>
      <c r="T353" s="25">
        <v>0</v>
      </c>
      <c r="U353" s="27" t="str">
        <f>_xlfn.LET(_xlpm.maxVal,_xlfn.MAXIFS($K:$K,$A:$A,A353),IF(AND(_xlpm.maxVal=K353,L353&lt;&gt;0),_xlpm.maxVal,""))</f>
        <v/>
      </c>
      <c r="V353" s="27" t="str">
        <f>_xlfn.LET(_xlpm.maxVal,_xlfn.MAXIFS($K:$K,$A:$A,A353),IF(AND(_xlpm.maxVal=K353,M353&lt;&gt;0),_xlpm.maxVal,""))</f>
        <v/>
      </c>
      <c r="W353" s="27" t="str">
        <f>_xlfn.LET(_xlpm.maxVal,_xlfn.MAXIFS($K:$K,$A:$A,A353),IF(AND(_xlpm.maxVal=K353,N353&lt;&gt;0),_xlpm.maxVal,""))</f>
        <v/>
      </c>
      <c r="X353" s="27" t="str">
        <f>_xlfn.LET(_xlpm.maxVal,_xlfn.MAXIFS($K:$K,$A:$A,A353),IF(AND(_xlpm.maxVal=K353,O353&lt;&gt;0),_xlpm.maxVal,""))</f>
        <v/>
      </c>
      <c r="Y353" s="27" t="str">
        <f>_xlfn.LET(_xlpm.maxVal,_xlfn.MAXIFS($K:$K,$A:$A,A353),IF(AND(_xlpm.maxVal=K353,P353&lt;&gt;0),_xlpm.maxVal,""))</f>
        <v/>
      </c>
      <c r="Z353" s="27" t="str">
        <f>_xlfn.LET(_xlpm.maxVal,_xlfn.MAXIFS($K:$K,$A:$A,A353),IF(AND(_xlpm.maxVal=K353,Q353&lt;&gt;0),_xlpm.maxVal,""))</f>
        <v/>
      </c>
      <c r="AA353" s="27" t="str">
        <f>_xlfn.LET(_xlpm.maxVal,_xlfn.MAXIFS($K:$K,$A:$A,A353),IF(AND(_xlpm.maxVal=K353,R353&lt;&gt;0),_xlpm.maxVal,""))</f>
        <v/>
      </c>
      <c r="AB353" s="27" t="str">
        <f>_xlfn.LET(_xlpm.maxVal,_xlfn.MAXIFS($K:$K,$A:$A,A353),IF(AND(_xlpm.maxVal=K353,S353&lt;&gt;0),_xlpm.maxVal,""))</f>
        <v/>
      </c>
      <c r="AC353" s="27" t="str">
        <f>_xlfn.LET(_xlpm.maxVal,_xlfn.MAXIFS($K:$K,$A:$A,A353),IF(AND(_xlpm.maxVal=K353,T353&lt;&gt;0),_xlpm.maxVal,""))</f>
        <v/>
      </c>
      <c r="AD353" s="27">
        <f>$K353*L353*负载统计!$K$3/60</f>
        <v>0</v>
      </c>
      <c r="AE353" s="27">
        <f>$K353*L353*负载统计!$K$4/60</f>
        <v>0</v>
      </c>
      <c r="AF353" s="27">
        <f>$K353*N353*负载统计!$K$5/60</f>
        <v>0</v>
      </c>
      <c r="AG353" s="27">
        <f>$K353*O353*负载统计!$K$6/60</f>
        <v>0</v>
      </c>
      <c r="AH353" s="27">
        <f>$K353*P353*负载统计!$K$7/60</f>
        <v>0</v>
      </c>
      <c r="AI353" s="27">
        <f>$K353*Q353*负载统计!$K$8/60</f>
        <v>0</v>
      </c>
      <c r="AJ353" s="27">
        <f>$K353*R353*负载统计!$K$9/60</f>
        <v>0</v>
      </c>
      <c r="AK353" s="27">
        <f>$K353*S353*负载统计!$K$10/60</f>
        <v>0</v>
      </c>
      <c r="AL353" s="27">
        <f>$K353*T353*负载统计!$K$11/60</f>
        <v>0</v>
      </c>
    </row>
    <row r="354" spans="1:38">
      <c r="A354" s="1">
        <v>164</v>
      </c>
      <c r="B354" s="24" t="s">
        <v>1566</v>
      </c>
      <c r="C354" s="24" t="s">
        <v>1557</v>
      </c>
      <c r="D354" s="24" t="s">
        <v>1565</v>
      </c>
      <c r="E354" s="24" t="s">
        <v>1074</v>
      </c>
      <c r="F354" s="24" t="s">
        <v>1081</v>
      </c>
      <c r="G354" s="25">
        <f>VLOOKUP(A354,负载电气特性!A:G,7,FALSE)</f>
        <v>800</v>
      </c>
      <c r="H354" s="26" t="s">
        <v>66</v>
      </c>
      <c r="I354" s="25" t="s">
        <v>1706</v>
      </c>
      <c r="J354" s="25" t="s">
        <v>1707</v>
      </c>
      <c r="K354" s="25">
        <v>200</v>
      </c>
      <c r="L354" s="25">
        <v>0</v>
      </c>
      <c r="M354" s="25">
        <v>0</v>
      </c>
      <c r="N354" s="25">
        <v>0</v>
      </c>
      <c r="O354" s="25">
        <v>0.29</v>
      </c>
      <c r="P354" s="25">
        <v>1</v>
      </c>
      <c r="Q354" s="25">
        <v>0.36</v>
      </c>
      <c r="R354" s="25">
        <v>0.086</v>
      </c>
      <c r="S354" s="25">
        <v>0.03</v>
      </c>
      <c r="T354" s="25">
        <v>0</v>
      </c>
      <c r="U354" s="27" t="str">
        <f>_xlfn.LET(_xlpm.maxVal,_xlfn.MAXIFS($K:$K,$A:$A,A354),IF(AND(_xlpm.maxVal=K354,L354&lt;&gt;0),_xlpm.maxVal,""))</f>
        <v/>
      </c>
      <c r="V354" s="27" t="str">
        <f>_xlfn.LET(_xlpm.maxVal,_xlfn.MAXIFS($K:$K,$A:$A,A354),IF(AND(_xlpm.maxVal=K354,M354&lt;&gt;0),_xlpm.maxVal,""))</f>
        <v/>
      </c>
      <c r="W354" s="27" t="str">
        <f>_xlfn.LET(_xlpm.maxVal,_xlfn.MAXIFS($K:$K,$A:$A,A354),IF(AND(_xlpm.maxVal=K354,N354&lt;&gt;0),_xlpm.maxVal,""))</f>
        <v/>
      </c>
      <c r="X354" s="27"/>
      <c r="Y354" s="27"/>
      <c r="Z354" s="27"/>
      <c r="AA354" s="27"/>
      <c r="AB354" s="27"/>
      <c r="AC354" s="27" t="str">
        <f>_xlfn.LET(_xlpm.maxVal,_xlfn.MAXIFS($K:$K,$A:$A,A354),IF(AND(_xlpm.maxVal=K354,T354&lt;&gt;0),_xlpm.maxVal,""))</f>
        <v/>
      </c>
      <c r="AD354" s="27">
        <f>$K354*L354*负载统计!$K$3/60</f>
        <v>0</v>
      </c>
      <c r="AE354" s="27">
        <f>$K354*L354*负载统计!$K$4/60</f>
        <v>0</v>
      </c>
      <c r="AF354" s="27">
        <f>$K354*N354*负载统计!$K$5/60</f>
        <v>0</v>
      </c>
      <c r="AG354" s="27">
        <v>0</v>
      </c>
      <c r="AH354" s="27">
        <v>0</v>
      </c>
      <c r="AI354" s="27">
        <v>0</v>
      </c>
      <c r="AJ354" s="27">
        <v>0</v>
      </c>
      <c r="AK354" s="27">
        <v>0</v>
      </c>
      <c r="AL354" s="27">
        <v>0</v>
      </c>
    </row>
    <row r="355" spans="1:38">
      <c r="A355" s="1">
        <v>164</v>
      </c>
      <c r="B355" s="24" t="s">
        <v>1566</v>
      </c>
      <c r="C355" s="24" t="s">
        <v>1557</v>
      </c>
      <c r="D355" s="24" t="s">
        <v>1565</v>
      </c>
      <c r="E355" s="24" t="s">
        <v>1074</v>
      </c>
      <c r="F355" s="24" t="s">
        <v>1081</v>
      </c>
      <c r="G355" s="25">
        <f>VLOOKUP(A355,负载电气特性!A:G,7,FALSE)</f>
        <v>800</v>
      </c>
      <c r="H355" s="26" t="s">
        <v>66</v>
      </c>
      <c r="I355" s="25" t="s">
        <v>1706</v>
      </c>
      <c r="J355" s="25" t="s">
        <v>1708</v>
      </c>
      <c r="K355" s="25">
        <v>0</v>
      </c>
      <c r="L355" s="25">
        <v>1</v>
      </c>
      <c r="M355" s="25">
        <v>1</v>
      </c>
      <c r="N355" s="25">
        <v>1</v>
      </c>
      <c r="O355" s="25">
        <v>0.7</v>
      </c>
      <c r="P355" s="25">
        <v>0</v>
      </c>
      <c r="Q355" s="25">
        <v>0.6</v>
      </c>
      <c r="R355" s="25">
        <v>0</v>
      </c>
      <c r="S355" s="25">
        <v>1</v>
      </c>
      <c r="T355" s="25">
        <v>1</v>
      </c>
      <c r="U355" s="27" t="str">
        <f>_xlfn.LET(_xlpm.maxVal,_xlfn.MAXIFS($K:$K,$A:$A,A355),IF(AND(_xlpm.maxVal=K355,L355&lt;&gt;0),_xlpm.maxVal,""))</f>
        <v/>
      </c>
      <c r="V355" s="27" t="str">
        <f>_xlfn.LET(_xlpm.maxVal,_xlfn.MAXIFS($K:$K,$A:$A,A355),IF(AND(_xlpm.maxVal=K355,M355&lt;&gt;0),_xlpm.maxVal,""))</f>
        <v/>
      </c>
      <c r="W355" s="27" t="str">
        <f>_xlfn.LET(_xlpm.maxVal,_xlfn.MAXIFS($K:$K,$A:$A,A355),IF(AND(_xlpm.maxVal=K355,N355&lt;&gt;0),_xlpm.maxVal,""))</f>
        <v/>
      </c>
      <c r="X355" s="27" t="str">
        <f>_xlfn.LET(_xlpm.maxVal,_xlfn.MAXIFS($K:$K,$A:$A,A355),IF(AND(_xlpm.maxVal=K355,O355&lt;&gt;0),_xlpm.maxVal,""))</f>
        <v/>
      </c>
      <c r="Y355" s="27" t="str">
        <f>_xlfn.LET(_xlpm.maxVal,_xlfn.MAXIFS($K:$K,$A:$A,A355),IF(AND(_xlpm.maxVal=K355,P355&lt;&gt;0),_xlpm.maxVal,""))</f>
        <v/>
      </c>
      <c r="Z355" s="27" t="str">
        <f>_xlfn.LET(_xlpm.maxVal,_xlfn.MAXIFS($K:$K,$A:$A,A355),IF(AND(_xlpm.maxVal=K355,Q355&lt;&gt;0),_xlpm.maxVal,""))</f>
        <v/>
      </c>
      <c r="AA355" s="27" t="str">
        <f>_xlfn.LET(_xlpm.maxVal,_xlfn.MAXIFS($K:$K,$A:$A,A355),IF(AND(_xlpm.maxVal=K355,R355&lt;&gt;0),_xlpm.maxVal,""))</f>
        <v/>
      </c>
      <c r="AB355" s="27" t="str">
        <f>_xlfn.LET(_xlpm.maxVal,_xlfn.MAXIFS($K:$K,$A:$A,A355),IF(AND(_xlpm.maxVal=K355,S355&lt;&gt;0),_xlpm.maxVal,""))</f>
        <v/>
      </c>
      <c r="AC355" s="27" t="str">
        <f>_xlfn.LET(_xlpm.maxVal,_xlfn.MAXIFS($K:$K,$A:$A,A355),IF(AND(_xlpm.maxVal=K355,T355&lt;&gt;0),_xlpm.maxVal,""))</f>
        <v/>
      </c>
      <c r="AD355" s="27">
        <f>$K355*L355*负载统计!$K$3/60</f>
        <v>0</v>
      </c>
      <c r="AE355" s="27">
        <f>$K355*L355*负载统计!$K$4/60</f>
        <v>0</v>
      </c>
      <c r="AF355" s="27">
        <f>$K355*N355*负载统计!$K$5/60</f>
        <v>0</v>
      </c>
      <c r="AG355" s="27">
        <v>0</v>
      </c>
      <c r="AH355" s="27">
        <v>0</v>
      </c>
      <c r="AI355" s="27">
        <v>0</v>
      </c>
      <c r="AJ355" s="27">
        <v>0</v>
      </c>
      <c r="AK355" s="27">
        <v>0</v>
      </c>
      <c r="AL355" s="27">
        <v>0</v>
      </c>
    </row>
    <row r="356" spans="1:38">
      <c r="A356" s="1">
        <v>165</v>
      </c>
      <c r="B356" s="24" t="s">
        <v>1567</v>
      </c>
      <c r="C356" s="24" t="s">
        <v>1557</v>
      </c>
      <c r="D356" s="24" t="s">
        <v>1568</v>
      </c>
      <c r="E356" s="24" t="s">
        <v>1074</v>
      </c>
      <c r="F356" s="24" t="s">
        <v>1084</v>
      </c>
      <c r="G356" s="25">
        <f>VLOOKUP(A356,负载电气特性!A:G,7,FALSE)</f>
        <v>28</v>
      </c>
      <c r="H356" s="26" t="s">
        <v>66</v>
      </c>
      <c r="I356" s="25" t="s">
        <v>1706</v>
      </c>
      <c r="J356" s="25" t="s">
        <v>1707</v>
      </c>
      <c r="K356" s="25">
        <v>0.02</v>
      </c>
      <c r="L356" s="25">
        <v>1</v>
      </c>
      <c r="M356" s="25">
        <v>1</v>
      </c>
      <c r="N356" s="25">
        <v>1</v>
      </c>
      <c r="O356" s="25">
        <v>1</v>
      </c>
      <c r="P356" s="25">
        <v>1</v>
      </c>
      <c r="Q356" s="25">
        <v>1</v>
      </c>
      <c r="R356" s="25">
        <v>1</v>
      </c>
      <c r="S356" s="25">
        <v>1</v>
      </c>
      <c r="T356" s="25">
        <v>1</v>
      </c>
      <c r="U356" s="27">
        <f>_xlfn.LET(_xlpm.maxVal,_xlfn.MAXIFS($K:$K,$A:$A,A356),IF(AND(_xlpm.maxVal=K356,L356&lt;&gt;0),_xlpm.maxVal,""))</f>
        <v>0.02</v>
      </c>
      <c r="V356" s="27">
        <f>_xlfn.LET(_xlpm.maxVal,_xlfn.MAXIFS($K:$K,$A:$A,A356),IF(AND(_xlpm.maxVal=K356,M356&lt;&gt;0),_xlpm.maxVal,""))</f>
        <v>0.02</v>
      </c>
      <c r="W356" s="27">
        <f>_xlfn.LET(_xlpm.maxVal,_xlfn.MAXIFS($K:$K,$A:$A,A356),IF(AND(_xlpm.maxVal=K356,N356&lt;&gt;0),_xlpm.maxVal,""))</f>
        <v>0.02</v>
      </c>
      <c r="X356" s="27">
        <f>_xlfn.LET(_xlpm.maxVal,_xlfn.MAXIFS($K:$K,$A:$A,A356),IF(AND(_xlpm.maxVal=K356,O356&lt;&gt;0),_xlpm.maxVal,""))</f>
        <v>0.02</v>
      </c>
      <c r="Y356" s="27">
        <f>_xlfn.LET(_xlpm.maxVal,_xlfn.MAXIFS($K:$K,$A:$A,A356),IF(AND(_xlpm.maxVal=K356,P356&lt;&gt;0),_xlpm.maxVal,""))</f>
        <v>0.02</v>
      </c>
      <c r="Z356" s="27">
        <f>_xlfn.LET(_xlpm.maxVal,_xlfn.MAXIFS($K:$K,$A:$A,A356),IF(AND(_xlpm.maxVal=K356,Q356&lt;&gt;0),_xlpm.maxVal,""))</f>
        <v>0.02</v>
      </c>
      <c r="AA356" s="27">
        <f>_xlfn.LET(_xlpm.maxVal,_xlfn.MAXIFS($K:$K,$A:$A,A356),IF(AND(_xlpm.maxVal=K356,R356&lt;&gt;0),_xlpm.maxVal,""))</f>
        <v>0.02</v>
      </c>
      <c r="AB356" s="27">
        <f>_xlfn.LET(_xlpm.maxVal,_xlfn.MAXIFS($K:$K,$A:$A,A356),IF(AND(_xlpm.maxVal=K356,S356&lt;&gt;0),_xlpm.maxVal,""))</f>
        <v>0.02</v>
      </c>
      <c r="AC356" s="27">
        <f>_xlfn.LET(_xlpm.maxVal,_xlfn.MAXIFS($K:$K,$A:$A,A356),IF(AND(_xlpm.maxVal=K356,T356&lt;&gt;0),_xlpm.maxVal,""))</f>
        <v>0.02</v>
      </c>
      <c r="AD356" s="27">
        <f>$K356*L356*负载统计!$K$3/60</f>
        <v>0</v>
      </c>
      <c r="AE356" s="27">
        <f>$K356*L356*负载统计!$K$4/60</f>
        <v>0</v>
      </c>
      <c r="AF356" s="27">
        <f>$K356*N356*负载统计!$K$5/60</f>
        <v>0.000333333333333333</v>
      </c>
      <c r="AG356" s="27">
        <f>$K356*O356*负载统计!$K$6/60</f>
        <v>0.001</v>
      </c>
      <c r="AH356" s="27">
        <f>$K356*P356*负载统计!$K$7/60</f>
        <v>0.00225666666666667</v>
      </c>
      <c r="AI356" s="27">
        <f>$K356*Q356*负载统计!$K$8/60</f>
        <v>0.0145333333333333</v>
      </c>
      <c r="AJ356" s="27">
        <f>$K356*R356*负载统计!$K$9/60</f>
        <v>0.00461666666666667</v>
      </c>
      <c r="AK356" s="27">
        <f>$K356*S356*负载统计!$K$10/60</f>
        <v>0.000166666666666667</v>
      </c>
      <c r="AL356" s="27">
        <f>$K356*T356*负载统计!$K$11/60</f>
        <v>0.00133333333333333</v>
      </c>
    </row>
    <row r="357" spans="1:38">
      <c r="A357" s="1">
        <v>165</v>
      </c>
      <c r="B357" s="24" t="s">
        <v>1567</v>
      </c>
      <c r="C357" s="24" t="s">
        <v>1557</v>
      </c>
      <c r="D357" s="24" t="s">
        <v>1568</v>
      </c>
      <c r="E357" s="24" t="s">
        <v>1074</v>
      </c>
      <c r="F357" s="24" t="s">
        <v>1084</v>
      </c>
      <c r="G357" s="25">
        <f>VLOOKUP(A357,负载电气特性!A:G,7,FALSE)</f>
        <v>28</v>
      </c>
      <c r="H357" s="26" t="s">
        <v>66</v>
      </c>
      <c r="I357" s="25" t="s">
        <v>1706</v>
      </c>
      <c r="J357" s="25" t="s">
        <v>1708</v>
      </c>
      <c r="K357" s="25">
        <v>0</v>
      </c>
      <c r="L357" s="25">
        <v>0</v>
      </c>
      <c r="M357" s="25">
        <v>0</v>
      </c>
      <c r="N357" s="25">
        <v>0</v>
      </c>
      <c r="O357" s="25">
        <v>0</v>
      </c>
      <c r="P357" s="25">
        <v>0</v>
      </c>
      <c r="Q357" s="25">
        <v>0</v>
      </c>
      <c r="R357" s="25">
        <v>0</v>
      </c>
      <c r="S357" s="25">
        <v>0</v>
      </c>
      <c r="T357" s="25">
        <v>0</v>
      </c>
      <c r="U357" s="27" t="str">
        <f>_xlfn.LET(_xlpm.maxVal,_xlfn.MAXIFS($K:$K,$A:$A,A357),IF(AND(_xlpm.maxVal=K357,L357&lt;&gt;0),_xlpm.maxVal,""))</f>
        <v/>
      </c>
      <c r="V357" s="27" t="str">
        <f>_xlfn.LET(_xlpm.maxVal,_xlfn.MAXIFS($K:$K,$A:$A,A357),IF(AND(_xlpm.maxVal=K357,M357&lt;&gt;0),_xlpm.maxVal,""))</f>
        <v/>
      </c>
      <c r="W357" s="27" t="str">
        <f>_xlfn.LET(_xlpm.maxVal,_xlfn.MAXIFS($K:$K,$A:$A,A357),IF(AND(_xlpm.maxVal=K357,N357&lt;&gt;0),_xlpm.maxVal,""))</f>
        <v/>
      </c>
      <c r="X357" s="27" t="str">
        <f>_xlfn.LET(_xlpm.maxVal,_xlfn.MAXIFS($K:$K,$A:$A,A357),IF(AND(_xlpm.maxVal=K357,O357&lt;&gt;0),_xlpm.maxVal,""))</f>
        <v/>
      </c>
      <c r="Y357" s="27" t="str">
        <f>_xlfn.LET(_xlpm.maxVal,_xlfn.MAXIFS($K:$K,$A:$A,A357),IF(AND(_xlpm.maxVal=K357,P357&lt;&gt;0),_xlpm.maxVal,""))</f>
        <v/>
      </c>
      <c r="Z357" s="27" t="str">
        <f>_xlfn.LET(_xlpm.maxVal,_xlfn.MAXIFS($K:$K,$A:$A,A357),IF(AND(_xlpm.maxVal=K357,Q357&lt;&gt;0),_xlpm.maxVal,""))</f>
        <v/>
      </c>
      <c r="AA357" s="27" t="str">
        <f>_xlfn.LET(_xlpm.maxVal,_xlfn.MAXIFS($K:$K,$A:$A,A357),IF(AND(_xlpm.maxVal=K357,R357&lt;&gt;0),_xlpm.maxVal,""))</f>
        <v/>
      </c>
      <c r="AB357" s="27" t="str">
        <f>_xlfn.LET(_xlpm.maxVal,_xlfn.MAXIFS($K:$K,$A:$A,A357),IF(AND(_xlpm.maxVal=K357,S357&lt;&gt;0),_xlpm.maxVal,""))</f>
        <v/>
      </c>
      <c r="AC357" s="27" t="str">
        <f>_xlfn.LET(_xlpm.maxVal,_xlfn.MAXIFS($K:$K,$A:$A,A357),IF(AND(_xlpm.maxVal=K357,T357&lt;&gt;0),_xlpm.maxVal,""))</f>
        <v/>
      </c>
      <c r="AD357" s="27">
        <f>$K357*L357*负载统计!$K$3/60</f>
        <v>0</v>
      </c>
      <c r="AE357" s="27">
        <f>$K357*L357*负载统计!$K$4/60</f>
        <v>0</v>
      </c>
      <c r="AF357" s="27">
        <f>$K357*N357*负载统计!$K$5/60</f>
        <v>0</v>
      </c>
      <c r="AG357" s="27">
        <f>$K357*O357*负载统计!$K$6/60</f>
        <v>0</v>
      </c>
      <c r="AH357" s="27">
        <f>$K357*P357*负载统计!$K$7/60</f>
        <v>0</v>
      </c>
      <c r="AI357" s="27">
        <f>$K357*Q357*负载统计!$K$8/60</f>
        <v>0</v>
      </c>
      <c r="AJ357" s="27">
        <f>$K357*R357*负载统计!$K$9/60</f>
        <v>0</v>
      </c>
      <c r="AK357" s="27">
        <f>$K357*S357*负载统计!$K$10/60</f>
        <v>0</v>
      </c>
      <c r="AL357" s="27">
        <f>$K357*T357*负载统计!$K$11/60</f>
        <v>0</v>
      </c>
    </row>
    <row r="358" spans="1:38">
      <c r="A358" s="1">
        <v>166</v>
      </c>
      <c r="B358" s="24" t="s">
        <v>1569</v>
      </c>
      <c r="C358" s="24" t="s">
        <v>1557</v>
      </c>
      <c r="D358" s="24" t="s">
        <v>1568</v>
      </c>
      <c r="E358" s="24" t="s">
        <v>1074</v>
      </c>
      <c r="F358" s="24" t="s">
        <v>1084</v>
      </c>
      <c r="G358" s="25">
        <f>VLOOKUP(A358,负载电气特性!A:G,7,FALSE)</f>
        <v>800</v>
      </c>
      <c r="H358" s="26" t="s">
        <v>66</v>
      </c>
      <c r="I358" s="25" t="s">
        <v>1706</v>
      </c>
      <c r="J358" s="25" t="s">
        <v>1707</v>
      </c>
      <c r="K358" s="25">
        <v>200</v>
      </c>
      <c r="L358" s="25">
        <v>0</v>
      </c>
      <c r="M358" s="25">
        <v>0</v>
      </c>
      <c r="N358" s="25">
        <v>0</v>
      </c>
      <c r="O358" s="25">
        <v>0.29</v>
      </c>
      <c r="P358" s="25">
        <v>1</v>
      </c>
      <c r="Q358" s="25">
        <v>0.36</v>
      </c>
      <c r="R358" s="25">
        <v>0.086</v>
      </c>
      <c r="S358" s="25">
        <v>0.03</v>
      </c>
      <c r="T358" s="25">
        <v>0</v>
      </c>
      <c r="U358" s="27" t="str">
        <f>_xlfn.LET(_xlpm.maxVal,_xlfn.MAXIFS($K:$K,$A:$A,A358),IF(AND(_xlpm.maxVal=K358,L358&lt;&gt;0),_xlpm.maxVal,""))</f>
        <v/>
      </c>
      <c r="V358" s="27" t="str">
        <f>_xlfn.LET(_xlpm.maxVal,_xlfn.MAXIFS($K:$K,$A:$A,A358),IF(AND(_xlpm.maxVal=K358,M358&lt;&gt;0),_xlpm.maxVal,""))</f>
        <v/>
      </c>
      <c r="W358" s="27" t="str">
        <f>_xlfn.LET(_xlpm.maxVal,_xlfn.MAXIFS($K:$K,$A:$A,A358),IF(AND(_xlpm.maxVal=K358,N358&lt;&gt;0),_xlpm.maxVal,""))</f>
        <v/>
      </c>
      <c r="X358" s="27"/>
      <c r="Y358" s="27"/>
      <c r="Z358" s="27"/>
      <c r="AA358" s="27"/>
      <c r="AB358" s="27"/>
      <c r="AC358" s="27" t="str">
        <f>_xlfn.LET(_xlpm.maxVal,_xlfn.MAXIFS($K:$K,$A:$A,A358),IF(AND(_xlpm.maxVal=K358,T358&lt;&gt;0),_xlpm.maxVal,""))</f>
        <v/>
      </c>
      <c r="AD358" s="27">
        <f>$K358*L358*负载统计!$K$3/60</f>
        <v>0</v>
      </c>
      <c r="AE358" s="27">
        <f>$K358*L358*负载统计!$K$4/60</f>
        <v>0</v>
      </c>
      <c r="AF358" s="27">
        <f>$K358*N358*负载统计!$K$5/60</f>
        <v>0</v>
      </c>
      <c r="AG358" s="27">
        <v>0</v>
      </c>
      <c r="AH358" s="27">
        <v>0</v>
      </c>
      <c r="AI358" s="27">
        <v>0</v>
      </c>
      <c r="AJ358" s="27">
        <v>0</v>
      </c>
      <c r="AK358" s="27">
        <v>0</v>
      </c>
      <c r="AL358" s="27">
        <v>0</v>
      </c>
    </row>
    <row r="359" spans="1:38">
      <c r="A359" s="1">
        <v>166</v>
      </c>
      <c r="B359" s="24" t="s">
        <v>1569</v>
      </c>
      <c r="C359" s="24" t="s">
        <v>1557</v>
      </c>
      <c r="D359" s="24" t="s">
        <v>1568</v>
      </c>
      <c r="E359" s="24" t="s">
        <v>1074</v>
      </c>
      <c r="F359" s="24" t="s">
        <v>1084</v>
      </c>
      <c r="G359" s="25">
        <f>VLOOKUP(A359,负载电气特性!A:G,7,FALSE)</f>
        <v>800</v>
      </c>
      <c r="H359" s="26" t="s">
        <v>66</v>
      </c>
      <c r="I359" s="25" t="s">
        <v>1706</v>
      </c>
      <c r="J359" s="25" t="s">
        <v>1708</v>
      </c>
      <c r="K359" s="25">
        <v>0</v>
      </c>
      <c r="L359" s="25">
        <v>1</v>
      </c>
      <c r="M359" s="25">
        <v>1</v>
      </c>
      <c r="N359" s="25">
        <v>1</v>
      </c>
      <c r="O359" s="25">
        <v>0.7</v>
      </c>
      <c r="P359" s="25">
        <v>0</v>
      </c>
      <c r="Q359" s="25">
        <v>0.6</v>
      </c>
      <c r="R359" s="25">
        <v>0</v>
      </c>
      <c r="S359" s="25">
        <v>1</v>
      </c>
      <c r="T359" s="25">
        <v>1</v>
      </c>
      <c r="U359" s="27" t="str">
        <f>_xlfn.LET(_xlpm.maxVal,_xlfn.MAXIFS($K:$K,$A:$A,A359),IF(AND(_xlpm.maxVal=K359,L359&lt;&gt;0),_xlpm.maxVal,""))</f>
        <v/>
      </c>
      <c r="V359" s="27" t="str">
        <f>_xlfn.LET(_xlpm.maxVal,_xlfn.MAXIFS($K:$K,$A:$A,A359),IF(AND(_xlpm.maxVal=K359,M359&lt;&gt;0),_xlpm.maxVal,""))</f>
        <v/>
      </c>
      <c r="W359" s="27" t="str">
        <f>_xlfn.LET(_xlpm.maxVal,_xlfn.MAXIFS($K:$K,$A:$A,A359),IF(AND(_xlpm.maxVal=K359,N359&lt;&gt;0),_xlpm.maxVal,""))</f>
        <v/>
      </c>
      <c r="X359" s="27" t="str">
        <f>_xlfn.LET(_xlpm.maxVal,_xlfn.MAXIFS($K:$K,$A:$A,A359),IF(AND(_xlpm.maxVal=K359,O359&lt;&gt;0),_xlpm.maxVal,""))</f>
        <v/>
      </c>
      <c r="Y359" s="27" t="str">
        <f>_xlfn.LET(_xlpm.maxVal,_xlfn.MAXIFS($K:$K,$A:$A,A359),IF(AND(_xlpm.maxVal=K359,P359&lt;&gt;0),_xlpm.maxVal,""))</f>
        <v/>
      </c>
      <c r="Z359" s="27" t="str">
        <f>_xlfn.LET(_xlpm.maxVal,_xlfn.MAXIFS($K:$K,$A:$A,A359),IF(AND(_xlpm.maxVal=K359,Q359&lt;&gt;0),_xlpm.maxVal,""))</f>
        <v/>
      </c>
      <c r="AA359" s="27" t="str">
        <f>_xlfn.LET(_xlpm.maxVal,_xlfn.MAXIFS($K:$K,$A:$A,A359),IF(AND(_xlpm.maxVal=K359,R359&lt;&gt;0),_xlpm.maxVal,""))</f>
        <v/>
      </c>
      <c r="AB359" s="27" t="str">
        <f>_xlfn.LET(_xlpm.maxVal,_xlfn.MAXIFS($K:$K,$A:$A,A359),IF(AND(_xlpm.maxVal=K359,S359&lt;&gt;0),_xlpm.maxVal,""))</f>
        <v/>
      </c>
      <c r="AC359" s="27" t="str">
        <f>_xlfn.LET(_xlpm.maxVal,_xlfn.MAXIFS($K:$K,$A:$A,A359),IF(AND(_xlpm.maxVal=K359,T359&lt;&gt;0),_xlpm.maxVal,""))</f>
        <v/>
      </c>
      <c r="AD359" s="27">
        <f>$K359*L359*负载统计!$K$3/60</f>
        <v>0</v>
      </c>
      <c r="AE359" s="27">
        <f>$K359*L359*负载统计!$K$4/60</f>
        <v>0</v>
      </c>
      <c r="AF359" s="27">
        <f>$K359*N359*负载统计!$K$5/60</f>
        <v>0</v>
      </c>
      <c r="AG359" s="27">
        <v>0</v>
      </c>
      <c r="AH359" s="27">
        <v>0</v>
      </c>
      <c r="AI359" s="27">
        <v>0</v>
      </c>
      <c r="AJ359" s="27">
        <v>0</v>
      </c>
      <c r="AK359" s="27">
        <v>0</v>
      </c>
      <c r="AL359" s="27">
        <v>0</v>
      </c>
    </row>
    <row r="360" spans="1:38">
      <c r="A360" s="1">
        <v>167</v>
      </c>
      <c r="B360" s="24" t="s">
        <v>1570</v>
      </c>
      <c r="C360" s="24" t="s">
        <v>1557</v>
      </c>
      <c r="D360" s="24" t="s">
        <v>1571</v>
      </c>
      <c r="E360" s="24" t="s">
        <v>1074</v>
      </c>
      <c r="F360" s="24" t="s">
        <v>1087</v>
      </c>
      <c r="G360" s="25">
        <f>VLOOKUP(A360,负载电气特性!A:G,7,FALSE)</f>
        <v>28</v>
      </c>
      <c r="H360" s="26" t="s">
        <v>66</v>
      </c>
      <c r="I360" s="25" t="s">
        <v>1706</v>
      </c>
      <c r="J360" s="25" t="s">
        <v>1707</v>
      </c>
      <c r="K360" s="25">
        <v>0.02</v>
      </c>
      <c r="L360" s="25">
        <v>1</v>
      </c>
      <c r="M360" s="25">
        <v>1</v>
      </c>
      <c r="N360" s="25">
        <v>1</v>
      </c>
      <c r="O360" s="25">
        <v>1</v>
      </c>
      <c r="P360" s="25">
        <v>1</v>
      </c>
      <c r="Q360" s="25">
        <v>1</v>
      </c>
      <c r="R360" s="25">
        <v>1</v>
      </c>
      <c r="S360" s="25">
        <v>1</v>
      </c>
      <c r="T360" s="25">
        <v>1</v>
      </c>
      <c r="U360" s="27">
        <f>_xlfn.LET(_xlpm.maxVal,_xlfn.MAXIFS($K:$K,$A:$A,A360),IF(AND(_xlpm.maxVal=K360,L360&lt;&gt;0),_xlpm.maxVal,""))</f>
        <v>0.02</v>
      </c>
      <c r="V360" s="27">
        <f>_xlfn.LET(_xlpm.maxVal,_xlfn.MAXIFS($K:$K,$A:$A,A360),IF(AND(_xlpm.maxVal=K360,M360&lt;&gt;0),_xlpm.maxVal,""))</f>
        <v>0.02</v>
      </c>
      <c r="W360" s="27">
        <f>_xlfn.LET(_xlpm.maxVal,_xlfn.MAXIFS($K:$K,$A:$A,A360),IF(AND(_xlpm.maxVal=K360,N360&lt;&gt;0),_xlpm.maxVal,""))</f>
        <v>0.02</v>
      </c>
      <c r="X360" s="27">
        <f>_xlfn.LET(_xlpm.maxVal,_xlfn.MAXIFS($K:$K,$A:$A,A360),IF(AND(_xlpm.maxVal=K360,O360&lt;&gt;0),_xlpm.maxVal,""))</f>
        <v>0.02</v>
      </c>
      <c r="Y360" s="27">
        <f>_xlfn.LET(_xlpm.maxVal,_xlfn.MAXIFS($K:$K,$A:$A,A360),IF(AND(_xlpm.maxVal=K360,P360&lt;&gt;0),_xlpm.maxVal,""))</f>
        <v>0.02</v>
      </c>
      <c r="Z360" s="27">
        <f>_xlfn.LET(_xlpm.maxVal,_xlfn.MAXIFS($K:$K,$A:$A,A360),IF(AND(_xlpm.maxVal=K360,Q360&lt;&gt;0),_xlpm.maxVal,""))</f>
        <v>0.02</v>
      </c>
      <c r="AA360" s="27">
        <f>_xlfn.LET(_xlpm.maxVal,_xlfn.MAXIFS($K:$K,$A:$A,A360),IF(AND(_xlpm.maxVal=K360,R360&lt;&gt;0),_xlpm.maxVal,""))</f>
        <v>0.02</v>
      </c>
      <c r="AB360" s="27">
        <f>_xlfn.LET(_xlpm.maxVal,_xlfn.MAXIFS($K:$K,$A:$A,A360),IF(AND(_xlpm.maxVal=K360,S360&lt;&gt;0),_xlpm.maxVal,""))</f>
        <v>0.02</v>
      </c>
      <c r="AC360" s="27">
        <f>_xlfn.LET(_xlpm.maxVal,_xlfn.MAXIFS($K:$K,$A:$A,A360),IF(AND(_xlpm.maxVal=K360,T360&lt;&gt;0),_xlpm.maxVal,""))</f>
        <v>0.02</v>
      </c>
      <c r="AD360" s="27">
        <f>$K360*L360*负载统计!$K$3/60</f>
        <v>0</v>
      </c>
      <c r="AE360" s="27">
        <f>$K360*L360*负载统计!$K$4/60</f>
        <v>0</v>
      </c>
      <c r="AF360" s="27">
        <f>$K360*N360*负载统计!$K$5/60</f>
        <v>0.000333333333333333</v>
      </c>
      <c r="AG360" s="27">
        <f>$K360*O360*负载统计!$K$6/60</f>
        <v>0.001</v>
      </c>
      <c r="AH360" s="27">
        <f>$K360*P360*负载统计!$K$7/60</f>
        <v>0.00225666666666667</v>
      </c>
      <c r="AI360" s="27">
        <f>$K360*Q360*负载统计!$K$8/60</f>
        <v>0.0145333333333333</v>
      </c>
      <c r="AJ360" s="27">
        <f>$K360*R360*负载统计!$K$9/60</f>
        <v>0.00461666666666667</v>
      </c>
      <c r="AK360" s="27">
        <f>$K360*S360*负载统计!$K$10/60</f>
        <v>0.000166666666666667</v>
      </c>
      <c r="AL360" s="27">
        <f>$K360*T360*负载统计!$K$11/60</f>
        <v>0.00133333333333333</v>
      </c>
    </row>
    <row r="361" spans="1:38">
      <c r="A361" s="1">
        <v>167</v>
      </c>
      <c r="B361" s="24" t="s">
        <v>1570</v>
      </c>
      <c r="C361" s="24" t="s">
        <v>1557</v>
      </c>
      <c r="D361" s="24" t="s">
        <v>1571</v>
      </c>
      <c r="E361" s="24" t="s">
        <v>1074</v>
      </c>
      <c r="F361" s="24" t="s">
        <v>1087</v>
      </c>
      <c r="G361" s="25">
        <f>VLOOKUP(A361,负载电气特性!A:G,7,FALSE)</f>
        <v>28</v>
      </c>
      <c r="H361" s="26" t="s">
        <v>66</v>
      </c>
      <c r="I361" s="25" t="s">
        <v>1706</v>
      </c>
      <c r="J361" s="25" t="s">
        <v>1708</v>
      </c>
      <c r="K361" s="25">
        <v>0</v>
      </c>
      <c r="L361" s="25">
        <v>0</v>
      </c>
      <c r="M361" s="25">
        <v>0</v>
      </c>
      <c r="N361" s="25">
        <v>0</v>
      </c>
      <c r="O361" s="25">
        <v>0</v>
      </c>
      <c r="P361" s="25">
        <v>0</v>
      </c>
      <c r="Q361" s="25">
        <v>0</v>
      </c>
      <c r="R361" s="25">
        <v>0</v>
      </c>
      <c r="S361" s="25">
        <v>0</v>
      </c>
      <c r="T361" s="25">
        <v>0</v>
      </c>
      <c r="U361" s="27" t="str">
        <f>_xlfn.LET(_xlpm.maxVal,_xlfn.MAXIFS($K:$K,$A:$A,A361),IF(AND(_xlpm.maxVal=K361,L361&lt;&gt;0),_xlpm.maxVal,""))</f>
        <v/>
      </c>
      <c r="V361" s="27" t="str">
        <f>_xlfn.LET(_xlpm.maxVal,_xlfn.MAXIFS($K:$K,$A:$A,A361),IF(AND(_xlpm.maxVal=K361,M361&lt;&gt;0),_xlpm.maxVal,""))</f>
        <v/>
      </c>
      <c r="W361" s="27" t="str">
        <f>_xlfn.LET(_xlpm.maxVal,_xlfn.MAXIFS($K:$K,$A:$A,A361),IF(AND(_xlpm.maxVal=K361,N361&lt;&gt;0),_xlpm.maxVal,""))</f>
        <v/>
      </c>
      <c r="X361" s="27" t="str">
        <f>_xlfn.LET(_xlpm.maxVal,_xlfn.MAXIFS($K:$K,$A:$A,A361),IF(AND(_xlpm.maxVal=K361,O361&lt;&gt;0),_xlpm.maxVal,""))</f>
        <v/>
      </c>
      <c r="Y361" s="27" t="str">
        <f>_xlfn.LET(_xlpm.maxVal,_xlfn.MAXIFS($K:$K,$A:$A,A361),IF(AND(_xlpm.maxVal=K361,P361&lt;&gt;0),_xlpm.maxVal,""))</f>
        <v/>
      </c>
      <c r="Z361" s="27" t="str">
        <f>_xlfn.LET(_xlpm.maxVal,_xlfn.MAXIFS($K:$K,$A:$A,A361),IF(AND(_xlpm.maxVal=K361,Q361&lt;&gt;0),_xlpm.maxVal,""))</f>
        <v/>
      </c>
      <c r="AA361" s="27" t="str">
        <f>_xlfn.LET(_xlpm.maxVal,_xlfn.MAXIFS($K:$K,$A:$A,A361),IF(AND(_xlpm.maxVal=K361,R361&lt;&gt;0),_xlpm.maxVal,""))</f>
        <v/>
      </c>
      <c r="AB361" s="27" t="str">
        <f>_xlfn.LET(_xlpm.maxVal,_xlfn.MAXIFS($K:$K,$A:$A,A361),IF(AND(_xlpm.maxVal=K361,S361&lt;&gt;0),_xlpm.maxVal,""))</f>
        <v/>
      </c>
      <c r="AC361" s="27" t="str">
        <f>_xlfn.LET(_xlpm.maxVal,_xlfn.MAXIFS($K:$K,$A:$A,A361),IF(AND(_xlpm.maxVal=K361,T361&lt;&gt;0),_xlpm.maxVal,""))</f>
        <v/>
      </c>
      <c r="AD361" s="27">
        <f>$K361*L361*负载统计!$K$3/60</f>
        <v>0</v>
      </c>
      <c r="AE361" s="27">
        <f>$K361*L361*负载统计!$K$4/60</f>
        <v>0</v>
      </c>
      <c r="AF361" s="27">
        <f>$K361*N361*负载统计!$K$5/60</f>
        <v>0</v>
      </c>
      <c r="AG361" s="27">
        <f>$K361*O361*负载统计!$K$6/60</f>
        <v>0</v>
      </c>
      <c r="AH361" s="27">
        <f>$K361*P361*负载统计!$K$7/60</f>
        <v>0</v>
      </c>
      <c r="AI361" s="27">
        <f>$K361*Q361*负载统计!$K$8/60</f>
        <v>0</v>
      </c>
      <c r="AJ361" s="27">
        <f>$K361*R361*负载统计!$K$9/60</f>
        <v>0</v>
      </c>
      <c r="AK361" s="27">
        <f>$K361*S361*负载统计!$K$10/60</f>
        <v>0</v>
      </c>
      <c r="AL361" s="27">
        <f>$K361*T361*负载统计!$K$11/60</f>
        <v>0</v>
      </c>
    </row>
    <row r="362" spans="1:38">
      <c r="A362" s="1">
        <v>168</v>
      </c>
      <c r="B362" s="24" t="s">
        <v>1572</v>
      </c>
      <c r="C362" s="24" t="s">
        <v>1557</v>
      </c>
      <c r="D362" s="24" t="s">
        <v>1571</v>
      </c>
      <c r="E362" s="24" t="s">
        <v>1074</v>
      </c>
      <c r="F362" s="24" t="s">
        <v>1087</v>
      </c>
      <c r="G362" s="25">
        <f>VLOOKUP(A362,负载电气特性!A:G,7,FALSE)</f>
        <v>800</v>
      </c>
      <c r="H362" s="26" t="s">
        <v>66</v>
      </c>
      <c r="I362" s="25" t="s">
        <v>1706</v>
      </c>
      <c r="J362" s="25" t="s">
        <v>1707</v>
      </c>
      <c r="K362" s="25">
        <v>200</v>
      </c>
      <c r="L362" s="25">
        <v>0</v>
      </c>
      <c r="M362" s="25">
        <v>0</v>
      </c>
      <c r="N362" s="25">
        <v>0</v>
      </c>
      <c r="O362" s="25">
        <v>0.29</v>
      </c>
      <c r="P362" s="25">
        <v>1</v>
      </c>
      <c r="Q362" s="25">
        <v>0.36</v>
      </c>
      <c r="R362" s="25">
        <v>0.086</v>
      </c>
      <c r="S362" s="25">
        <v>0.03</v>
      </c>
      <c r="T362" s="25">
        <v>0</v>
      </c>
      <c r="U362" s="27" t="str">
        <f>_xlfn.LET(_xlpm.maxVal,_xlfn.MAXIFS($K:$K,$A:$A,A362),IF(AND(_xlpm.maxVal=K362,L362&lt;&gt;0),_xlpm.maxVal,""))</f>
        <v/>
      </c>
      <c r="V362" s="27" t="str">
        <f>_xlfn.LET(_xlpm.maxVal,_xlfn.MAXIFS($K:$K,$A:$A,A362),IF(AND(_xlpm.maxVal=K362,M362&lt;&gt;0),_xlpm.maxVal,""))</f>
        <v/>
      </c>
      <c r="W362" s="27" t="str">
        <f>_xlfn.LET(_xlpm.maxVal,_xlfn.MAXIFS($K:$K,$A:$A,A362),IF(AND(_xlpm.maxVal=K362,N362&lt;&gt;0),_xlpm.maxVal,""))</f>
        <v/>
      </c>
      <c r="X362" s="27"/>
      <c r="Y362" s="27"/>
      <c r="Z362" s="27"/>
      <c r="AA362" s="27"/>
      <c r="AB362" s="27"/>
      <c r="AC362" s="27" t="str">
        <f>_xlfn.LET(_xlpm.maxVal,_xlfn.MAXIFS($K:$K,$A:$A,A362),IF(AND(_xlpm.maxVal=K362,T362&lt;&gt;0),_xlpm.maxVal,""))</f>
        <v/>
      </c>
      <c r="AD362" s="27">
        <f>$K362*L362*负载统计!$K$3/60</f>
        <v>0</v>
      </c>
      <c r="AE362" s="27">
        <f>$K362*L362*负载统计!$K$4/60</f>
        <v>0</v>
      </c>
      <c r="AF362" s="27">
        <f>$K362*N362*负载统计!$K$5/60</f>
        <v>0</v>
      </c>
      <c r="AG362" s="27">
        <v>0</v>
      </c>
      <c r="AH362" s="27">
        <v>0</v>
      </c>
      <c r="AI362" s="27">
        <v>0</v>
      </c>
      <c r="AJ362" s="27">
        <v>0</v>
      </c>
      <c r="AK362" s="27">
        <v>0</v>
      </c>
      <c r="AL362" s="27">
        <v>0</v>
      </c>
    </row>
    <row r="363" spans="1:38">
      <c r="A363" s="1">
        <v>168</v>
      </c>
      <c r="B363" s="24" t="s">
        <v>1572</v>
      </c>
      <c r="C363" s="24" t="s">
        <v>1557</v>
      </c>
      <c r="D363" s="24" t="s">
        <v>1571</v>
      </c>
      <c r="E363" s="24" t="s">
        <v>1074</v>
      </c>
      <c r="F363" s="24" t="s">
        <v>1087</v>
      </c>
      <c r="G363" s="25">
        <f>VLOOKUP(A363,负载电气特性!A:G,7,FALSE)</f>
        <v>800</v>
      </c>
      <c r="H363" s="26" t="s">
        <v>66</v>
      </c>
      <c r="I363" s="25" t="s">
        <v>1706</v>
      </c>
      <c r="J363" s="25" t="s">
        <v>1708</v>
      </c>
      <c r="K363" s="25">
        <v>0</v>
      </c>
      <c r="L363" s="25">
        <v>1</v>
      </c>
      <c r="M363" s="25">
        <v>1</v>
      </c>
      <c r="N363" s="25">
        <v>1</v>
      </c>
      <c r="O363" s="25">
        <v>0.7</v>
      </c>
      <c r="P363" s="25">
        <v>0</v>
      </c>
      <c r="Q363" s="25">
        <v>0.6</v>
      </c>
      <c r="R363" s="25">
        <v>0</v>
      </c>
      <c r="S363" s="25">
        <v>1</v>
      </c>
      <c r="T363" s="25">
        <v>1</v>
      </c>
      <c r="U363" s="27" t="str">
        <f>_xlfn.LET(_xlpm.maxVal,_xlfn.MAXIFS($K:$K,$A:$A,A363),IF(AND(_xlpm.maxVal=K363,L363&lt;&gt;0),_xlpm.maxVal,""))</f>
        <v/>
      </c>
      <c r="V363" s="27" t="str">
        <f>_xlfn.LET(_xlpm.maxVal,_xlfn.MAXIFS($K:$K,$A:$A,A363),IF(AND(_xlpm.maxVal=K363,M363&lt;&gt;0),_xlpm.maxVal,""))</f>
        <v/>
      </c>
      <c r="W363" s="27" t="str">
        <f>_xlfn.LET(_xlpm.maxVal,_xlfn.MAXIFS($K:$K,$A:$A,A363),IF(AND(_xlpm.maxVal=K363,N363&lt;&gt;0),_xlpm.maxVal,""))</f>
        <v/>
      </c>
      <c r="X363" s="27" t="str">
        <f>_xlfn.LET(_xlpm.maxVal,_xlfn.MAXIFS($K:$K,$A:$A,A363),IF(AND(_xlpm.maxVal=K363,O363&lt;&gt;0),_xlpm.maxVal,""))</f>
        <v/>
      </c>
      <c r="Y363" s="27" t="str">
        <f>_xlfn.LET(_xlpm.maxVal,_xlfn.MAXIFS($K:$K,$A:$A,A363),IF(AND(_xlpm.maxVal=K363,P363&lt;&gt;0),_xlpm.maxVal,""))</f>
        <v/>
      </c>
      <c r="Z363" s="27" t="str">
        <f>_xlfn.LET(_xlpm.maxVal,_xlfn.MAXIFS($K:$K,$A:$A,A363),IF(AND(_xlpm.maxVal=K363,Q363&lt;&gt;0),_xlpm.maxVal,""))</f>
        <v/>
      </c>
      <c r="AA363" s="27" t="str">
        <f>_xlfn.LET(_xlpm.maxVal,_xlfn.MAXIFS($K:$K,$A:$A,A363),IF(AND(_xlpm.maxVal=K363,R363&lt;&gt;0),_xlpm.maxVal,""))</f>
        <v/>
      </c>
      <c r="AB363" s="27" t="str">
        <f>_xlfn.LET(_xlpm.maxVal,_xlfn.MAXIFS($K:$K,$A:$A,A363),IF(AND(_xlpm.maxVal=K363,S363&lt;&gt;0),_xlpm.maxVal,""))</f>
        <v/>
      </c>
      <c r="AC363" s="27" t="str">
        <f>_xlfn.LET(_xlpm.maxVal,_xlfn.MAXIFS($K:$K,$A:$A,A363),IF(AND(_xlpm.maxVal=K363,T363&lt;&gt;0),_xlpm.maxVal,""))</f>
        <v/>
      </c>
      <c r="AD363" s="27">
        <f>$K363*L363*负载统计!$K$3/60</f>
        <v>0</v>
      </c>
      <c r="AE363" s="27">
        <f>$K363*L363*负载统计!$K$4/60</f>
        <v>0</v>
      </c>
      <c r="AF363" s="27">
        <f>$K363*N363*负载统计!$K$5/60</f>
        <v>0</v>
      </c>
      <c r="AG363" s="27">
        <v>0</v>
      </c>
      <c r="AH363" s="27">
        <v>0</v>
      </c>
      <c r="AI363" s="27">
        <v>0</v>
      </c>
      <c r="AJ363" s="27">
        <v>0</v>
      </c>
      <c r="AK363" s="27">
        <v>0</v>
      </c>
      <c r="AL363" s="27">
        <v>0</v>
      </c>
    </row>
    <row r="364" spans="1:38">
      <c r="A364" s="1">
        <v>169</v>
      </c>
      <c r="B364" s="24" t="s">
        <v>1573</v>
      </c>
      <c r="C364" s="24" t="s">
        <v>1557</v>
      </c>
      <c r="D364" s="24" t="s">
        <v>1574</v>
      </c>
      <c r="E364" s="24" t="s">
        <v>1074</v>
      </c>
      <c r="F364" s="24" t="s">
        <v>1090</v>
      </c>
      <c r="G364" s="25">
        <f>VLOOKUP(A364,负载电气特性!A:G,7,FALSE)</f>
        <v>28</v>
      </c>
      <c r="H364" s="26" t="s">
        <v>66</v>
      </c>
      <c r="I364" s="25" t="s">
        <v>1706</v>
      </c>
      <c r="J364" s="25" t="s">
        <v>1707</v>
      </c>
      <c r="K364" s="25">
        <v>0.02</v>
      </c>
      <c r="L364" s="25">
        <v>1</v>
      </c>
      <c r="M364" s="25">
        <v>1</v>
      </c>
      <c r="N364" s="25">
        <v>1</v>
      </c>
      <c r="O364" s="25">
        <v>1</v>
      </c>
      <c r="P364" s="25">
        <v>1</v>
      </c>
      <c r="Q364" s="25">
        <v>1</v>
      </c>
      <c r="R364" s="25">
        <v>1</v>
      </c>
      <c r="S364" s="25">
        <v>1</v>
      </c>
      <c r="T364" s="25">
        <v>1</v>
      </c>
      <c r="U364" s="27">
        <f>_xlfn.LET(_xlpm.maxVal,_xlfn.MAXIFS($K:$K,$A:$A,A364),IF(AND(_xlpm.maxVal=K364,L364&lt;&gt;0),_xlpm.maxVal,""))</f>
        <v>0.02</v>
      </c>
      <c r="V364" s="27">
        <f>_xlfn.LET(_xlpm.maxVal,_xlfn.MAXIFS($K:$K,$A:$A,A364),IF(AND(_xlpm.maxVal=K364,M364&lt;&gt;0),_xlpm.maxVal,""))</f>
        <v>0.02</v>
      </c>
      <c r="W364" s="27">
        <f>_xlfn.LET(_xlpm.maxVal,_xlfn.MAXIFS($K:$K,$A:$A,A364),IF(AND(_xlpm.maxVal=K364,N364&lt;&gt;0),_xlpm.maxVal,""))</f>
        <v>0.02</v>
      </c>
      <c r="X364" s="27">
        <f>_xlfn.LET(_xlpm.maxVal,_xlfn.MAXIFS($K:$K,$A:$A,A364),IF(AND(_xlpm.maxVal=K364,O364&lt;&gt;0),_xlpm.maxVal,""))</f>
        <v>0.02</v>
      </c>
      <c r="Y364" s="27">
        <f>_xlfn.LET(_xlpm.maxVal,_xlfn.MAXIFS($K:$K,$A:$A,A364),IF(AND(_xlpm.maxVal=K364,P364&lt;&gt;0),_xlpm.maxVal,""))</f>
        <v>0.02</v>
      </c>
      <c r="Z364" s="27">
        <f>_xlfn.LET(_xlpm.maxVal,_xlfn.MAXIFS($K:$K,$A:$A,A364),IF(AND(_xlpm.maxVal=K364,Q364&lt;&gt;0),_xlpm.maxVal,""))</f>
        <v>0.02</v>
      </c>
      <c r="AA364" s="27">
        <f>_xlfn.LET(_xlpm.maxVal,_xlfn.MAXIFS($K:$K,$A:$A,A364),IF(AND(_xlpm.maxVal=K364,R364&lt;&gt;0),_xlpm.maxVal,""))</f>
        <v>0.02</v>
      </c>
      <c r="AB364" s="27">
        <f>_xlfn.LET(_xlpm.maxVal,_xlfn.MAXIFS($K:$K,$A:$A,A364),IF(AND(_xlpm.maxVal=K364,S364&lt;&gt;0),_xlpm.maxVal,""))</f>
        <v>0.02</v>
      </c>
      <c r="AC364" s="27">
        <f>_xlfn.LET(_xlpm.maxVal,_xlfn.MAXIFS($K:$K,$A:$A,A364),IF(AND(_xlpm.maxVal=K364,T364&lt;&gt;0),_xlpm.maxVal,""))</f>
        <v>0.02</v>
      </c>
      <c r="AD364" s="27">
        <f>$K364*L364*负载统计!$K$3/60</f>
        <v>0</v>
      </c>
      <c r="AE364" s="27">
        <f>$K364*L364*负载统计!$K$4/60</f>
        <v>0</v>
      </c>
      <c r="AF364" s="27">
        <f>$K364*N364*负载统计!$K$5/60</f>
        <v>0.000333333333333333</v>
      </c>
      <c r="AG364" s="27">
        <f>$K364*O364*负载统计!$K$6/60</f>
        <v>0.001</v>
      </c>
      <c r="AH364" s="27">
        <f>$K364*P364*负载统计!$K$7/60</f>
        <v>0.00225666666666667</v>
      </c>
      <c r="AI364" s="27">
        <f>$K364*Q364*负载统计!$K$8/60</f>
        <v>0.0145333333333333</v>
      </c>
      <c r="AJ364" s="27">
        <f>$K364*R364*负载统计!$K$9/60</f>
        <v>0.00461666666666667</v>
      </c>
      <c r="AK364" s="27">
        <f>$K364*S364*负载统计!$K$10/60</f>
        <v>0.000166666666666667</v>
      </c>
      <c r="AL364" s="27">
        <f>$K364*T364*负载统计!$K$11/60</f>
        <v>0.00133333333333333</v>
      </c>
    </row>
    <row r="365" spans="1:38">
      <c r="A365" s="1">
        <v>169</v>
      </c>
      <c r="B365" s="24" t="s">
        <v>1573</v>
      </c>
      <c r="C365" s="24" t="s">
        <v>1557</v>
      </c>
      <c r="D365" s="24" t="s">
        <v>1574</v>
      </c>
      <c r="E365" s="24" t="s">
        <v>1074</v>
      </c>
      <c r="F365" s="24" t="s">
        <v>1090</v>
      </c>
      <c r="G365" s="25">
        <f>VLOOKUP(A365,负载电气特性!A:G,7,FALSE)</f>
        <v>28</v>
      </c>
      <c r="H365" s="26" t="s">
        <v>66</v>
      </c>
      <c r="I365" s="25" t="s">
        <v>1706</v>
      </c>
      <c r="J365" s="25" t="s">
        <v>1708</v>
      </c>
      <c r="K365" s="25">
        <v>0</v>
      </c>
      <c r="L365" s="25">
        <v>0</v>
      </c>
      <c r="M365" s="25">
        <v>0</v>
      </c>
      <c r="N365" s="25">
        <v>0</v>
      </c>
      <c r="O365" s="25">
        <v>0</v>
      </c>
      <c r="P365" s="25">
        <v>0</v>
      </c>
      <c r="Q365" s="25">
        <v>0</v>
      </c>
      <c r="R365" s="25">
        <v>0</v>
      </c>
      <c r="S365" s="25">
        <v>0</v>
      </c>
      <c r="T365" s="25">
        <v>0</v>
      </c>
      <c r="U365" s="27" t="str">
        <f>_xlfn.LET(_xlpm.maxVal,_xlfn.MAXIFS($K:$K,$A:$A,A365),IF(AND(_xlpm.maxVal=K365,L365&lt;&gt;0),_xlpm.maxVal,""))</f>
        <v/>
      </c>
      <c r="V365" s="27" t="str">
        <f>_xlfn.LET(_xlpm.maxVal,_xlfn.MAXIFS($K:$K,$A:$A,A365),IF(AND(_xlpm.maxVal=K365,M365&lt;&gt;0),_xlpm.maxVal,""))</f>
        <v/>
      </c>
      <c r="W365" s="27" t="str">
        <f>_xlfn.LET(_xlpm.maxVal,_xlfn.MAXIFS($K:$K,$A:$A,A365),IF(AND(_xlpm.maxVal=K365,N365&lt;&gt;0),_xlpm.maxVal,""))</f>
        <v/>
      </c>
      <c r="X365" s="27" t="str">
        <f>_xlfn.LET(_xlpm.maxVal,_xlfn.MAXIFS($K:$K,$A:$A,A365),IF(AND(_xlpm.maxVal=K365,O365&lt;&gt;0),_xlpm.maxVal,""))</f>
        <v/>
      </c>
      <c r="Y365" s="27" t="str">
        <f>_xlfn.LET(_xlpm.maxVal,_xlfn.MAXIFS($K:$K,$A:$A,A365),IF(AND(_xlpm.maxVal=K365,P365&lt;&gt;0),_xlpm.maxVal,""))</f>
        <v/>
      </c>
      <c r="Z365" s="27" t="str">
        <f>_xlfn.LET(_xlpm.maxVal,_xlfn.MAXIFS($K:$K,$A:$A,A365),IF(AND(_xlpm.maxVal=K365,Q365&lt;&gt;0),_xlpm.maxVal,""))</f>
        <v/>
      </c>
      <c r="AA365" s="27" t="str">
        <f>_xlfn.LET(_xlpm.maxVal,_xlfn.MAXIFS($K:$K,$A:$A,A365),IF(AND(_xlpm.maxVal=K365,R365&lt;&gt;0),_xlpm.maxVal,""))</f>
        <v/>
      </c>
      <c r="AB365" s="27" t="str">
        <f>_xlfn.LET(_xlpm.maxVal,_xlfn.MAXIFS($K:$K,$A:$A,A365),IF(AND(_xlpm.maxVal=K365,S365&lt;&gt;0),_xlpm.maxVal,""))</f>
        <v/>
      </c>
      <c r="AC365" s="27" t="str">
        <f>_xlfn.LET(_xlpm.maxVal,_xlfn.MAXIFS($K:$K,$A:$A,A365),IF(AND(_xlpm.maxVal=K365,T365&lt;&gt;0),_xlpm.maxVal,""))</f>
        <v/>
      </c>
      <c r="AD365" s="27">
        <f>$K365*L365*负载统计!$K$3/60</f>
        <v>0</v>
      </c>
      <c r="AE365" s="27">
        <f>$K365*L365*负载统计!$K$4/60</f>
        <v>0</v>
      </c>
      <c r="AF365" s="27">
        <f>$K365*N365*负载统计!$K$5/60</f>
        <v>0</v>
      </c>
      <c r="AG365" s="27">
        <f>$K365*O365*负载统计!$K$6/60</f>
        <v>0</v>
      </c>
      <c r="AH365" s="27">
        <f>$K365*P365*负载统计!$K$7/60</f>
        <v>0</v>
      </c>
      <c r="AI365" s="27">
        <f>$K365*Q365*负载统计!$K$8/60</f>
        <v>0</v>
      </c>
      <c r="AJ365" s="27">
        <f>$K365*R365*负载统计!$K$9/60</f>
        <v>0</v>
      </c>
      <c r="AK365" s="27">
        <f>$K365*S365*负载统计!$K$10/60</f>
        <v>0</v>
      </c>
      <c r="AL365" s="27">
        <f>$K365*T365*负载统计!$K$11/60</f>
        <v>0</v>
      </c>
    </row>
    <row r="366" spans="1:38">
      <c r="A366" s="1">
        <v>170</v>
      </c>
      <c r="B366" s="24" t="s">
        <v>1575</v>
      </c>
      <c r="C366" s="24" t="s">
        <v>1557</v>
      </c>
      <c r="D366" s="24" t="s">
        <v>1574</v>
      </c>
      <c r="E366" s="24" t="s">
        <v>1074</v>
      </c>
      <c r="F366" s="24" t="s">
        <v>1090</v>
      </c>
      <c r="G366" s="25">
        <f>VLOOKUP(A366,负载电气特性!A:G,7,FALSE)</f>
        <v>800</v>
      </c>
      <c r="H366" s="26" t="s">
        <v>66</v>
      </c>
      <c r="I366" s="25" t="s">
        <v>1706</v>
      </c>
      <c r="J366" s="25" t="s">
        <v>1707</v>
      </c>
      <c r="K366" s="25">
        <v>200</v>
      </c>
      <c r="L366" s="25">
        <v>0</v>
      </c>
      <c r="M366" s="25">
        <v>0</v>
      </c>
      <c r="N366" s="25">
        <v>0</v>
      </c>
      <c r="O366" s="25">
        <v>0.29</v>
      </c>
      <c r="P366" s="25">
        <v>1</v>
      </c>
      <c r="Q366" s="25">
        <v>0.36</v>
      </c>
      <c r="R366" s="25">
        <v>0.086</v>
      </c>
      <c r="S366" s="25">
        <v>0.03</v>
      </c>
      <c r="T366" s="25">
        <v>0</v>
      </c>
      <c r="U366" s="27" t="str">
        <f>_xlfn.LET(_xlpm.maxVal,_xlfn.MAXIFS($K:$K,$A:$A,A366),IF(AND(_xlpm.maxVal=K366,L366&lt;&gt;0),_xlpm.maxVal,""))</f>
        <v/>
      </c>
      <c r="V366" s="27" t="str">
        <f>_xlfn.LET(_xlpm.maxVal,_xlfn.MAXIFS($K:$K,$A:$A,A366),IF(AND(_xlpm.maxVal=K366,M366&lt;&gt;0),_xlpm.maxVal,""))</f>
        <v/>
      </c>
      <c r="W366" s="27" t="str">
        <f>_xlfn.LET(_xlpm.maxVal,_xlfn.MAXIFS($K:$K,$A:$A,A366),IF(AND(_xlpm.maxVal=K366,N366&lt;&gt;0),_xlpm.maxVal,""))</f>
        <v/>
      </c>
      <c r="X366" s="27"/>
      <c r="Y366" s="27"/>
      <c r="Z366" s="27"/>
      <c r="AA366" s="27"/>
      <c r="AB366" s="27"/>
      <c r="AC366" s="27" t="str">
        <f>_xlfn.LET(_xlpm.maxVal,_xlfn.MAXIFS($K:$K,$A:$A,A366),IF(AND(_xlpm.maxVal=K366,T366&lt;&gt;0),_xlpm.maxVal,""))</f>
        <v/>
      </c>
      <c r="AD366" s="27">
        <f>$K366*L366*负载统计!$K$3/60</f>
        <v>0</v>
      </c>
      <c r="AE366" s="27">
        <f>$K366*L366*负载统计!$K$4/60</f>
        <v>0</v>
      </c>
      <c r="AF366" s="27">
        <f>$K366*N366*负载统计!$K$5/60</f>
        <v>0</v>
      </c>
      <c r="AG366" s="27">
        <v>0</v>
      </c>
      <c r="AH366" s="27">
        <v>0</v>
      </c>
      <c r="AI366" s="27">
        <v>0</v>
      </c>
      <c r="AJ366" s="27">
        <v>0</v>
      </c>
      <c r="AK366" s="27">
        <v>0</v>
      </c>
      <c r="AL366" s="27">
        <v>0</v>
      </c>
    </row>
    <row r="367" spans="1:38">
      <c r="A367" s="1">
        <v>170</v>
      </c>
      <c r="B367" s="24" t="s">
        <v>1575</v>
      </c>
      <c r="C367" s="24" t="s">
        <v>1557</v>
      </c>
      <c r="D367" s="24" t="s">
        <v>1574</v>
      </c>
      <c r="E367" s="24" t="s">
        <v>1074</v>
      </c>
      <c r="F367" s="24" t="s">
        <v>1090</v>
      </c>
      <c r="G367" s="25">
        <f>VLOOKUP(A367,负载电气特性!A:G,7,FALSE)</f>
        <v>800</v>
      </c>
      <c r="H367" s="26" t="s">
        <v>66</v>
      </c>
      <c r="I367" s="25" t="s">
        <v>1706</v>
      </c>
      <c r="J367" s="25" t="s">
        <v>1708</v>
      </c>
      <c r="K367" s="25">
        <v>0</v>
      </c>
      <c r="L367" s="25">
        <v>1</v>
      </c>
      <c r="M367" s="25">
        <v>1</v>
      </c>
      <c r="N367" s="25">
        <v>1</v>
      </c>
      <c r="O367" s="25">
        <v>0.7</v>
      </c>
      <c r="P367" s="25">
        <v>0</v>
      </c>
      <c r="Q367" s="25">
        <v>0.6</v>
      </c>
      <c r="R367" s="25">
        <v>0</v>
      </c>
      <c r="S367" s="25">
        <v>1</v>
      </c>
      <c r="T367" s="25">
        <v>1</v>
      </c>
      <c r="U367" s="27" t="str">
        <f>_xlfn.LET(_xlpm.maxVal,_xlfn.MAXIFS($K:$K,$A:$A,A367),IF(AND(_xlpm.maxVal=K367,L367&lt;&gt;0),_xlpm.maxVal,""))</f>
        <v/>
      </c>
      <c r="V367" s="27" t="str">
        <f>_xlfn.LET(_xlpm.maxVal,_xlfn.MAXIFS($K:$K,$A:$A,A367),IF(AND(_xlpm.maxVal=K367,M367&lt;&gt;0),_xlpm.maxVal,""))</f>
        <v/>
      </c>
      <c r="W367" s="27" t="str">
        <f>_xlfn.LET(_xlpm.maxVal,_xlfn.MAXIFS($K:$K,$A:$A,A367),IF(AND(_xlpm.maxVal=K367,N367&lt;&gt;0),_xlpm.maxVal,""))</f>
        <v/>
      </c>
      <c r="X367" s="27" t="str">
        <f>_xlfn.LET(_xlpm.maxVal,_xlfn.MAXIFS($K:$K,$A:$A,A367),IF(AND(_xlpm.maxVal=K367,O367&lt;&gt;0),_xlpm.maxVal,""))</f>
        <v/>
      </c>
      <c r="Y367" s="27" t="str">
        <f>_xlfn.LET(_xlpm.maxVal,_xlfn.MAXIFS($K:$K,$A:$A,A367),IF(AND(_xlpm.maxVal=K367,P367&lt;&gt;0),_xlpm.maxVal,""))</f>
        <v/>
      </c>
      <c r="Z367" s="27" t="str">
        <f>_xlfn.LET(_xlpm.maxVal,_xlfn.MAXIFS($K:$K,$A:$A,A367),IF(AND(_xlpm.maxVal=K367,Q367&lt;&gt;0),_xlpm.maxVal,""))</f>
        <v/>
      </c>
      <c r="AA367" s="27" t="str">
        <f>_xlfn.LET(_xlpm.maxVal,_xlfn.MAXIFS($K:$K,$A:$A,A367),IF(AND(_xlpm.maxVal=K367,R367&lt;&gt;0),_xlpm.maxVal,""))</f>
        <v/>
      </c>
      <c r="AB367" s="27" t="str">
        <f>_xlfn.LET(_xlpm.maxVal,_xlfn.MAXIFS($K:$K,$A:$A,A367),IF(AND(_xlpm.maxVal=K367,S367&lt;&gt;0),_xlpm.maxVal,""))</f>
        <v/>
      </c>
      <c r="AC367" s="27" t="str">
        <f>_xlfn.LET(_xlpm.maxVal,_xlfn.MAXIFS($K:$K,$A:$A,A367),IF(AND(_xlpm.maxVal=K367,T367&lt;&gt;0),_xlpm.maxVal,""))</f>
        <v/>
      </c>
      <c r="AD367" s="27">
        <f>$K367*L367*负载统计!$K$3/60</f>
        <v>0</v>
      </c>
      <c r="AE367" s="27">
        <f>$K367*L367*负载统计!$K$4/60</f>
        <v>0</v>
      </c>
      <c r="AF367" s="27">
        <f>$K367*N367*负载统计!$K$5/60</f>
        <v>0</v>
      </c>
      <c r="AG367" s="27">
        <v>0</v>
      </c>
      <c r="AH367" s="27">
        <v>0</v>
      </c>
      <c r="AI367" s="27">
        <v>0</v>
      </c>
      <c r="AJ367" s="27">
        <v>0</v>
      </c>
      <c r="AK367" s="27">
        <v>0</v>
      </c>
      <c r="AL367" s="27">
        <v>0</v>
      </c>
    </row>
    <row r="368" spans="1:38">
      <c r="A368" s="1">
        <v>171</v>
      </c>
      <c r="B368" s="24" t="s">
        <v>1576</v>
      </c>
      <c r="C368" s="24" t="s">
        <v>1557</v>
      </c>
      <c r="D368" s="24" t="s">
        <v>1577</v>
      </c>
      <c r="E368" s="24" t="s">
        <v>1074</v>
      </c>
      <c r="F368" s="24" t="s">
        <v>1092</v>
      </c>
      <c r="G368" s="25">
        <f>VLOOKUP(A368,负载电气特性!A:G,7,FALSE)</f>
        <v>28</v>
      </c>
      <c r="H368" s="26" t="s">
        <v>66</v>
      </c>
      <c r="I368" s="25" t="s">
        <v>1706</v>
      </c>
      <c r="J368" s="25" t="s">
        <v>1707</v>
      </c>
      <c r="K368" s="25">
        <v>0.02</v>
      </c>
      <c r="L368" s="25">
        <v>1</v>
      </c>
      <c r="M368" s="25">
        <v>1</v>
      </c>
      <c r="N368" s="25">
        <v>1</v>
      </c>
      <c r="O368" s="25">
        <v>1</v>
      </c>
      <c r="P368" s="25">
        <v>1</v>
      </c>
      <c r="Q368" s="25">
        <v>1</v>
      </c>
      <c r="R368" s="25">
        <v>1</v>
      </c>
      <c r="S368" s="25">
        <v>1</v>
      </c>
      <c r="T368" s="25">
        <v>1</v>
      </c>
      <c r="U368" s="27">
        <f>_xlfn.LET(_xlpm.maxVal,_xlfn.MAXIFS($K:$K,$A:$A,A368),IF(AND(_xlpm.maxVal=K368,L368&lt;&gt;0),_xlpm.maxVal,""))</f>
        <v>0.02</v>
      </c>
      <c r="V368" s="27">
        <f>_xlfn.LET(_xlpm.maxVal,_xlfn.MAXIFS($K:$K,$A:$A,A368),IF(AND(_xlpm.maxVal=K368,M368&lt;&gt;0),_xlpm.maxVal,""))</f>
        <v>0.02</v>
      </c>
      <c r="W368" s="27">
        <f>_xlfn.LET(_xlpm.maxVal,_xlfn.MAXIFS($K:$K,$A:$A,A368),IF(AND(_xlpm.maxVal=K368,N368&lt;&gt;0),_xlpm.maxVal,""))</f>
        <v>0.02</v>
      </c>
      <c r="X368" s="27">
        <f>_xlfn.LET(_xlpm.maxVal,_xlfn.MAXIFS($K:$K,$A:$A,A368),IF(AND(_xlpm.maxVal=K368,O368&lt;&gt;0),_xlpm.maxVal,""))</f>
        <v>0.02</v>
      </c>
      <c r="Y368" s="27">
        <f>_xlfn.LET(_xlpm.maxVal,_xlfn.MAXIFS($K:$K,$A:$A,A368),IF(AND(_xlpm.maxVal=K368,P368&lt;&gt;0),_xlpm.maxVal,""))</f>
        <v>0.02</v>
      </c>
      <c r="Z368" s="27">
        <f>_xlfn.LET(_xlpm.maxVal,_xlfn.MAXIFS($K:$K,$A:$A,A368),IF(AND(_xlpm.maxVal=K368,Q368&lt;&gt;0),_xlpm.maxVal,""))</f>
        <v>0.02</v>
      </c>
      <c r="AA368" s="27">
        <f>_xlfn.LET(_xlpm.maxVal,_xlfn.MAXIFS($K:$K,$A:$A,A368),IF(AND(_xlpm.maxVal=K368,R368&lt;&gt;0),_xlpm.maxVal,""))</f>
        <v>0.02</v>
      </c>
      <c r="AB368" s="27">
        <f>_xlfn.LET(_xlpm.maxVal,_xlfn.MAXIFS($K:$K,$A:$A,A368),IF(AND(_xlpm.maxVal=K368,S368&lt;&gt;0),_xlpm.maxVal,""))</f>
        <v>0.02</v>
      </c>
      <c r="AC368" s="27">
        <f>_xlfn.LET(_xlpm.maxVal,_xlfn.MAXIFS($K:$K,$A:$A,A368),IF(AND(_xlpm.maxVal=K368,T368&lt;&gt;0),_xlpm.maxVal,""))</f>
        <v>0.02</v>
      </c>
      <c r="AD368" s="27">
        <f>$K368*L368*负载统计!$K$3/60</f>
        <v>0</v>
      </c>
      <c r="AE368" s="27">
        <f>$K368*L368*负载统计!$K$4/60</f>
        <v>0</v>
      </c>
      <c r="AF368" s="27">
        <f>$K368*N368*负载统计!$K$5/60</f>
        <v>0.000333333333333333</v>
      </c>
      <c r="AG368" s="27">
        <f>$K368*O368*负载统计!$K$6/60</f>
        <v>0.001</v>
      </c>
      <c r="AH368" s="27">
        <f>$K368*P368*负载统计!$K$7/60</f>
        <v>0.00225666666666667</v>
      </c>
      <c r="AI368" s="27">
        <f>$K368*Q368*负载统计!$K$8/60</f>
        <v>0.0145333333333333</v>
      </c>
      <c r="AJ368" s="27">
        <f>$K368*R368*负载统计!$K$9/60</f>
        <v>0.00461666666666667</v>
      </c>
      <c r="AK368" s="27">
        <f>$K368*S368*负载统计!$K$10/60</f>
        <v>0.000166666666666667</v>
      </c>
      <c r="AL368" s="27">
        <f>$K368*T368*负载统计!$K$11/60</f>
        <v>0.00133333333333333</v>
      </c>
    </row>
    <row r="369" spans="1:38">
      <c r="A369" s="1">
        <v>171</v>
      </c>
      <c r="B369" s="24" t="s">
        <v>1576</v>
      </c>
      <c r="C369" s="24" t="s">
        <v>1557</v>
      </c>
      <c r="D369" s="24" t="s">
        <v>1577</v>
      </c>
      <c r="E369" s="24" t="s">
        <v>1074</v>
      </c>
      <c r="F369" s="24" t="s">
        <v>1092</v>
      </c>
      <c r="G369" s="25">
        <f>VLOOKUP(A369,负载电气特性!A:G,7,FALSE)</f>
        <v>28</v>
      </c>
      <c r="H369" s="26" t="s">
        <v>66</v>
      </c>
      <c r="I369" s="25" t="s">
        <v>1706</v>
      </c>
      <c r="J369" s="25" t="s">
        <v>1708</v>
      </c>
      <c r="K369" s="25">
        <v>0</v>
      </c>
      <c r="L369" s="25">
        <v>0</v>
      </c>
      <c r="M369" s="25">
        <v>0</v>
      </c>
      <c r="N369" s="25">
        <v>0</v>
      </c>
      <c r="O369" s="25">
        <v>0</v>
      </c>
      <c r="P369" s="25">
        <v>0</v>
      </c>
      <c r="Q369" s="25">
        <v>0</v>
      </c>
      <c r="R369" s="25">
        <v>0</v>
      </c>
      <c r="S369" s="25">
        <v>0</v>
      </c>
      <c r="T369" s="25">
        <v>0</v>
      </c>
      <c r="U369" s="27" t="str">
        <f>_xlfn.LET(_xlpm.maxVal,_xlfn.MAXIFS($K:$K,$A:$A,A369),IF(AND(_xlpm.maxVal=K369,L369&lt;&gt;0),_xlpm.maxVal,""))</f>
        <v/>
      </c>
      <c r="V369" s="27" t="str">
        <f>_xlfn.LET(_xlpm.maxVal,_xlfn.MAXIFS($K:$K,$A:$A,A369),IF(AND(_xlpm.maxVal=K369,M369&lt;&gt;0),_xlpm.maxVal,""))</f>
        <v/>
      </c>
      <c r="W369" s="27" t="str">
        <f>_xlfn.LET(_xlpm.maxVal,_xlfn.MAXIFS($K:$K,$A:$A,A369),IF(AND(_xlpm.maxVal=K369,N369&lt;&gt;0),_xlpm.maxVal,""))</f>
        <v/>
      </c>
      <c r="X369" s="27" t="str">
        <f>_xlfn.LET(_xlpm.maxVal,_xlfn.MAXIFS($K:$K,$A:$A,A369),IF(AND(_xlpm.maxVal=K369,O369&lt;&gt;0),_xlpm.maxVal,""))</f>
        <v/>
      </c>
      <c r="Y369" s="27" t="str">
        <f>_xlfn.LET(_xlpm.maxVal,_xlfn.MAXIFS($K:$K,$A:$A,A369),IF(AND(_xlpm.maxVal=K369,P369&lt;&gt;0),_xlpm.maxVal,""))</f>
        <v/>
      </c>
      <c r="Z369" s="27" t="str">
        <f>_xlfn.LET(_xlpm.maxVal,_xlfn.MAXIFS($K:$K,$A:$A,A369),IF(AND(_xlpm.maxVal=K369,Q369&lt;&gt;0),_xlpm.maxVal,""))</f>
        <v/>
      </c>
      <c r="AA369" s="27" t="str">
        <f>_xlfn.LET(_xlpm.maxVal,_xlfn.MAXIFS($K:$K,$A:$A,A369),IF(AND(_xlpm.maxVal=K369,R369&lt;&gt;0),_xlpm.maxVal,""))</f>
        <v/>
      </c>
      <c r="AB369" s="27" t="str">
        <f>_xlfn.LET(_xlpm.maxVal,_xlfn.MAXIFS($K:$K,$A:$A,A369),IF(AND(_xlpm.maxVal=K369,S369&lt;&gt;0),_xlpm.maxVal,""))</f>
        <v/>
      </c>
      <c r="AC369" s="27" t="str">
        <f>_xlfn.LET(_xlpm.maxVal,_xlfn.MAXIFS($K:$K,$A:$A,A369),IF(AND(_xlpm.maxVal=K369,T369&lt;&gt;0),_xlpm.maxVal,""))</f>
        <v/>
      </c>
      <c r="AD369" s="27">
        <f>$K369*L369*负载统计!$K$3/60</f>
        <v>0</v>
      </c>
      <c r="AE369" s="27">
        <f>$K369*L369*负载统计!$K$4/60</f>
        <v>0</v>
      </c>
      <c r="AF369" s="27">
        <f>$K369*N369*负载统计!$K$5/60</f>
        <v>0</v>
      </c>
      <c r="AG369" s="27">
        <f>$K369*O369*负载统计!$K$6/60</f>
        <v>0</v>
      </c>
      <c r="AH369" s="27">
        <f>$K369*P369*负载统计!$K$7/60</f>
        <v>0</v>
      </c>
      <c r="AI369" s="27">
        <f>$K369*Q369*负载统计!$K$8/60</f>
        <v>0</v>
      </c>
      <c r="AJ369" s="27">
        <f>$K369*R369*负载统计!$K$9/60</f>
        <v>0</v>
      </c>
      <c r="AK369" s="27">
        <f>$K369*S369*负载统计!$K$10/60</f>
        <v>0</v>
      </c>
      <c r="AL369" s="27">
        <f>$K369*T369*负载统计!$K$11/60</f>
        <v>0</v>
      </c>
    </row>
    <row r="370" spans="1:38">
      <c r="A370" s="1">
        <v>172</v>
      </c>
      <c r="B370" s="24" t="s">
        <v>1578</v>
      </c>
      <c r="C370" s="24" t="s">
        <v>1557</v>
      </c>
      <c r="D370" s="24" t="s">
        <v>1577</v>
      </c>
      <c r="E370" s="24" t="s">
        <v>1074</v>
      </c>
      <c r="F370" s="24" t="s">
        <v>1092</v>
      </c>
      <c r="G370" s="25">
        <f>VLOOKUP(A370,负载电气特性!A:G,7,FALSE)</f>
        <v>800</v>
      </c>
      <c r="H370" s="26" t="s">
        <v>66</v>
      </c>
      <c r="I370" s="25" t="s">
        <v>1706</v>
      </c>
      <c r="J370" s="25" t="s">
        <v>1707</v>
      </c>
      <c r="K370" s="25">
        <v>200</v>
      </c>
      <c r="L370" s="25">
        <v>0</v>
      </c>
      <c r="M370" s="25">
        <v>0</v>
      </c>
      <c r="N370" s="25">
        <v>0</v>
      </c>
      <c r="O370" s="25">
        <v>0.29</v>
      </c>
      <c r="P370" s="25">
        <v>1</v>
      </c>
      <c r="Q370" s="25">
        <v>0.36</v>
      </c>
      <c r="R370" s="25">
        <v>0.086</v>
      </c>
      <c r="S370" s="25">
        <v>0.03</v>
      </c>
      <c r="T370" s="25">
        <v>0</v>
      </c>
      <c r="U370" s="27" t="str">
        <f>_xlfn.LET(_xlpm.maxVal,_xlfn.MAXIFS($K:$K,$A:$A,A370),IF(AND(_xlpm.maxVal=K370,L370&lt;&gt;0),_xlpm.maxVal,""))</f>
        <v/>
      </c>
      <c r="V370" s="27" t="str">
        <f>_xlfn.LET(_xlpm.maxVal,_xlfn.MAXIFS($K:$K,$A:$A,A370),IF(AND(_xlpm.maxVal=K370,M370&lt;&gt;0),_xlpm.maxVal,""))</f>
        <v/>
      </c>
      <c r="W370" s="27" t="str">
        <f>_xlfn.LET(_xlpm.maxVal,_xlfn.MAXIFS($K:$K,$A:$A,A370),IF(AND(_xlpm.maxVal=K370,N370&lt;&gt;0),_xlpm.maxVal,""))</f>
        <v/>
      </c>
      <c r="X370" s="27"/>
      <c r="Y370" s="27"/>
      <c r="Z370" s="27"/>
      <c r="AA370" s="27"/>
      <c r="AB370" s="27"/>
      <c r="AC370" s="27" t="str">
        <f>_xlfn.LET(_xlpm.maxVal,_xlfn.MAXIFS($K:$K,$A:$A,A370),IF(AND(_xlpm.maxVal=K370,T370&lt;&gt;0),_xlpm.maxVal,""))</f>
        <v/>
      </c>
      <c r="AD370" s="27">
        <f>$K370*L370*负载统计!$K$3/60</f>
        <v>0</v>
      </c>
      <c r="AE370" s="27">
        <f>$K370*L370*负载统计!$K$4/60</f>
        <v>0</v>
      </c>
      <c r="AF370" s="27">
        <f>$K370*N370*负载统计!$K$5/60</f>
        <v>0</v>
      </c>
      <c r="AG370" s="27">
        <v>0</v>
      </c>
      <c r="AH370" s="27">
        <v>0</v>
      </c>
      <c r="AI370" s="27">
        <v>0</v>
      </c>
      <c r="AJ370" s="27">
        <v>0</v>
      </c>
      <c r="AK370" s="27">
        <v>0</v>
      </c>
      <c r="AL370" s="27">
        <v>0</v>
      </c>
    </row>
    <row r="371" spans="1:38">
      <c r="A371" s="1">
        <v>172</v>
      </c>
      <c r="B371" s="24" t="s">
        <v>1578</v>
      </c>
      <c r="C371" s="24" t="s">
        <v>1557</v>
      </c>
      <c r="D371" s="24" t="s">
        <v>1577</v>
      </c>
      <c r="E371" s="24" t="s">
        <v>1074</v>
      </c>
      <c r="F371" s="24" t="s">
        <v>1092</v>
      </c>
      <c r="G371" s="25">
        <f>VLOOKUP(A371,负载电气特性!A:G,7,FALSE)</f>
        <v>800</v>
      </c>
      <c r="H371" s="26" t="s">
        <v>66</v>
      </c>
      <c r="I371" s="25" t="s">
        <v>1706</v>
      </c>
      <c r="J371" s="25" t="s">
        <v>1708</v>
      </c>
      <c r="K371" s="25">
        <v>0</v>
      </c>
      <c r="L371" s="25">
        <v>1</v>
      </c>
      <c r="M371" s="25">
        <v>1</v>
      </c>
      <c r="N371" s="25">
        <v>1</v>
      </c>
      <c r="O371" s="25">
        <v>0.7</v>
      </c>
      <c r="P371" s="25">
        <v>0</v>
      </c>
      <c r="Q371" s="25">
        <v>0.6</v>
      </c>
      <c r="R371" s="25">
        <v>0</v>
      </c>
      <c r="S371" s="25">
        <v>1</v>
      </c>
      <c r="T371" s="25">
        <v>1</v>
      </c>
      <c r="U371" s="27" t="str">
        <f>_xlfn.LET(_xlpm.maxVal,_xlfn.MAXIFS($K:$K,$A:$A,A371),IF(AND(_xlpm.maxVal=K371,L371&lt;&gt;0),_xlpm.maxVal,""))</f>
        <v/>
      </c>
      <c r="V371" s="27" t="str">
        <f>_xlfn.LET(_xlpm.maxVal,_xlfn.MAXIFS($K:$K,$A:$A,A371),IF(AND(_xlpm.maxVal=K371,M371&lt;&gt;0),_xlpm.maxVal,""))</f>
        <v/>
      </c>
      <c r="W371" s="27" t="str">
        <f>_xlfn.LET(_xlpm.maxVal,_xlfn.MAXIFS($K:$K,$A:$A,A371),IF(AND(_xlpm.maxVal=K371,N371&lt;&gt;0),_xlpm.maxVal,""))</f>
        <v/>
      </c>
      <c r="X371" s="27" t="str">
        <f>_xlfn.LET(_xlpm.maxVal,_xlfn.MAXIFS($K:$K,$A:$A,A371),IF(AND(_xlpm.maxVal=K371,O371&lt;&gt;0),_xlpm.maxVal,""))</f>
        <v/>
      </c>
      <c r="Y371" s="27" t="str">
        <f>_xlfn.LET(_xlpm.maxVal,_xlfn.MAXIFS($K:$K,$A:$A,A371),IF(AND(_xlpm.maxVal=K371,P371&lt;&gt;0),_xlpm.maxVal,""))</f>
        <v/>
      </c>
      <c r="Z371" s="27" t="str">
        <f>_xlfn.LET(_xlpm.maxVal,_xlfn.MAXIFS($K:$K,$A:$A,A371),IF(AND(_xlpm.maxVal=K371,Q371&lt;&gt;0),_xlpm.maxVal,""))</f>
        <v/>
      </c>
      <c r="AA371" s="27" t="str">
        <f>_xlfn.LET(_xlpm.maxVal,_xlfn.MAXIFS($K:$K,$A:$A,A371),IF(AND(_xlpm.maxVal=K371,R371&lt;&gt;0),_xlpm.maxVal,""))</f>
        <v/>
      </c>
      <c r="AB371" s="27" t="str">
        <f>_xlfn.LET(_xlpm.maxVal,_xlfn.MAXIFS($K:$K,$A:$A,A371),IF(AND(_xlpm.maxVal=K371,S371&lt;&gt;0),_xlpm.maxVal,""))</f>
        <v/>
      </c>
      <c r="AC371" s="27" t="str">
        <f>_xlfn.LET(_xlpm.maxVal,_xlfn.MAXIFS($K:$K,$A:$A,A371),IF(AND(_xlpm.maxVal=K371,T371&lt;&gt;0),_xlpm.maxVal,""))</f>
        <v/>
      </c>
      <c r="AD371" s="27">
        <f>$K371*L371*负载统计!$K$3/60</f>
        <v>0</v>
      </c>
      <c r="AE371" s="27">
        <f>$K371*L371*负载统计!$K$4/60</f>
        <v>0</v>
      </c>
      <c r="AF371" s="27">
        <f>$K371*N371*负载统计!$K$5/60</f>
        <v>0</v>
      </c>
      <c r="AG371" s="27">
        <v>0</v>
      </c>
      <c r="AH371" s="27">
        <v>0</v>
      </c>
      <c r="AI371" s="27">
        <v>0</v>
      </c>
      <c r="AJ371" s="27">
        <v>0</v>
      </c>
      <c r="AK371" s="27">
        <v>0</v>
      </c>
      <c r="AL371" s="27">
        <v>0</v>
      </c>
    </row>
    <row r="372" spans="1:38">
      <c r="A372" s="1">
        <v>173</v>
      </c>
      <c r="B372" s="24" t="s">
        <v>1579</v>
      </c>
      <c r="C372" s="24" t="s">
        <v>1557</v>
      </c>
      <c r="D372" s="24" t="s">
        <v>1580</v>
      </c>
      <c r="E372" s="24" t="s">
        <v>1074</v>
      </c>
      <c r="F372" s="24" t="s">
        <v>1094</v>
      </c>
      <c r="G372" s="25">
        <f>VLOOKUP(A372,负载电气特性!A:G,7,FALSE)</f>
        <v>28</v>
      </c>
      <c r="H372" s="26" t="s">
        <v>66</v>
      </c>
      <c r="I372" s="25" t="s">
        <v>1706</v>
      </c>
      <c r="J372" s="25" t="s">
        <v>1707</v>
      </c>
      <c r="K372" s="25">
        <v>0.02</v>
      </c>
      <c r="L372" s="25">
        <v>1</v>
      </c>
      <c r="M372" s="25">
        <v>1</v>
      </c>
      <c r="N372" s="25">
        <v>1</v>
      </c>
      <c r="O372" s="25">
        <v>1</v>
      </c>
      <c r="P372" s="25">
        <v>1</v>
      </c>
      <c r="Q372" s="25">
        <v>1</v>
      </c>
      <c r="R372" s="25">
        <v>1</v>
      </c>
      <c r="S372" s="25">
        <v>1</v>
      </c>
      <c r="T372" s="25">
        <v>1</v>
      </c>
      <c r="U372" s="27">
        <f>_xlfn.LET(_xlpm.maxVal,_xlfn.MAXIFS($K:$K,$A:$A,A372),IF(AND(_xlpm.maxVal=K372,L372&lt;&gt;0),_xlpm.maxVal,""))</f>
        <v>0.02</v>
      </c>
      <c r="V372" s="27">
        <f>_xlfn.LET(_xlpm.maxVal,_xlfn.MAXIFS($K:$K,$A:$A,A372),IF(AND(_xlpm.maxVal=K372,M372&lt;&gt;0),_xlpm.maxVal,""))</f>
        <v>0.02</v>
      </c>
      <c r="W372" s="27">
        <f>_xlfn.LET(_xlpm.maxVal,_xlfn.MAXIFS($K:$K,$A:$A,A372),IF(AND(_xlpm.maxVal=K372,N372&lt;&gt;0),_xlpm.maxVal,""))</f>
        <v>0.02</v>
      </c>
      <c r="X372" s="27">
        <f>_xlfn.LET(_xlpm.maxVal,_xlfn.MAXIFS($K:$K,$A:$A,A372),IF(AND(_xlpm.maxVal=K372,O372&lt;&gt;0),_xlpm.maxVal,""))</f>
        <v>0.02</v>
      </c>
      <c r="Y372" s="27">
        <f>_xlfn.LET(_xlpm.maxVal,_xlfn.MAXIFS($K:$K,$A:$A,A372),IF(AND(_xlpm.maxVal=K372,P372&lt;&gt;0),_xlpm.maxVal,""))</f>
        <v>0.02</v>
      </c>
      <c r="Z372" s="27">
        <f>_xlfn.LET(_xlpm.maxVal,_xlfn.MAXIFS($K:$K,$A:$A,A372),IF(AND(_xlpm.maxVal=K372,Q372&lt;&gt;0),_xlpm.maxVal,""))</f>
        <v>0.02</v>
      </c>
      <c r="AA372" s="27">
        <f>_xlfn.LET(_xlpm.maxVal,_xlfn.MAXIFS($K:$K,$A:$A,A372),IF(AND(_xlpm.maxVal=K372,R372&lt;&gt;0),_xlpm.maxVal,""))</f>
        <v>0.02</v>
      </c>
      <c r="AB372" s="27">
        <f>_xlfn.LET(_xlpm.maxVal,_xlfn.MAXIFS($K:$K,$A:$A,A372),IF(AND(_xlpm.maxVal=K372,S372&lt;&gt;0),_xlpm.maxVal,""))</f>
        <v>0.02</v>
      </c>
      <c r="AC372" s="27">
        <f>_xlfn.LET(_xlpm.maxVal,_xlfn.MAXIFS($K:$K,$A:$A,A372),IF(AND(_xlpm.maxVal=K372,T372&lt;&gt;0),_xlpm.maxVal,""))</f>
        <v>0.02</v>
      </c>
      <c r="AD372" s="27">
        <f>$K372*L372*负载统计!$K$3/60</f>
        <v>0</v>
      </c>
      <c r="AE372" s="27">
        <f>$K372*L372*负载统计!$K$4/60</f>
        <v>0</v>
      </c>
      <c r="AF372" s="27">
        <f>$K372*N372*负载统计!$K$5/60</f>
        <v>0.000333333333333333</v>
      </c>
      <c r="AG372" s="27">
        <f>$K372*O372*负载统计!$K$6/60</f>
        <v>0.001</v>
      </c>
      <c r="AH372" s="27">
        <f>$K372*P372*负载统计!$K$7/60</f>
        <v>0.00225666666666667</v>
      </c>
      <c r="AI372" s="27">
        <f>$K372*Q372*负载统计!$K$8/60</f>
        <v>0.0145333333333333</v>
      </c>
      <c r="AJ372" s="27">
        <f>$K372*R372*负载统计!$K$9/60</f>
        <v>0.00461666666666667</v>
      </c>
      <c r="AK372" s="27">
        <f>$K372*S372*负载统计!$K$10/60</f>
        <v>0.000166666666666667</v>
      </c>
      <c r="AL372" s="27">
        <f>$K372*T372*负载统计!$K$11/60</f>
        <v>0.00133333333333333</v>
      </c>
    </row>
    <row r="373" spans="1:38">
      <c r="A373" s="1">
        <v>173</v>
      </c>
      <c r="B373" s="24" t="s">
        <v>1579</v>
      </c>
      <c r="C373" s="24" t="s">
        <v>1557</v>
      </c>
      <c r="D373" s="24" t="s">
        <v>1580</v>
      </c>
      <c r="E373" s="24" t="s">
        <v>1074</v>
      </c>
      <c r="F373" s="24" t="s">
        <v>1094</v>
      </c>
      <c r="G373" s="25">
        <f>VLOOKUP(A373,负载电气特性!A:G,7,FALSE)</f>
        <v>28</v>
      </c>
      <c r="H373" s="26" t="s">
        <v>66</v>
      </c>
      <c r="I373" s="25" t="s">
        <v>1706</v>
      </c>
      <c r="J373" s="25" t="s">
        <v>1708</v>
      </c>
      <c r="K373" s="25">
        <v>0</v>
      </c>
      <c r="L373" s="25">
        <v>0</v>
      </c>
      <c r="M373" s="25">
        <v>0</v>
      </c>
      <c r="N373" s="25">
        <v>0</v>
      </c>
      <c r="O373" s="25">
        <v>0</v>
      </c>
      <c r="P373" s="25">
        <v>0</v>
      </c>
      <c r="Q373" s="25">
        <v>0</v>
      </c>
      <c r="R373" s="25">
        <v>0</v>
      </c>
      <c r="S373" s="25">
        <v>0</v>
      </c>
      <c r="T373" s="25">
        <v>0</v>
      </c>
      <c r="U373" s="27" t="str">
        <f>_xlfn.LET(_xlpm.maxVal,_xlfn.MAXIFS($K:$K,$A:$A,A373),IF(AND(_xlpm.maxVal=K373,L373&lt;&gt;0),_xlpm.maxVal,""))</f>
        <v/>
      </c>
      <c r="V373" s="27" t="str">
        <f>_xlfn.LET(_xlpm.maxVal,_xlfn.MAXIFS($K:$K,$A:$A,A373),IF(AND(_xlpm.maxVal=K373,M373&lt;&gt;0),_xlpm.maxVal,""))</f>
        <v/>
      </c>
      <c r="W373" s="27" t="str">
        <f>_xlfn.LET(_xlpm.maxVal,_xlfn.MAXIFS($K:$K,$A:$A,A373),IF(AND(_xlpm.maxVal=K373,N373&lt;&gt;0),_xlpm.maxVal,""))</f>
        <v/>
      </c>
      <c r="X373" s="27" t="str">
        <f>_xlfn.LET(_xlpm.maxVal,_xlfn.MAXIFS($K:$K,$A:$A,A373),IF(AND(_xlpm.maxVal=K373,O373&lt;&gt;0),_xlpm.maxVal,""))</f>
        <v/>
      </c>
      <c r="Y373" s="27" t="str">
        <f>_xlfn.LET(_xlpm.maxVal,_xlfn.MAXIFS($K:$K,$A:$A,A373),IF(AND(_xlpm.maxVal=K373,P373&lt;&gt;0),_xlpm.maxVal,""))</f>
        <v/>
      </c>
      <c r="Z373" s="27" t="str">
        <f>_xlfn.LET(_xlpm.maxVal,_xlfn.MAXIFS($K:$K,$A:$A,A373),IF(AND(_xlpm.maxVal=K373,Q373&lt;&gt;0),_xlpm.maxVal,""))</f>
        <v/>
      </c>
      <c r="AA373" s="27" t="str">
        <f>_xlfn.LET(_xlpm.maxVal,_xlfn.MAXIFS($K:$K,$A:$A,A373),IF(AND(_xlpm.maxVal=K373,R373&lt;&gt;0),_xlpm.maxVal,""))</f>
        <v/>
      </c>
      <c r="AB373" s="27" t="str">
        <f>_xlfn.LET(_xlpm.maxVal,_xlfn.MAXIFS($K:$K,$A:$A,A373),IF(AND(_xlpm.maxVal=K373,S373&lt;&gt;0),_xlpm.maxVal,""))</f>
        <v/>
      </c>
      <c r="AC373" s="27" t="str">
        <f>_xlfn.LET(_xlpm.maxVal,_xlfn.MAXIFS($K:$K,$A:$A,A373),IF(AND(_xlpm.maxVal=K373,T373&lt;&gt;0),_xlpm.maxVal,""))</f>
        <v/>
      </c>
      <c r="AD373" s="27">
        <f>$K373*L373*负载统计!$K$3/60</f>
        <v>0</v>
      </c>
      <c r="AE373" s="27">
        <f>$K373*L373*负载统计!$K$4/60</f>
        <v>0</v>
      </c>
      <c r="AF373" s="27">
        <f>$K373*N373*负载统计!$K$5/60</f>
        <v>0</v>
      </c>
      <c r="AG373" s="27">
        <f>$K373*O373*负载统计!$K$6/60</f>
        <v>0</v>
      </c>
      <c r="AH373" s="27">
        <f>$K373*P373*负载统计!$K$7/60</f>
        <v>0</v>
      </c>
      <c r="AI373" s="27">
        <f>$K373*Q373*负载统计!$K$8/60</f>
        <v>0</v>
      </c>
      <c r="AJ373" s="27">
        <f>$K373*R373*负载统计!$K$9/60</f>
        <v>0</v>
      </c>
      <c r="AK373" s="27">
        <f>$K373*S373*负载统计!$K$10/60</f>
        <v>0</v>
      </c>
      <c r="AL373" s="27">
        <f>$K373*T373*负载统计!$K$11/60</f>
        <v>0</v>
      </c>
    </row>
    <row r="374" spans="1:38">
      <c r="A374" s="1">
        <v>174</v>
      </c>
      <c r="B374" s="24" t="s">
        <v>1581</v>
      </c>
      <c r="C374" s="24" t="s">
        <v>1557</v>
      </c>
      <c r="D374" s="24" t="s">
        <v>1580</v>
      </c>
      <c r="E374" s="24" t="s">
        <v>1074</v>
      </c>
      <c r="F374" s="24" t="s">
        <v>1094</v>
      </c>
      <c r="G374" s="25">
        <f>VLOOKUP(A374,负载电气特性!A:G,7,FALSE)</f>
        <v>800</v>
      </c>
      <c r="H374" s="26" t="s">
        <v>66</v>
      </c>
      <c r="I374" s="25" t="s">
        <v>1706</v>
      </c>
      <c r="J374" s="25" t="s">
        <v>1707</v>
      </c>
      <c r="K374" s="25">
        <v>200</v>
      </c>
      <c r="L374" s="25">
        <v>0</v>
      </c>
      <c r="M374" s="25">
        <v>0</v>
      </c>
      <c r="N374" s="25">
        <v>0</v>
      </c>
      <c r="O374" s="25">
        <v>0.29</v>
      </c>
      <c r="P374" s="25">
        <v>1</v>
      </c>
      <c r="Q374" s="25">
        <v>0.36</v>
      </c>
      <c r="R374" s="25">
        <v>0.086</v>
      </c>
      <c r="S374" s="25">
        <v>0.03</v>
      </c>
      <c r="T374" s="25">
        <v>0</v>
      </c>
      <c r="U374" s="27" t="str">
        <f>_xlfn.LET(_xlpm.maxVal,_xlfn.MAXIFS($K:$K,$A:$A,A374),IF(AND(_xlpm.maxVal=K374,L374&lt;&gt;0),_xlpm.maxVal,""))</f>
        <v/>
      </c>
      <c r="V374" s="27" t="str">
        <f>_xlfn.LET(_xlpm.maxVal,_xlfn.MAXIFS($K:$K,$A:$A,A374),IF(AND(_xlpm.maxVal=K374,M374&lt;&gt;0),_xlpm.maxVal,""))</f>
        <v/>
      </c>
      <c r="W374" s="27" t="str">
        <f>_xlfn.LET(_xlpm.maxVal,_xlfn.MAXIFS($K:$K,$A:$A,A374),IF(AND(_xlpm.maxVal=K374,N374&lt;&gt;0),_xlpm.maxVal,""))</f>
        <v/>
      </c>
      <c r="X374" s="27"/>
      <c r="Y374" s="27"/>
      <c r="Z374" s="27"/>
      <c r="AA374" s="27"/>
      <c r="AB374" s="27"/>
      <c r="AC374" s="27" t="str">
        <f>_xlfn.LET(_xlpm.maxVal,_xlfn.MAXIFS($K:$K,$A:$A,A374),IF(AND(_xlpm.maxVal=K374,T374&lt;&gt;0),_xlpm.maxVal,""))</f>
        <v/>
      </c>
      <c r="AD374" s="27">
        <f>$K374*L374*负载统计!$K$3/60</f>
        <v>0</v>
      </c>
      <c r="AE374" s="27">
        <f>$K374*L374*负载统计!$K$4/60</f>
        <v>0</v>
      </c>
      <c r="AF374" s="27">
        <f>$K374*N374*负载统计!$K$5/60</f>
        <v>0</v>
      </c>
      <c r="AG374" s="27">
        <v>0</v>
      </c>
      <c r="AH374" s="27">
        <v>0</v>
      </c>
      <c r="AI374" s="27">
        <v>0</v>
      </c>
      <c r="AJ374" s="27">
        <v>0</v>
      </c>
      <c r="AK374" s="27">
        <v>0</v>
      </c>
      <c r="AL374" s="27">
        <v>0</v>
      </c>
    </row>
    <row r="375" spans="1:38">
      <c r="A375" s="1">
        <v>174</v>
      </c>
      <c r="B375" s="24" t="s">
        <v>1581</v>
      </c>
      <c r="C375" s="24" t="s">
        <v>1557</v>
      </c>
      <c r="D375" s="24" t="s">
        <v>1580</v>
      </c>
      <c r="E375" s="24" t="s">
        <v>1074</v>
      </c>
      <c r="F375" s="24" t="s">
        <v>1094</v>
      </c>
      <c r="G375" s="25">
        <f>VLOOKUP(A375,负载电气特性!A:G,7,FALSE)</f>
        <v>800</v>
      </c>
      <c r="H375" s="26" t="s">
        <v>66</v>
      </c>
      <c r="I375" s="25" t="s">
        <v>1706</v>
      </c>
      <c r="J375" s="25" t="s">
        <v>1708</v>
      </c>
      <c r="K375" s="25">
        <v>0</v>
      </c>
      <c r="L375" s="25">
        <v>1</v>
      </c>
      <c r="M375" s="25">
        <v>1</v>
      </c>
      <c r="N375" s="25">
        <v>1</v>
      </c>
      <c r="O375" s="25">
        <v>0.7</v>
      </c>
      <c r="P375" s="25">
        <v>0</v>
      </c>
      <c r="Q375" s="25">
        <v>0.6</v>
      </c>
      <c r="R375" s="25">
        <v>0</v>
      </c>
      <c r="S375" s="25">
        <v>1</v>
      </c>
      <c r="T375" s="25">
        <v>1</v>
      </c>
      <c r="U375" s="27" t="str">
        <f>_xlfn.LET(_xlpm.maxVal,_xlfn.MAXIFS($K:$K,$A:$A,A375),IF(AND(_xlpm.maxVal=K375,L375&lt;&gt;0),_xlpm.maxVal,""))</f>
        <v/>
      </c>
      <c r="V375" s="27" t="str">
        <f>_xlfn.LET(_xlpm.maxVal,_xlfn.MAXIFS($K:$K,$A:$A,A375),IF(AND(_xlpm.maxVal=K375,M375&lt;&gt;0),_xlpm.maxVal,""))</f>
        <v/>
      </c>
      <c r="W375" s="27" t="str">
        <f>_xlfn.LET(_xlpm.maxVal,_xlfn.MAXIFS($K:$K,$A:$A,A375),IF(AND(_xlpm.maxVal=K375,N375&lt;&gt;0),_xlpm.maxVal,""))</f>
        <v/>
      </c>
      <c r="X375" s="27" t="str">
        <f>_xlfn.LET(_xlpm.maxVal,_xlfn.MAXIFS($K:$K,$A:$A,A375),IF(AND(_xlpm.maxVal=K375,O375&lt;&gt;0),_xlpm.maxVal,""))</f>
        <v/>
      </c>
      <c r="Y375" s="27" t="str">
        <f>_xlfn.LET(_xlpm.maxVal,_xlfn.MAXIFS($K:$K,$A:$A,A375),IF(AND(_xlpm.maxVal=K375,P375&lt;&gt;0),_xlpm.maxVal,""))</f>
        <v/>
      </c>
      <c r="Z375" s="27" t="str">
        <f>_xlfn.LET(_xlpm.maxVal,_xlfn.MAXIFS($K:$K,$A:$A,A375),IF(AND(_xlpm.maxVal=K375,Q375&lt;&gt;0),_xlpm.maxVal,""))</f>
        <v/>
      </c>
      <c r="AA375" s="27" t="str">
        <f>_xlfn.LET(_xlpm.maxVal,_xlfn.MAXIFS($K:$K,$A:$A,A375),IF(AND(_xlpm.maxVal=K375,R375&lt;&gt;0),_xlpm.maxVal,""))</f>
        <v/>
      </c>
      <c r="AB375" s="27" t="str">
        <f>_xlfn.LET(_xlpm.maxVal,_xlfn.MAXIFS($K:$K,$A:$A,A375),IF(AND(_xlpm.maxVal=K375,S375&lt;&gt;0),_xlpm.maxVal,""))</f>
        <v/>
      </c>
      <c r="AC375" s="27" t="str">
        <f>_xlfn.LET(_xlpm.maxVal,_xlfn.MAXIFS($K:$K,$A:$A,A375),IF(AND(_xlpm.maxVal=K375,T375&lt;&gt;0),_xlpm.maxVal,""))</f>
        <v/>
      </c>
      <c r="AD375" s="27">
        <f>$K375*L375*负载统计!$K$3/60</f>
        <v>0</v>
      </c>
      <c r="AE375" s="27">
        <f>$K375*L375*负载统计!$K$4/60</f>
        <v>0</v>
      </c>
      <c r="AF375" s="27">
        <f>$K375*N375*负载统计!$K$5/60</f>
        <v>0</v>
      </c>
      <c r="AG375" s="27">
        <v>0</v>
      </c>
      <c r="AH375" s="27">
        <v>0</v>
      </c>
      <c r="AI375" s="27">
        <v>0</v>
      </c>
      <c r="AJ375" s="27">
        <v>0</v>
      </c>
      <c r="AK375" s="27">
        <v>0</v>
      </c>
      <c r="AL375" s="27">
        <v>0</v>
      </c>
    </row>
    <row r="376" spans="1:38">
      <c r="A376" s="1">
        <v>175</v>
      </c>
      <c r="B376" s="24" t="s">
        <v>1582</v>
      </c>
      <c r="C376" s="24" t="s">
        <v>1557</v>
      </c>
      <c r="D376" s="24" t="s">
        <v>1583</v>
      </c>
      <c r="E376" s="24" t="s">
        <v>1074</v>
      </c>
      <c r="F376" s="24" t="s">
        <v>1096</v>
      </c>
      <c r="G376" s="25">
        <f>VLOOKUP(A376,负载电气特性!A:G,7,FALSE)</f>
        <v>28</v>
      </c>
      <c r="H376" s="26" t="s">
        <v>66</v>
      </c>
      <c r="I376" s="25" t="s">
        <v>1706</v>
      </c>
      <c r="J376" s="25" t="s">
        <v>1707</v>
      </c>
      <c r="K376" s="25">
        <v>0.02</v>
      </c>
      <c r="L376" s="25">
        <v>1</v>
      </c>
      <c r="M376" s="25">
        <v>1</v>
      </c>
      <c r="N376" s="25">
        <v>1</v>
      </c>
      <c r="O376" s="25">
        <v>1</v>
      </c>
      <c r="P376" s="25">
        <v>1</v>
      </c>
      <c r="Q376" s="25">
        <v>1</v>
      </c>
      <c r="R376" s="25">
        <v>1</v>
      </c>
      <c r="S376" s="25">
        <v>1</v>
      </c>
      <c r="T376" s="25">
        <v>1</v>
      </c>
      <c r="U376" s="27">
        <f>_xlfn.LET(_xlpm.maxVal,_xlfn.MAXIFS($K:$K,$A:$A,A376),IF(AND(_xlpm.maxVal=K376,L376&lt;&gt;0),_xlpm.maxVal,""))</f>
        <v>0.02</v>
      </c>
      <c r="V376" s="27">
        <f>_xlfn.LET(_xlpm.maxVal,_xlfn.MAXIFS($K:$K,$A:$A,A376),IF(AND(_xlpm.maxVal=K376,M376&lt;&gt;0),_xlpm.maxVal,""))</f>
        <v>0.02</v>
      </c>
      <c r="W376" s="27">
        <f>_xlfn.LET(_xlpm.maxVal,_xlfn.MAXIFS($K:$K,$A:$A,A376),IF(AND(_xlpm.maxVal=K376,N376&lt;&gt;0),_xlpm.maxVal,""))</f>
        <v>0.02</v>
      </c>
      <c r="X376" s="27">
        <f>_xlfn.LET(_xlpm.maxVal,_xlfn.MAXIFS($K:$K,$A:$A,A376),IF(AND(_xlpm.maxVal=K376,O376&lt;&gt;0),_xlpm.maxVal,""))</f>
        <v>0.02</v>
      </c>
      <c r="Y376" s="27">
        <f>_xlfn.LET(_xlpm.maxVal,_xlfn.MAXIFS($K:$K,$A:$A,A376),IF(AND(_xlpm.maxVal=K376,P376&lt;&gt;0),_xlpm.maxVal,""))</f>
        <v>0.02</v>
      </c>
      <c r="Z376" s="27">
        <f>_xlfn.LET(_xlpm.maxVal,_xlfn.MAXIFS($K:$K,$A:$A,A376),IF(AND(_xlpm.maxVal=K376,Q376&lt;&gt;0),_xlpm.maxVal,""))</f>
        <v>0.02</v>
      </c>
      <c r="AA376" s="27">
        <f>_xlfn.LET(_xlpm.maxVal,_xlfn.MAXIFS($K:$K,$A:$A,A376),IF(AND(_xlpm.maxVal=K376,R376&lt;&gt;0),_xlpm.maxVal,""))</f>
        <v>0.02</v>
      </c>
      <c r="AB376" s="27">
        <f>_xlfn.LET(_xlpm.maxVal,_xlfn.MAXIFS($K:$K,$A:$A,A376),IF(AND(_xlpm.maxVal=K376,S376&lt;&gt;0),_xlpm.maxVal,""))</f>
        <v>0.02</v>
      </c>
      <c r="AC376" s="27">
        <f>_xlfn.LET(_xlpm.maxVal,_xlfn.MAXIFS($K:$K,$A:$A,A376),IF(AND(_xlpm.maxVal=K376,T376&lt;&gt;0),_xlpm.maxVal,""))</f>
        <v>0.02</v>
      </c>
      <c r="AD376" s="27">
        <f>$K376*L376*负载统计!$K$3/60</f>
        <v>0</v>
      </c>
      <c r="AE376" s="27">
        <f>$K376*L376*负载统计!$K$4/60</f>
        <v>0</v>
      </c>
      <c r="AF376" s="27">
        <f>$K376*N376*负载统计!$K$5/60</f>
        <v>0.000333333333333333</v>
      </c>
      <c r="AG376" s="27">
        <f>$K376*O376*负载统计!$K$6/60</f>
        <v>0.001</v>
      </c>
      <c r="AH376" s="27">
        <f>$K376*P376*负载统计!$K$7/60</f>
        <v>0.00225666666666667</v>
      </c>
      <c r="AI376" s="27">
        <f>$K376*Q376*负载统计!$K$8/60</f>
        <v>0.0145333333333333</v>
      </c>
      <c r="AJ376" s="27">
        <f>$K376*R376*负载统计!$K$9/60</f>
        <v>0.00461666666666667</v>
      </c>
      <c r="AK376" s="27">
        <f>$K376*S376*负载统计!$K$10/60</f>
        <v>0.000166666666666667</v>
      </c>
      <c r="AL376" s="27">
        <f>$K376*T376*负载统计!$K$11/60</f>
        <v>0.00133333333333333</v>
      </c>
    </row>
    <row r="377" spans="1:38">
      <c r="A377" s="1">
        <v>175</v>
      </c>
      <c r="B377" s="24" t="s">
        <v>1582</v>
      </c>
      <c r="C377" s="24" t="s">
        <v>1557</v>
      </c>
      <c r="D377" s="24" t="s">
        <v>1583</v>
      </c>
      <c r="E377" s="24" t="s">
        <v>1074</v>
      </c>
      <c r="F377" s="24" t="s">
        <v>1096</v>
      </c>
      <c r="G377" s="25">
        <f>VLOOKUP(A377,负载电气特性!A:G,7,FALSE)</f>
        <v>28</v>
      </c>
      <c r="H377" s="26" t="s">
        <v>66</v>
      </c>
      <c r="I377" s="25" t="s">
        <v>1706</v>
      </c>
      <c r="J377" s="25" t="s">
        <v>1708</v>
      </c>
      <c r="K377" s="25">
        <v>0</v>
      </c>
      <c r="L377" s="25">
        <v>0</v>
      </c>
      <c r="M377" s="25">
        <v>0</v>
      </c>
      <c r="N377" s="25">
        <v>0</v>
      </c>
      <c r="O377" s="25">
        <v>0</v>
      </c>
      <c r="P377" s="25">
        <v>0</v>
      </c>
      <c r="Q377" s="25">
        <v>0</v>
      </c>
      <c r="R377" s="25">
        <v>0</v>
      </c>
      <c r="S377" s="25">
        <v>0</v>
      </c>
      <c r="T377" s="25">
        <v>0</v>
      </c>
      <c r="U377" s="27" t="str">
        <f>_xlfn.LET(_xlpm.maxVal,_xlfn.MAXIFS($K:$K,$A:$A,A377),IF(AND(_xlpm.maxVal=K377,L377&lt;&gt;0),_xlpm.maxVal,""))</f>
        <v/>
      </c>
      <c r="V377" s="27" t="str">
        <f>_xlfn.LET(_xlpm.maxVal,_xlfn.MAXIFS($K:$K,$A:$A,A377),IF(AND(_xlpm.maxVal=K377,M377&lt;&gt;0),_xlpm.maxVal,""))</f>
        <v/>
      </c>
      <c r="W377" s="27" t="str">
        <f>_xlfn.LET(_xlpm.maxVal,_xlfn.MAXIFS($K:$K,$A:$A,A377),IF(AND(_xlpm.maxVal=K377,N377&lt;&gt;0),_xlpm.maxVal,""))</f>
        <v/>
      </c>
      <c r="X377" s="27" t="str">
        <f>_xlfn.LET(_xlpm.maxVal,_xlfn.MAXIFS($K:$K,$A:$A,A377),IF(AND(_xlpm.maxVal=K377,O377&lt;&gt;0),_xlpm.maxVal,""))</f>
        <v/>
      </c>
      <c r="Y377" s="27" t="str">
        <f>_xlfn.LET(_xlpm.maxVal,_xlfn.MAXIFS($K:$K,$A:$A,A377),IF(AND(_xlpm.maxVal=K377,P377&lt;&gt;0),_xlpm.maxVal,""))</f>
        <v/>
      </c>
      <c r="Z377" s="27" t="str">
        <f>_xlfn.LET(_xlpm.maxVal,_xlfn.MAXIFS($K:$K,$A:$A,A377),IF(AND(_xlpm.maxVal=K377,Q377&lt;&gt;0),_xlpm.maxVal,""))</f>
        <v/>
      </c>
      <c r="AA377" s="27" t="str">
        <f>_xlfn.LET(_xlpm.maxVal,_xlfn.MAXIFS($K:$K,$A:$A,A377),IF(AND(_xlpm.maxVal=K377,R377&lt;&gt;0),_xlpm.maxVal,""))</f>
        <v/>
      </c>
      <c r="AB377" s="27" t="str">
        <f>_xlfn.LET(_xlpm.maxVal,_xlfn.MAXIFS($K:$K,$A:$A,A377),IF(AND(_xlpm.maxVal=K377,S377&lt;&gt;0),_xlpm.maxVal,""))</f>
        <v/>
      </c>
      <c r="AC377" s="27" t="str">
        <f>_xlfn.LET(_xlpm.maxVal,_xlfn.MAXIFS($K:$K,$A:$A,A377),IF(AND(_xlpm.maxVal=K377,T377&lt;&gt;0),_xlpm.maxVal,""))</f>
        <v/>
      </c>
      <c r="AD377" s="27">
        <f>$K377*L377*负载统计!$K$3/60</f>
        <v>0</v>
      </c>
      <c r="AE377" s="27">
        <f>$K377*L377*负载统计!$K$4/60</f>
        <v>0</v>
      </c>
      <c r="AF377" s="27">
        <f>$K377*N377*负载统计!$K$5/60</f>
        <v>0</v>
      </c>
      <c r="AG377" s="27">
        <f>$K377*O377*负载统计!$K$6/60</f>
        <v>0</v>
      </c>
      <c r="AH377" s="27">
        <f>$K377*P377*负载统计!$K$7/60</f>
        <v>0</v>
      </c>
      <c r="AI377" s="27">
        <f>$K377*Q377*负载统计!$K$8/60</f>
        <v>0</v>
      </c>
      <c r="AJ377" s="27">
        <f>$K377*R377*负载统计!$K$9/60</f>
        <v>0</v>
      </c>
      <c r="AK377" s="27">
        <f>$K377*S377*负载统计!$K$10/60</f>
        <v>0</v>
      </c>
      <c r="AL377" s="27">
        <f>$K377*T377*负载统计!$K$11/60</f>
        <v>0</v>
      </c>
    </row>
    <row r="378" spans="1:38">
      <c r="A378" s="1">
        <v>176</v>
      </c>
      <c r="B378" s="24" t="s">
        <v>1584</v>
      </c>
      <c r="C378" s="24" t="s">
        <v>1557</v>
      </c>
      <c r="D378" s="24" t="s">
        <v>1583</v>
      </c>
      <c r="E378" s="24" t="s">
        <v>1074</v>
      </c>
      <c r="F378" s="24" t="s">
        <v>1096</v>
      </c>
      <c r="G378" s="25">
        <f>VLOOKUP(A378,负载电气特性!A:G,7,FALSE)</f>
        <v>800</v>
      </c>
      <c r="H378" s="26" t="s">
        <v>66</v>
      </c>
      <c r="I378" s="25" t="s">
        <v>1706</v>
      </c>
      <c r="J378" s="25" t="s">
        <v>1707</v>
      </c>
      <c r="K378" s="25">
        <v>200</v>
      </c>
      <c r="L378" s="25">
        <v>0</v>
      </c>
      <c r="M378" s="25">
        <v>0</v>
      </c>
      <c r="N378" s="25">
        <v>0</v>
      </c>
      <c r="O378" s="25">
        <v>0.29</v>
      </c>
      <c r="P378" s="25">
        <v>1</v>
      </c>
      <c r="Q378" s="25">
        <v>0.36</v>
      </c>
      <c r="R378" s="25">
        <v>0.086</v>
      </c>
      <c r="S378" s="25">
        <v>0.03</v>
      </c>
      <c r="T378" s="25">
        <v>0</v>
      </c>
      <c r="U378" s="27" t="str">
        <f>_xlfn.LET(_xlpm.maxVal,_xlfn.MAXIFS($K:$K,$A:$A,A378),IF(AND(_xlpm.maxVal=K378,L378&lt;&gt;0),_xlpm.maxVal,""))</f>
        <v/>
      </c>
      <c r="V378" s="27" t="str">
        <f>_xlfn.LET(_xlpm.maxVal,_xlfn.MAXIFS($K:$K,$A:$A,A378),IF(AND(_xlpm.maxVal=K378,M378&lt;&gt;0),_xlpm.maxVal,""))</f>
        <v/>
      </c>
      <c r="W378" s="27" t="str">
        <f>_xlfn.LET(_xlpm.maxVal,_xlfn.MAXIFS($K:$K,$A:$A,A378),IF(AND(_xlpm.maxVal=K378,N378&lt;&gt;0),_xlpm.maxVal,""))</f>
        <v/>
      </c>
      <c r="X378" s="27"/>
      <c r="Y378" s="27"/>
      <c r="Z378" s="27"/>
      <c r="AA378" s="27"/>
      <c r="AB378" s="27"/>
      <c r="AC378" s="27" t="str">
        <f>_xlfn.LET(_xlpm.maxVal,_xlfn.MAXIFS($K:$K,$A:$A,A378),IF(AND(_xlpm.maxVal=K378,T378&lt;&gt;0),_xlpm.maxVal,""))</f>
        <v/>
      </c>
      <c r="AD378" s="27">
        <f>$K378*L378*负载统计!$K$3/60</f>
        <v>0</v>
      </c>
      <c r="AE378" s="27">
        <f>$K378*L378*负载统计!$K$4/60</f>
        <v>0</v>
      </c>
      <c r="AF378" s="27">
        <f>$K378*N378*负载统计!$K$5/60</f>
        <v>0</v>
      </c>
      <c r="AG378" s="27">
        <v>0</v>
      </c>
      <c r="AH378" s="27">
        <v>0</v>
      </c>
      <c r="AI378" s="27">
        <v>0</v>
      </c>
      <c r="AJ378" s="27">
        <v>0</v>
      </c>
      <c r="AK378" s="27">
        <v>0</v>
      </c>
      <c r="AL378" s="27">
        <v>0</v>
      </c>
    </row>
    <row r="379" spans="1:38">
      <c r="A379" s="1">
        <v>176</v>
      </c>
      <c r="B379" s="24" t="s">
        <v>1584</v>
      </c>
      <c r="C379" s="24" t="s">
        <v>1557</v>
      </c>
      <c r="D379" s="24" t="s">
        <v>1583</v>
      </c>
      <c r="E379" s="24" t="s">
        <v>1074</v>
      </c>
      <c r="F379" s="24" t="s">
        <v>1096</v>
      </c>
      <c r="G379" s="25">
        <f>VLOOKUP(A379,负载电气特性!A:G,7,FALSE)</f>
        <v>800</v>
      </c>
      <c r="H379" s="26" t="s">
        <v>66</v>
      </c>
      <c r="I379" s="25" t="s">
        <v>1706</v>
      </c>
      <c r="J379" s="25" t="s">
        <v>1708</v>
      </c>
      <c r="K379" s="25">
        <v>0</v>
      </c>
      <c r="L379" s="25">
        <v>1</v>
      </c>
      <c r="M379" s="25">
        <v>1</v>
      </c>
      <c r="N379" s="25">
        <v>1</v>
      </c>
      <c r="O379" s="25">
        <v>0.7</v>
      </c>
      <c r="P379" s="25">
        <v>0</v>
      </c>
      <c r="Q379" s="25">
        <v>0.6</v>
      </c>
      <c r="R379" s="25">
        <v>0</v>
      </c>
      <c r="S379" s="25">
        <v>1</v>
      </c>
      <c r="T379" s="25">
        <v>1</v>
      </c>
      <c r="U379" s="27" t="str">
        <f>_xlfn.LET(_xlpm.maxVal,_xlfn.MAXIFS($K:$K,$A:$A,A379),IF(AND(_xlpm.maxVal=K379,L379&lt;&gt;0),_xlpm.maxVal,""))</f>
        <v/>
      </c>
      <c r="V379" s="27" t="str">
        <f>_xlfn.LET(_xlpm.maxVal,_xlfn.MAXIFS($K:$K,$A:$A,A379),IF(AND(_xlpm.maxVal=K379,M379&lt;&gt;0),_xlpm.maxVal,""))</f>
        <v/>
      </c>
      <c r="W379" s="27" t="str">
        <f>_xlfn.LET(_xlpm.maxVal,_xlfn.MAXIFS($K:$K,$A:$A,A379),IF(AND(_xlpm.maxVal=K379,N379&lt;&gt;0),_xlpm.maxVal,""))</f>
        <v/>
      </c>
      <c r="X379" s="27" t="str">
        <f>_xlfn.LET(_xlpm.maxVal,_xlfn.MAXIFS($K:$K,$A:$A,A379),IF(AND(_xlpm.maxVal=K379,O379&lt;&gt;0),_xlpm.maxVal,""))</f>
        <v/>
      </c>
      <c r="Y379" s="27" t="str">
        <f>_xlfn.LET(_xlpm.maxVal,_xlfn.MAXIFS($K:$K,$A:$A,A379),IF(AND(_xlpm.maxVal=K379,P379&lt;&gt;0),_xlpm.maxVal,""))</f>
        <v/>
      </c>
      <c r="Z379" s="27" t="str">
        <f>_xlfn.LET(_xlpm.maxVal,_xlfn.MAXIFS($K:$K,$A:$A,A379),IF(AND(_xlpm.maxVal=K379,Q379&lt;&gt;0),_xlpm.maxVal,""))</f>
        <v/>
      </c>
      <c r="AA379" s="27" t="str">
        <f>_xlfn.LET(_xlpm.maxVal,_xlfn.MAXIFS($K:$K,$A:$A,A379),IF(AND(_xlpm.maxVal=K379,R379&lt;&gt;0),_xlpm.maxVal,""))</f>
        <v/>
      </c>
      <c r="AB379" s="27" t="str">
        <f>_xlfn.LET(_xlpm.maxVal,_xlfn.MAXIFS($K:$K,$A:$A,A379),IF(AND(_xlpm.maxVal=K379,S379&lt;&gt;0),_xlpm.maxVal,""))</f>
        <v/>
      </c>
      <c r="AC379" s="27" t="str">
        <f>_xlfn.LET(_xlpm.maxVal,_xlfn.MAXIFS($K:$K,$A:$A,A379),IF(AND(_xlpm.maxVal=K379,T379&lt;&gt;0),_xlpm.maxVal,""))</f>
        <v/>
      </c>
      <c r="AD379" s="27">
        <f>$K379*L379*负载统计!$K$3/60</f>
        <v>0</v>
      </c>
      <c r="AE379" s="27">
        <f>$K379*L379*负载统计!$K$4/60</f>
        <v>0</v>
      </c>
      <c r="AF379" s="27">
        <f>$K379*N379*负载统计!$K$5/60</f>
        <v>0</v>
      </c>
      <c r="AG379" s="27">
        <v>0</v>
      </c>
      <c r="AH379" s="27">
        <v>0</v>
      </c>
      <c r="AI379" s="27">
        <v>0</v>
      </c>
      <c r="AJ379" s="27">
        <v>0</v>
      </c>
      <c r="AK379" s="27">
        <v>0</v>
      </c>
      <c r="AL379" s="27">
        <v>0</v>
      </c>
    </row>
    <row r="380" spans="1:38">
      <c r="A380" s="1">
        <v>177</v>
      </c>
      <c r="B380" s="24" t="s">
        <v>1585</v>
      </c>
      <c r="C380" s="24" t="s">
        <v>1557</v>
      </c>
      <c r="D380" s="24" t="s">
        <v>1586</v>
      </c>
      <c r="E380" s="24" t="s">
        <v>1074</v>
      </c>
      <c r="F380" s="24" t="s">
        <v>1098</v>
      </c>
      <c r="G380" s="25">
        <f>VLOOKUP(A380,负载电气特性!A:G,7,FALSE)</f>
        <v>28</v>
      </c>
      <c r="H380" s="26" t="s">
        <v>66</v>
      </c>
      <c r="I380" s="25" t="s">
        <v>1706</v>
      </c>
      <c r="J380" s="25" t="s">
        <v>1707</v>
      </c>
      <c r="K380" s="25">
        <v>0.02</v>
      </c>
      <c r="L380" s="25">
        <v>1</v>
      </c>
      <c r="M380" s="25">
        <v>1</v>
      </c>
      <c r="N380" s="25">
        <v>1</v>
      </c>
      <c r="O380" s="25">
        <v>1</v>
      </c>
      <c r="P380" s="25">
        <v>1</v>
      </c>
      <c r="Q380" s="25">
        <v>1</v>
      </c>
      <c r="R380" s="25">
        <v>1</v>
      </c>
      <c r="S380" s="25">
        <v>1</v>
      </c>
      <c r="T380" s="25">
        <v>1</v>
      </c>
      <c r="U380" s="27">
        <f>_xlfn.LET(_xlpm.maxVal,_xlfn.MAXIFS($K:$K,$A:$A,A380),IF(AND(_xlpm.maxVal=K380,L380&lt;&gt;0),_xlpm.maxVal,""))</f>
        <v>0.02</v>
      </c>
      <c r="V380" s="27">
        <f>_xlfn.LET(_xlpm.maxVal,_xlfn.MAXIFS($K:$K,$A:$A,A380),IF(AND(_xlpm.maxVal=K380,M380&lt;&gt;0),_xlpm.maxVal,""))</f>
        <v>0.02</v>
      </c>
      <c r="W380" s="27">
        <f>_xlfn.LET(_xlpm.maxVal,_xlfn.MAXIFS($K:$K,$A:$A,A380),IF(AND(_xlpm.maxVal=K380,N380&lt;&gt;0),_xlpm.maxVal,""))</f>
        <v>0.02</v>
      </c>
      <c r="X380" s="27">
        <f>_xlfn.LET(_xlpm.maxVal,_xlfn.MAXIFS($K:$K,$A:$A,A380),IF(AND(_xlpm.maxVal=K380,O380&lt;&gt;0),_xlpm.maxVal,""))</f>
        <v>0.02</v>
      </c>
      <c r="Y380" s="27">
        <f>_xlfn.LET(_xlpm.maxVal,_xlfn.MAXIFS($K:$K,$A:$A,A380),IF(AND(_xlpm.maxVal=K380,P380&lt;&gt;0),_xlpm.maxVal,""))</f>
        <v>0.02</v>
      </c>
      <c r="Z380" s="27">
        <f>_xlfn.LET(_xlpm.maxVal,_xlfn.MAXIFS($K:$K,$A:$A,A380),IF(AND(_xlpm.maxVal=K380,Q380&lt;&gt;0),_xlpm.maxVal,""))</f>
        <v>0.02</v>
      </c>
      <c r="AA380" s="27">
        <f>_xlfn.LET(_xlpm.maxVal,_xlfn.MAXIFS($K:$K,$A:$A,A380),IF(AND(_xlpm.maxVal=K380,R380&lt;&gt;0),_xlpm.maxVal,""))</f>
        <v>0.02</v>
      </c>
      <c r="AB380" s="27">
        <f>_xlfn.LET(_xlpm.maxVal,_xlfn.MAXIFS($K:$K,$A:$A,A380),IF(AND(_xlpm.maxVal=K380,S380&lt;&gt;0),_xlpm.maxVal,""))</f>
        <v>0.02</v>
      </c>
      <c r="AC380" s="27">
        <f>_xlfn.LET(_xlpm.maxVal,_xlfn.MAXIFS($K:$K,$A:$A,A380),IF(AND(_xlpm.maxVal=K380,T380&lt;&gt;0),_xlpm.maxVal,""))</f>
        <v>0.02</v>
      </c>
      <c r="AD380" s="27">
        <f>$K380*L380*负载统计!$K$3/60</f>
        <v>0</v>
      </c>
      <c r="AE380" s="27">
        <f>$K380*L380*负载统计!$K$4/60</f>
        <v>0</v>
      </c>
      <c r="AF380" s="27">
        <f>$K380*N380*负载统计!$K$5/60</f>
        <v>0.000333333333333333</v>
      </c>
      <c r="AG380" s="27">
        <f>$K380*O380*负载统计!$K$6/60</f>
        <v>0.001</v>
      </c>
      <c r="AH380" s="27">
        <f>$K380*P380*负载统计!$K$7/60</f>
        <v>0.00225666666666667</v>
      </c>
      <c r="AI380" s="27">
        <f>$K380*Q380*负载统计!$K$8/60</f>
        <v>0.0145333333333333</v>
      </c>
      <c r="AJ380" s="27">
        <f>$K380*R380*负载统计!$K$9/60</f>
        <v>0.00461666666666667</v>
      </c>
      <c r="AK380" s="27">
        <f>$K380*S380*负载统计!$K$10/60</f>
        <v>0.000166666666666667</v>
      </c>
      <c r="AL380" s="27">
        <f>$K380*T380*负载统计!$K$11/60</f>
        <v>0.00133333333333333</v>
      </c>
    </row>
    <row r="381" spans="1:38">
      <c r="A381" s="1">
        <v>177</v>
      </c>
      <c r="B381" s="24" t="s">
        <v>1585</v>
      </c>
      <c r="C381" s="24" t="s">
        <v>1557</v>
      </c>
      <c r="D381" s="24" t="s">
        <v>1586</v>
      </c>
      <c r="E381" s="24" t="s">
        <v>1074</v>
      </c>
      <c r="F381" s="24" t="s">
        <v>1098</v>
      </c>
      <c r="G381" s="25">
        <f>VLOOKUP(A381,负载电气特性!A:G,7,FALSE)</f>
        <v>28</v>
      </c>
      <c r="H381" s="26" t="s">
        <v>66</v>
      </c>
      <c r="I381" s="25" t="s">
        <v>1706</v>
      </c>
      <c r="J381" s="25" t="s">
        <v>1708</v>
      </c>
      <c r="K381" s="25">
        <v>0</v>
      </c>
      <c r="L381" s="25">
        <v>0</v>
      </c>
      <c r="M381" s="25">
        <v>0</v>
      </c>
      <c r="N381" s="25">
        <v>0</v>
      </c>
      <c r="O381" s="25">
        <v>0</v>
      </c>
      <c r="P381" s="25">
        <v>0</v>
      </c>
      <c r="Q381" s="25">
        <v>0</v>
      </c>
      <c r="R381" s="25">
        <v>0</v>
      </c>
      <c r="S381" s="25">
        <v>0</v>
      </c>
      <c r="T381" s="25">
        <v>0</v>
      </c>
      <c r="U381" s="27" t="str">
        <f>_xlfn.LET(_xlpm.maxVal,_xlfn.MAXIFS($K:$K,$A:$A,A381),IF(AND(_xlpm.maxVal=K381,L381&lt;&gt;0),_xlpm.maxVal,""))</f>
        <v/>
      </c>
      <c r="V381" s="27" t="str">
        <f>_xlfn.LET(_xlpm.maxVal,_xlfn.MAXIFS($K:$K,$A:$A,A381),IF(AND(_xlpm.maxVal=K381,M381&lt;&gt;0),_xlpm.maxVal,""))</f>
        <v/>
      </c>
      <c r="W381" s="27" t="str">
        <f>_xlfn.LET(_xlpm.maxVal,_xlfn.MAXIFS($K:$K,$A:$A,A381),IF(AND(_xlpm.maxVal=K381,N381&lt;&gt;0),_xlpm.maxVal,""))</f>
        <v/>
      </c>
      <c r="X381" s="27" t="str">
        <f>_xlfn.LET(_xlpm.maxVal,_xlfn.MAXIFS($K:$K,$A:$A,A381),IF(AND(_xlpm.maxVal=K381,O381&lt;&gt;0),_xlpm.maxVal,""))</f>
        <v/>
      </c>
      <c r="Y381" s="27" t="str">
        <f>_xlfn.LET(_xlpm.maxVal,_xlfn.MAXIFS($K:$K,$A:$A,A381),IF(AND(_xlpm.maxVal=K381,P381&lt;&gt;0),_xlpm.maxVal,""))</f>
        <v/>
      </c>
      <c r="Z381" s="27" t="str">
        <f>_xlfn.LET(_xlpm.maxVal,_xlfn.MAXIFS($K:$K,$A:$A,A381),IF(AND(_xlpm.maxVal=K381,Q381&lt;&gt;0),_xlpm.maxVal,""))</f>
        <v/>
      </c>
      <c r="AA381" s="27" t="str">
        <f>_xlfn.LET(_xlpm.maxVal,_xlfn.MAXIFS($K:$K,$A:$A,A381),IF(AND(_xlpm.maxVal=K381,R381&lt;&gt;0),_xlpm.maxVal,""))</f>
        <v/>
      </c>
      <c r="AB381" s="27" t="str">
        <f>_xlfn.LET(_xlpm.maxVal,_xlfn.MAXIFS($K:$K,$A:$A,A381),IF(AND(_xlpm.maxVal=K381,S381&lt;&gt;0),_xlpm.maxVal,""))</f>
        <v/>
      </c>
      <c r="AC381" s="27" t="str">
        <f>_xlfn.LET(_xlpm.maxVal,_xlfn.MAXIFS($K:$K,$A:$A,A381),IF(AND(_xlpm.maxVal=K381,T381&lt;&gt;0),_xlpm.maxVal,""))</f>
        <v/>
      </c>
      <c r="AD381" s="27">
        <f>$K381*L381*负载统计!$K$3/60</f>
        <v>0</v>
      </c>
      <c r="AE381" s="27">
        <f>$K381*L381*负载统计!$K$4/60</f>
        <v>0</v>
      </c>
      <c r="AF381" s="27">
        <f>$K381*N381*负载统计!$K$5/60</f>
        <v>0</v>
      </c>
      <c r="AG381" s="27">
        <f>$K381*O381*负载统计!$K$6/60</f>
        <v>0</v>
      </c>
      <c r="AH381" s="27">
        <f>$K381*P381*负载统计!$K$7/60</f>
        <v>0</v>
      </c>
      <c r="AI381" s="27">
        <f>$K381*Q381*负载统计!$K$8/60</f>
        <v>0</v>
      </c>
      <c r="AJ381" s="27">
        <f>$K381*R381*负载统计!$K$9/60</f>
        <v>0</v>
      </c>
      <c r="AK381" s="27">
        <f>$K381*S381*负载统计!$K$10/60</f>
        <v>0</v>
      </c>
      <c r="AL381" s="27">
        <f>$K381*T381*负载统计!$K$11/60</f>
        <v>0</v>
      </c>
    </row>
    <row r="382" spans="1:38">
      <c r="A382" s="1">
        <v>178</v>
      </c>
      <c r="B382" s="24" t="s">
        <v>1587</v>
      </c>
      <c r="C382" s="24" t="s">
        <v>1557</v>
      </c>
      <c r="D382" s="24" t="s">
        <v>1586</v>
      </c>
      <c r="E382" s="24" t="s">
        <v>1074</v>
      </c>
      <c r="F382" s="24" t="s">
        <v>1098</v>
      </c>
      <c r="G382" s="25">
        <f>VLOOKUP(A382,负载电气特性!A:G,7,FALSE)</f>
        <v>800</v>
      </c>
      <c r="H382" s="26" t="s">
        <v>66</v>
      </c>
      <c r="I382" s="25" t="s">
        <v>1706</v>
      </c>
      <c r="J382" s="25" t="s">
        <v>1707</v>
      </c>
      <c r="K382" s="25">
        <v>200</v>
      </c>
      <c r="L382" s="25">
        <v>0</v>
      </c>
      <c r="M382" s="25">
        <v>0</v>
      </c>
      <c r="N382" s="25">
        <v>0</v>
      </c>
      <c r="O382" s="25">
        <v>0.29</v>
      </c>
      <c r="P382" s="25">
        <v>1</v>
      </c>
      <c r="Q382" s="25">
        <v>0.36</v>
      </c>
      <c r="R382" s="25">
        <v>0.086</v>
      </c>
      <c r="S382" s="25">
        <v>0.03</v>
      </c>
      <c r="T382" s="25">
        <v>0</v>
      </c>
      <c r="U382" s="27" t="str">
        <f>_xlfn.LET(_xlpm.maxVal,_xlfn.MAXIFS($K:$K,$A:$A,A382),IF(AND(_xlpm.maxVal=K382,L382&lt;&gt;0),_xlpm.maxVal,""))</f>
        <v/>
      </c>
      <c r="V382" s="27" t="str">
        <f>_xlfn.LET(_xlpm.maxVal,_xlfn.MAXIFS($K:$K,$A:$A,A382),IF(AND(_xlpm.maxVal=K382,M382&lt;&gt;0),_xlpm.maxVal,""))</f>
        <v/>
      </c>
      <c r="W382" s="27" t="str">
        <f>_xlfn.LET(_xlpm.maxVal,_xlfn.MAXIFS($K:$K,$A:$A,A382),IF(AND(_xlpm.maxVal=K382,N382&lt;&gt;0),_xlpm.maxVal,""))</f>
        <v/>
      </c>
      <c r="X382" s="27"/>
      <c r="Y382" s="27"/>
      <c r="Z382" s="27"/>
      <c r="AA382" s="27"/>
      <c r="AB382" s="27"/>
      <c r="AC382" s="27" t="str">
        <f>_xlfn.LET(_xlpm.maxVal,_xlfn.MAXIFS($K:$K,$A:$A,A382),IF(AND(_xlpm.maxVal=K382,T382&lt;&gt;0),_xlpm.maxVal,""))</f>
        <v/>
      </c>
      <c r="AD382" s="27">
        <f>$K382*L382*负载统计!$K$3/60</f>
        <v>0</v>
      </c>
      <c r="AE382" s="27">
        <f>$K382*L382*负载统计!$K$4/60</f>
        <v>0</v>
      </c>
      <c r="AF382" s="27">
        <f>$K382*N382*负载统计!$K$5/60</f>
        <v>0</v>
      </c>
      <c r="AG382" s="27">
        <v>0</v>
      </c>
      <c r="AH382" s="27">
        <v>0</v>
      </c>
      <c r="AI382" s="27">
        <v>0</v>
      </c>
      <c r="AJ382" s="27">
        <v>0</v>
      </c>
      <c r="AK382" s="27">
        <v>0</v>
      </c>
      <c r="AL382" s="27">
        <v>0</v>
      </c>
    </row>
    <row r="383" spans="1:38">
      <c r="A383" s="1">
        <v>178</v>
      </c>
      <c r="B383" s="24" t="s">
        <v>1587</v>
      </c>
      <c r="C383" s="24" t="s">
        <v>1557</v>
      </c>
      <c r="D383" s="24" t="s">
        <v>1586</v>
      </c>
      <c r="E383" s="24" t="s">
        <v>1074</v>
      </c>
      <c r="F383" s="24" t="s">
        <v>1098</v>
      </c>
      <c r="G383" s="25">
        <f>VLOOKUP(A383,负载电气特性!A:G,7,FALSE)</f>
        <v>800</v>
      </c>
      <c r="H383" s="26" t="s">
        <v>66</v>
      </c>
      <c r="I383" s="25" t="s">
        <v>1706</v>
      </c>
      <c r="J383" s="25" t="s">
        <v>1708</v>
      </c>
      <c r="K383" s="25">
        <v>0</v>
      </c>
      <c r="L383" s="25">
        <v>1</v>
      </c>
      <c r="M383" s="25">
        <v>1</v>
      </c>
      <c r="N383" s="25">
        <v>1</v>
      </c>
      <c r="O383" s="25">
        <v>0.7</v>
      </c>
      <c r="P383" s="25">
        <v>0</v>
      </c>
      <c r="Q383" s="25">
        <v>0.6</v>
      </c>
      <c r="R383" s="25">
        <v>0</v>
      </c>
      <c r="S383" s="25">
        <v>1</v>
      </c>
      <c r="T383" s="25">
        <v>1</v>
      </c>
      <c r="U383" s="27" t="str">
        <f>_xlfn.LET(_xlpm.maxVal,_xlfn.MAXIFS($K:$K,$A:$A,A383),IF(AND(_xlpm.maxVal=K383,L383&lt;&gt;0),_xlpm.maxVal,""))</f>
        <v/>
      </c>
      <c r="V383" s="27" t="str">
        <f>_xlfn.LET(_xlpm.maxVal,_xlfn.MAXIFS($K:$K,$A:$A,A383),IF(AND(_xlpm.maxVal=K383,M383&lt;&gt;0),_xlpm.maxVal,""))</f>
        <v/>
      </c>
      <c r="W383" s="27" t="str">
        <f>_xlfn.LET(_xlpm.maxVal,_xlfn.MAXIFS($K:$K,$A:$A,A383),IF(AND(_xlpm.maxVal=K383,N383&lt;&gt;0),_xlpm.maxVal,""))</f>
        <v/>
      </c>
      <c r="X383" s="27" t="str">
        <f>_xlfn.LET(_xlpm.maxVal,_xlfn.MAXIFS($K:$K,$A:$A,A383),IF(AND(_xlpm.maxVal=K383,O383&lt;&gt;0),_xlpm.maxVal,""))</f>
        <v/>
      </c>
      <c r="Y383" s="27" t="str">
        <f>_xlfn.LET(_xlpm.maxVal,_xlfn.MAXIFS($K:$K,$A:$A,A383),IF(AND(_xlpm.maxVal=K383,P383&lt;&gt;0),_xlpm.maxVal,""))</f>
        <v/>
      </c>
      <c r="Z383" s="27" t="str">
        <f>_xlfn.LET(_xlpm.maxVal,_xlfn.MAXIFS($K:$K,$A:$A,A383),IF(AND(_xlpm.maxVal=K383,Q383&lt;&gt;0),_xlpm.maxVal,""))</f>
        <v/>
      </c>
      <c r="AA383" s="27" t="str">
        <f>_xlfn.LET(_xlpm.maxVal,_xlfn.MAXIFS($K:$K,$A:$A,A383),IF(AND(_xlpm.maxVal=K383,R383&lt;&gt;0),_xlpm.maxVal,""))</f>
        <v/>
      </c>
      <c r="AB383" s="27" t="str">
        <f>_xlfn.LET(_xlpm.maxVal,_xlfn.MAXIFS($K:$K,$A:$A,A383),IF(AND(_xlpm.maxVal=K383,S383&lt;&gt;0),_xlpm.maxVal,""))</f>
        <v/>
      </c>
      <c r="AC383" s="27" t="str">
        <f>_xlfn.LET(_xlpm.maxVal,_xlfn.MAXIFS($K:$K,$A:$A,A383),IF(AND(_xlpm.maxVal=K383,T383&lt;&gt;0),_xlpm.maxVal,""))</f>
        <v/>
      </c>
      <c r="AD383" s="27">
        <f>$K383*L383*负载统计!$K$3/60</f>
        <v>0</v>
      </c>
      <c r="AE383" s="27">
        <f>$K383*L383*负载统计!$K$4/60</f>
        <v>0</v>
      </c>
      <c r="AF383" s="27">
        <f>$K383*N383*负载统计!$K$5/60</f>
        <v>0</v>
      </c>
      <c r="AG383" s="27">
        <v>0</v>
      </c>
      <c r="AH383" s="27">
        <v>0</v>
      </c>
      <c r="AI383" s="27">
        <v>0</v>
      </c>
      <c r="AJ383" s="27">
        <v>0</v>
      </c>
      <c r="AK383" s="27">
        <v>0</v>
      </c>
      <c r="AL383" s="27">
        <v>0</v>
      </c>
    </row>
    <row r="384" spans="1:38">
      <c r="A384" s="1">
        <v>179</v>
      </c>
      <c r="B384" s="24" t="s">
        <v>1588</v>
      </c>
      <c r="C384" s="24" t="s">
        <v>1557</v>
      </c>
      <c r="D384" s="24" t="s">
        <v>1589</v>
      </c>
      <c r="E384" s="24" t="s">
        <v>689</v>
      </c>
      <c r="F384" s="24" t="s">
        <v>1100</v>
      </c>
      <c r="G384" s="25">
        <f>VLOOKUP(A384,负载电气特性!A:G,7,FALSE)</f>
        <v>28</v>
      </c>
      <c r="H384" s="26" t="s">
        <v>66</v>
      </c>
      <c r="I384" s="25" t="s">
        <v>1706</v>
      </c>
      <c r="J384" s="25" t="s">
        <v>1707</v>
      </c>
      <c r="K384" s="25">
        <v>0.15</v>
      </c>
      <c r="L384" s="25">
        <v>1</v>
      </c>
      <c r="M384" s="25">
        <v>1</v>
      </c>
      <c r="N384" s="25">
        <v>1</v>
      </c>
      <c r="O384" s="25">
        <v>1</v>
      </c>
      <c r="P384" s="25">
        <v>1</v>
      </c>
      <c r="Q384" s="25">
        <v>1</v>
      </c>
      <c r="R384" s="25">
        <v>1</v>
      </c>
      <c r="S384" s="25">
        <v>1</v>
      </c>
      <c r="T384" s="25">
        <v>1</v>
      </c>
      <c r="U384" s="27">
        <f>_xlfn.LET(_xlpm.maxVal,_xlfn.MAXIFS($K:$K,$A:$A,A384),IF(AND(_xlpm.maxVal=K384,L384&lt;&gt;0),_xlpm.maxVal,""))</f>
        <v>0.15</v>
      </c>
      <c r="V384" s="27">
        <f>_xlfn.LET(_xlpm.maxVal,_xlfn.MAXIFS($K:$K,$A:$A,A384),IF(AND(_xlpm.maxVal=K384,M384&lt;&gt;0),_xlpm.maxVal,""))</f>
        <v>0.15</v>
      </c>
      <c r="W384" s="27">
        <f>_xlfn.LET(_xlpm.maxVal,_xlfn.MAXIFS($K:$K,$A:$A,A384),IF(AND(_xlpm.maxVal=K384,N384&lt;&gt;0),_xlpm.maxVal,""))</f>
        <v>0.15</v>
      </c>
      <c r="X384" s="27">
        <f>_xlfn.LET(_xlpm.maxVal,_xlfn.MAXIFS($K:$K,$A:$A,A384),IF(AND(_xlpm.maxVal=K384,O384&lt;&gt;0),_xlpm.maxVal,""))</f>
        <v>0.15</v>
      </c>
      <c r="Y384" s="27">
        <f>_xlfn.LET(_xlpm.maxVal,_xlfn.MAXIFS($K:$K,$A:$A,A384),IF(AND(_xlpm.maxVal=K384,P384&lt;&gt;0),_xlpm.maxVal,""))</f>
        <v>0.15</v>
      </c>
      <c r="Z384" s="27">
        <f>_xlfn.LET(_xlpm.maxVal,_xlfn.MAXIFS($K:$K,$A:$A,A384),IF(AND(_xlpm.maxVal=K384,Q384&lt;&gt;0),_xlpm.maxVal,""))</f>
        <v>0.15</v>
      </c>
      <c r="AA384" s="27">
        <f>_xlfn.LET(_xlpm.maxVal,_xlfn.MAXIFS($K:$K,$A:$A,A384),IF(AND(_xlpm.maxVal=K384,R384&lt;&gt;0),_xlpm.maxVal,""))</f>
        <v>0.15</v>
      </c>
      <c r="AB384" s="27">
        <f>_xlfn.LET(_xlpm.maxVal,_xlfn.MAXIFS($K:$K,$A:$A,A384),IF(AND(_xlpm.maxVal=K384,S384&lt;&gt;0),_xlpm.maxVal,""))</f>
        <v>0.15</v>
      </c>
      <c r="AC384" s="27">
        <f>_xlfn.LET(_xlpm.maxVal,_xlfn.MAXIFS($K:$K,$A:$A,A384),IF(AND(_xlpm.maxVal=K384,T384&lt;&gt;0),_xlpm.maxVal,""))</f>
        <v>0.15</v>
      </c>
      <c r="AD384" s="27">
        <f>$K384*L384*负载统计!$K$3/60</f>
        <v>0</v>
      </c>
      <c r="AE384" s="27">
        <f>$K384*L384*负载统计!$K$4/60</f>
        <v>0</v>
      </c>
      <c r="AF384" s="27">
        <f>$K384*N384*负载统计!$K$5/60</f>
        <v>0.0025</v>
      </c>
      <c r="AG384" s="27">
        <f>$K384*O384*负载统计!$K$6/60</f>
        <v>0.0075</v>
      </c>
      <c r="AH384" s="27">
        <f>$K384*P384*负载统计!$K$7/60</f>
        <v>0.016925</v>
      </c>
      <c r="AI384" s="27">
        <f>$K384*Q384*负载统计!$K$8/60</f>
        <v>0.109</v>
      </c>
      <c r="AJ384" s="27">
        <f>$K384*R384*负载统计!$K$9/60</f>
        <v>0.034625</v>
      </c>
      <c r="AK384" s="27">
        <f>$K384*S384*负载统计!$K$10/60</f>
        <v>0.00125</v>
      </c>
      <c r="AL384" s="27">
        <f>$K384*T384*负载统计!$K$11/60</f>
        <v>0.01</v>
      </c>
    </row>
    <row r="385" spans="1:38">
      <c r="A385" s="1">
        <v>179</v>
      </c>
      <c r="B385" s="24" t="s">
        <v>1588</v>
      </c>
      <c r="C385" s="24" t="s">
        <v>1557</v>
      </c>
      <c r="D385" s="24" t="s">
        <v>1589</v>
      </c>
      <c r="E385" s="24" t="s">
        <v>689</v>
      </c>
      <c r="F385" s="24" t="s">
        <v>1100</v>
      </c>
      <c r="G385" s="25">
        <f>VLOOKUP(A385,负载电气特性!A:G,7,FALSE)</f>
        <v>28</v>
      </c>
      <c r="H385" s="26" t="s">
        <v>66</v>
      </c>
      <c r="I385" s="25" t="s">
        <v>1706</v>
      </c>
      <c r="J385" s="25" t="s">
        <v>1708</v>
      </c>
      <c r="K385" s="25">
        <v>0</v>
      </c>
      <c r="L385" s="25">
        <v>0</v>
      </c>
      <c r="M385" s="25">
        <v>0</v>
      </c>
      <c r="N385" s="25">
        <v>0</v>
      </c>
      <c r="O385" s="25">
        <v>0</v>
      </c>
      <c r="P385" s="25">
        <v>0</v>
      </c>
      <c r="Q385" s="25">
        <v>0</v>
      </c>
      <c r="R385" s="25">
        <v>0</v>
      </c>
      <c r="S385" s="25">
        <v>0</v>
      </c>
      <c r="T385" s="25">
        <v>0</v>
      </c>
      <c r="U385" s="27" t="str">
        <f>_xlfn.LET(_xlpm.maxVal,_xlfn.MAXIFS($K:$K,$A:$A,A385),IF(AND(_xlpm.maxVal=K385,L385&lt;&gt;0),_xlpm.maxVal,""))</f>
        <v/>
      </c>
      <c r="V385" s="27" t="str">
        <f>_xlfn.LET(_xlpm.maxVal,_xlfn.MAXIFS($K:$K,$A:$A,A385),IF(AND(_xlpm.maxVal=K385,M385&lt;&gt;0),_xlpm.maxVal,""))</f>
        <v/>
      </c>
      <c r="W385" s="27" t="str">
        <f>_xlfn.LET(_xlpm.maxVal,_xlfn.MAXIFS($K:$K,$A:$A,A385),IF(AND(_xlpm.maxVal=K385,N385&lt;&gt;0),_xlpm.maxVal,""))</f>
        <v/>
      </c>
      <c r="X385" s="27" t="str">
        <f>_xlfn.LET(_xlpm.maxVal,_xlfn.MAXIFS($K:$K,$A:$A,A385),IF(AND(_xlpm.maxVal=K385,O385&lt;&gt;0),_xlpm.maxVal,""))</f>
        <v/>
      </c>
      <c r="Y385" s="27" t="str">
        <f>_xlfn.LET(_xlpm.maxVal,_xlfn.MAXIFS($K:$K,$A:$A,A385),IF(AND(_xlpm.maxVal=K385,P385&lt;&gt;0),_xlpm.maxVal,""))</f>
        <v/>
      </c>
      <c r="Z385" s="27" t="str">
        <f>_xlfn.LET(_xlpm.maxVal,_xlfn.MAXIFS($K:$K,$A:$A,A385),IF(AND(_xlpm.maxVal=K385,Q385&lt;&gt;0),_xlpm.maxVal,""))</f>
        <v/>
      </c>
      <c r="AA385" s="27" t="str">
        <f>_xlfn.LET(_xlpm.maxVal,_xlfn.MAXIFS($K:$K,$A:$A,A385),IF(AND(_xlpm.maxVal=K385,R385&lt;&gt;0),_xlpm.maxVal,""))</f>
        <v/>
      </c>
      <c r="AB385" s="27" t="str">
        <f>_xlfn.LET(_xlpm.maxVal,_xlfn.MAXIFS($K:$K,$A:$A,A385),IF(AND(_xlpm.maxVal=K385,S385&lt;&gt;0),_xlpm.maxVal,""))</f>
        <v/>
      </c>
      <c r="AC385" s="27" t="str">
        <f>_xlfn.LET(_xlpm.maxVal,_xlfn.MAXIFS($K:$K,$A:$A,A385),IF(AND(_xlpm.maxVal=K385,T385&lt;&gt;0),_xlpm.maxVal,""))</f>
        <v/>
      </c>
      <c r="AD385" s="27">
        <f>$K385*L385*负载统计!$K$3/60</f>
        <v>0</v>
      </c>
      <c r="AE385" s="27">
        <f>$K385*L385*负载统计!$K$4/60</f>
        <v>0</v>
      </c>
      <c r="AF385" s="27">
        <f>$K385*N385*负载统计!$K$5/60</f>
        <v>0</v>
      </c>
      <c r="AG385" s="27">
        <f>$K385*O385*负载统计!$K$6/60</f>
        <v>0</v>
      </c>
      <c r="AH385" s="27">
        <f>$K385*P385*负载统计!$K$7/60</f>
        <v>0</v>
      </c>
      <c r="AI385" s="27">
        <f>$K385*Q385*负载统计!$K$8/60</f>
        <v>0</v>
      </c>
      <c r="AJ385" s="27">
        <f>$K385*R385*负载统计!$K$9/60</f>
        <v>0</v>
      </c>
      <c r="AK385" s="27">
        <f>$K385*S385*负载统计!$K$10/60</f>
        <v>0</v>
      </c>
      <c r="AL385" s="27">
        <f>$K385*T385*负载统计!$K$11/60</f>
        <v>0</v>
      </c>
    </row>
    <row r="386" spans="1:38">
      <c r="A386" s="1">
        <v>180</v>
      </c>
      <c r="B386" s="24" t="s">
        <v>1590</v>
      </c>
      <c r="C386" s="24" t="s">
        <v>1557</v>
      </c>
      <c r="D386" s="24" t="s">
        <v>1589</v>
      </c>
      <c r="E386" s="24" t="s">
        <v>689</v>
      </c>
      <c r="F386" s="24" t="s">
        <v>1100</v>
      </c>
      <c r="G386" s="25">
        <f>VLOOKUP(A386,负载电气特性!A:G,7,FALSE)</f>
        <v>28</v>
      </c>
      <c r="H386" s="26" t="s">
        <v>66</v>
      </c>
      <c r="I386" s="25" t="s">
        <v>1706</v>
      </c>
      <c r="J386" s="25" t="s">
        <v>1707</v>
      </c>
      <c r="K386" s="25">
        <v>0.15</v>
      </c>
      <c r="L386" s="25">
        <v>1</v>
      </c>
      <c r="M386" s="25">
        <v>1</v>
      </c>
      <c r="N386" s="25">
        <v>1</v>
      </c>
      <c r="O386" s="25">
        <v>1</v>
      </c>
      <c r="P386" s="25">
        <v>1</v>
      </c>
      <c r="Q386" s="25">
        <v>1</v>
      </c>
      <c r="R386" s="25">
        <v>1</v>
      </c>
      <c r="S386" s="25">
        <v>1</v>
      </c>
      <c r="T386" s="25">
        <v>1</v>
      </c>
      <c r="U386" s="27">
        <f>_xlfn.LET(_xlpm.maxVal,_xlfn.MAXIFS($K:$K,$A:$A,A386),IF(AND(_xlpm.maxVal=K386,L386&lt;&gt;0),_xlpm.maxVal,""))</f>
        <v>0.15</v>
      </c>
      <c r="V386" s="27">
        <f>_xlfn.LET(_xlpm.maxVal,_xlfn.MAXIFS($K:$K,$A:$A,A386),IF(AND(_xlpm.maxVal=K386,M386&lt;&gt;0),_xlpm.maxVal,""))</f>
        <v>0.15</v>
      </c>
      <c r="W386" s="27">
        <f>_xlfn.LET(_xlpm.maxVal,_xlfn.MAXIFS($K:$K,$A:$A,A386),IF(AND(_xlpm.maxVal=K386,N386&lt;&gt;0),_xlpm.maxVal,""))</f>
        <v>0.15</v>
      </c>
      <c r="X386" s="27">
        <f>_xlfn.LET(_xlpm.maxVal,_xlfn.MAXIFS($K:$K,$A:$A,A386),IF(AND(_xlpm.maxVal=K386,O386&lt;&gt;0),_xlpm.maxVal,""))</f>
        <v>0.15</v>
      </c>
      <c r="Y386" s="27">
        <f>_xlfn.LET(_xlpm.maxVal,_xlfn.MAXIFS($K:$K,$A:$A,A386),IF(AND(_xlpm.maxVal=K386,P386&lt;&gt;0),_xlpm.maxVal,""))</f>
        <v>0.15</v>
      </c>
      <c r="Z386" s="27">
        <f>_xlfn.LET(_xlpm.maxVal,_xlfn.MAXIFS($K:$K,$A:$A,A386),IF(AND(_xlpm.maxVal=K386,Q386&lt;&gt;0),_xlpm.maxVal,""))</f>
        <v>0.15</v>
      </c>
      <c r="AA386" s="27">
        <f>_xlfn.LET(_xlpm.maxVal,_xlfn.MAXIFS($K:$K,$A:$A,A386),IF(AND(_xlpm.maxVal=K386,R386&lt;&gt;0),_xlpm.maxVal,""))</f>
        <v>0.15</v>
      </c>
      <c r="AB386" s="27">
        <f>_xlfn.LET(_xlpm.maxVal,_xlfn.MAXIFS($K:$K,$A:$A,A386),IF(AND(_xlpm.maxVal=K386,S386&lt;&gt;0),_xlpm.maxVal,""))</f>
        <v>0.15</v>
      </c>
      <c r="AC386" s="27">
        <f>_xlfn.LET(_xlpm.maxVal,_xlfn.MAXIFS($K:$K,$A:$A,A386),IF(AND(_xlpm.maxVal=K386,T386&lt;&gt;0),_xlpm.maxVal,""))</f>
        <v>0.15</v>
      </c>
      <c r="AD386" s="27">
        <f>$K386*L386*负载统计!$K$3/60</f>
        <v>0</v>
      </c>
      <c r="AE386" s="27">
        <f>$K386*L386*负载统计!$K$4/60</f>
        <v>0</v>
      </c>
      <c r="AF386" s="27">
        <f>$K386*N386*负载统计!$K$5/60</f>
        <v>0.0025</v>
      </c>
      <c r="AG386" s="27">
        <f>$K386*O386*负载统计!$K$6/60</f>
        <v>0.0075</v>
      </c>
      <c r="AH386" s="27">
        <f>$K386*P386*负载统计!$K$7/60</f>
        <v>0.016925</v>
      </c>
      <c r="AI386" s="27">
        <f>$K386*Q386*负载统计!$K$8/60</f>
        <v>0.109</v>
      </c>
      <c r="AJ386" s="27">
        <f>$K386*R386*负载统计!$K$9/60</f>
        <v>0.034625</v>
      </c>
      <c r="AK386" s="27">
        <f>$K386*S386*负载统计!$K$10/60</f>
        <v>0.00125</v>
      </c>
      <c r="AL386" s="27">
        <f>$K386*T386*负载统计!$K$11/60</f>
        <v>0.01</v>
      </c>
    </row>
    <row r="387" spans="1:38">
      <c r="A387" s="1">
        <v>180</v>
      </c>
      <c r="B387" s="24" t="s">
        <v>1590</v>
      </c>
      <c r="C387" s="24" t="s">
        <v>1557</v>
      </c>
      <c r="D387" s="24" t="s">
        <v>1589</v>
      </c>
      <c r="E387" s="24" t="s">
        <v>689</v>
      </c>
      <c r="F387" s="24" t="s">
        <v>1100</v>
      </c>
      <c r="G387" s="25">
        <f>VLOOKUP(A387,负载电气特性!A:G,7,FALSE)</f>
        <v>28</v>
      </c>
      <c r="H387" s="26" t="s">
        <v>66</v>
      </c>
      <c r="I387" s="25" t="s">
        <v>1706</v>
      </c>
      <c r="J387" s="25" t="s">
        <v>1708</v>
      </c>
      <c r="K387" s="25">
        <v>0</v>
      </c>
      <c r="L387" s="25">
        <v>0</v>
      </c>
      <c r="M387" s="25">
        <v>0</v>
      </c>
      <c r="N387" s="25">
        <v>0</v>
      </c>
      <c r="O387" s="25">
        <v>0</v>
      </c>
      <c r="P387" s="25">
        <v>0</v>
      </c>
      <c r="Q387" s="25">
        <v>0</v>
      </c>
      <c r="R387" s="25">
        <v>0</v>
      </c>
      <c r="S387" s="25">
        <v>0</v>
      </c>
      <c r="T387" s="25">
        <v>0</v>
      </c>
      <c r="U387" s="27" t="str">
        <f>_xlfn.LET(_xlpm.maxVal,_xlfn.MAXIFS($K:$K,$A:$A,A387),IF(AND(_xlpm.maxVal=K387,L387&lt;&gt;0),_xlpm.maxVal,""))</f>
        <v/>
      </c>
      <c r="V387" s="27" t="str">
        <f>_xlfn.LET(_xlpm.maxVal,_xlfn.MAXIFS($K:$K,$A:$A,A387),IF(AND(_xlpm.maxVal=K387,M387&lt;&gt;0),_xlpm.maxVal,""))</f>
        <v/>
      </c>
      <c r="W387" s="27" t="str">
        <f>_xlfn.LET(_xlpm.maxVal,_xlfn.MAXIFS($K:$K,$A:$A,A387),IF(AND(_xlpm.maxVal=K387,N387&lt;&gt;0),_xlpm.maxVal,""))</f>
        <v/>
      </c>
      <c r="X387" s="27" t="str">
        <f>_xlfn.LET(_xlpm.maxVal,_xlfn.MAXIFS($K:$K,$A:$A,A387),IF(AND(_xlpm.maxVal=K387,O387&lt;&gt;0),_xlpm.maxVal,""))</f>
        <v/>
      </c>
      <c r="Y387" s="27" t="str">
        <f>_xlfn.LET(_xlpm.maxVal,_xlfn.MAXIFS($K:$K,$A:$A,A387),IF(AND(_xlpm.maxVal=K387,P387&lt;&gt;0),_xlpm.maxVal,""))</f>
        <v/>
      </c>
      <c r="Z387" s="27" t="str">
        <f>_xlfn.LET(_xlpm.maxVal,_xlfn.MAXIFS($K:$K,$A:$A,A387),IF(AND(_xlpm.maxVal=K387,Q387&lt;&gt;0),_xlpm.maxVal,""))</f>
        <v/>
      </c>
      <c r="AA387" s="27" t="str">
        <f>_xlfn.LET(_xlpm.maxVal,_xlfn.MAXIFS($K:$K,$A:$A,A387),IF(AND(_xlpm.maxVal=K387,R387&lt;&gt;0),_xlpm.maxVal,""))</f>
        <v/>
      </c>
      <c r="AB387" s="27" t="str">
        <f>_xlfn.LET(_xlpm.maxVal,_xlfn.MAXIFS($K:$K,$A:$A,A387),IF(AND(_xlpm.maxVal=K387,S387&lt;&gt;0),_xlpm.maxVal,""))</f>
        <v/>
      </c>
      <c r="AC387" s="27" t="str">
        <f>_xlfn.LET(_xlpm.maxVal,_xlfn.MAXIFS($K:$K,$A:$A,A387),IF(AND(_xlpm.maxVal=K387,T387&lt;&gt;0),_xlpm.maxVal,""))</f>
        <v/>
      </c>
      <c r="AD387" s="27">
        <f>$K387*L387*负载统计!$K$3/60</f>
        <v>0</v>
      </c>
      <c r="AE387" s="27">
        <f>$K387*L387*负载统计!$K$4/60</f>
        <v>0</v>
      </c>
      <c r="AF387" s="27">
        <f>$K387*N387*负载统计!$K$5/60</f>
        <v>0</v>
      </c>
      <c r="AG387" s="27">
        <f>$K387*O387*负载统计!$K$6/60</f>
        <v>0</v>
      </c>
      <c r="AH387" s="27">
        <f>$K387*P387*负载统计!$K$7/60</f>
        <v>0</v>
      </c>
      <c r="AI387" s="27">
        <f>$K387*Q387*负载统计!$K$8/60</f>
        <v>0</v>
      </c>
      <c r="AJ387" s="27">
        <f>$K387*R387*负载统计!$K$9/60</f>
        <v>0</v>
      </c>
      <c r="AK387" s="27">
        <f>$K387*S387*负载统计!$K$10/60</f>
        <v>0</v>
      </c>
      <c r="AL387" s="27">
        <f>$K387*T387*负载统计!$K$11/60</f>
        <v>0</v>
      </c>
    </row>
    <row r="388" spans="1:38">
      <c r="A388" s="1">
        <v>181</v>
      </c>
      <c r="B388" s="24" t="s">
        <v>1591</v>
      </c>
      <c r="C388" s="24" t="s">
        <v>1557</v>
      </c>
      <c r="D388" s="24" t="s">
        <v>1592</v>
      </c>
      <c r="E388" s="24" t="s">
        <v>689</v>
      </c>
      <c r="F388" s="24" t="s">
        <v>1102</v>
      </c>
      <c r="G388" s="25">
        <f>VLOOKUP(A388,负载电气特性!A:G,7,FALSE)</f>
        <v>28</v>
      </c>
      <c r="H388" s="26" t="s">
        <v>66</v>
      </c>
      <c r="I388" s="25" t="s">
        <v>1706</v>
      </c>
      <c r="J388" s="25" t="s">
        <v>1707</v>
      </c>
      <c r="K388" s="25">
        <v>0.15</v>
      </c>
      <c r="L388" s="25">
        <v>1</v>
      </c>
      <c r="M388" s="25">
        <v>1</v>
      </c>
      <c r="N388" s="25">
        <v>1</v>
      </c>
      <c r="O388" s="25">
        <v>1</v>
      </c>
      <c r="P388" s="25">
        <v>1</v>
      </c>
      <c r="Q388" s="25">
        <v>1</v>
      </c>
      <c r="R388" s="25">
        <v>1</v>
      </c>
      <c r="S388" s="25">
        <v>1</v>
      </c>
      <c r="T388" s="25">
        <v>1</v>
      </c>
      <c r="U388" s="27">
        <f>_xlfn.LET(_xlpm.maxVal,_xlfn.MAXIFS($K:$K,$A:$A,A388),IF(AND(_xlpm.maxVal=K388,L388&lt;&gt;0),_xlpm.maxVal,""))</f>
        <v>0.15</v>
      </c>
      <c r="V388" s="27">
        <f>_xlfn.LET(_xlpm.maxVal,_xlfn.MAXIFS($K:$K,$A:$A,A388),IF(AND(_xlpm.maxVal=K388,M388&lt;&gt;0),_xlpm.maxVal,""))</f>
        <v>0.15</v>
      </c>
      <c r="W388" s="27">
        <f>_xlfn.LET(_xlpm.maxVal,_xlfn.MAXIFS($K:$K,$A:$A,A388),IF(AND(_xlpm.maxVal=K388,N388&lt;&gt;0),_xlpm.maxVal,""))</f>
        <v>0.15</v>
      </c>
      <c r="X388" s="27">
        <f>_xlfn.LET(_xlpm.maxVal,_xlfn.MAXIFS($K:$K,$A:$A,A388),IF(AND(_xlpm.maxVal=K388,O388&lt;&gt;0),_xlpm.maxVal,""))</f>
        <v>0.15</v>
      </c>
      <c r="Y388" s="27">
        <f>_xlfn.LET(_xlpm.maxVal,_xlfn.MAXIFS($K:$K,$A:$A,A388),IF(AND(_xlpm.maxVal=K388,P388&lt;&gt;0),_xlpm.maxVal,""))</f>
        <v>0.15</v>
      </c>
      <c r="Z388" s="27">
        <f>_xlfn.LET(_xlpm.maxVal,_xlfn.MAXIFS($K:$K,$A:$A,A388),IF(AND(_xlpm.maxVal=K388,Q388&lt;&gt;0),_xlpm.maxVal,""))</f>
        <v>0.15</v>
      </c>
      <c r="AA388" s="27">
        <f>_xlfn.LET(_xlpm.maxVal,_xlfn.MAXIFS($K:$K,$A:$A,A388),IF(AND(_xlpm.maxVal=K388,R388&lt;&gt;0),_xlpm.maxVal,""))</f>
        <v>0.15</v>
      </c>
      <c r="AB388" s="27">
        <f>_xlfn.LET(_xlpm.maxVal,_xlfn.MAXIFS($K:$K,$A:$A,A388),IF(AND(_xlpm.maxVal=K388,S388&lt;&gt;0),_xlpm.maxVal,""))</f>
        <v>0.15</v>
      </c>
      <c r="AC388" s="27">
        <f>_xlfn.LET(_xlpm.maxVal,_xlfn.MAXIFS($K:$K,$A:$A,A388),IF(AND(_xlpm.maxVal=K388,T388&lt;&gt;0),_xlpm.maxVal,""))</f>
        <v>0.15</v>
      </c>
      <c r="AD388" s="27">
        <f>$K388*L388*负载统计!$K$3/60</f>
        <v>0</v>
      </c>
      <c r="AE388" s="27">
        <f>$K388*L388*负载统计!$K$4/60</f>
        <v>0</v>
      </c>
      <c r="AF388" s="27">
        <f>$K388*N388*负载统计!$K$5/60</f>
        <v>0.0025</v>
      </c>
      <c r="AG388" s="27">
        <f>$K388*O388*负载统计!$K$6/60</f>
        <v>0.0075</v>
      </c>
      <c r="AH388" s="27">
        <f>$K388*P388*负载统计!$K$7/60</f>
        <v>0.016925</v>
      </c>
      <c r="AI388" s="27">
        <f>$K388*Q388*负载统计!$K$8/60</f>
        <v>0.109</v>
      </c>
      <c r="AJ388" s="27">
        <f>$K388*R388*负载统计!$K$9/60</f>
        <v>0.034625</v>
      </c>
      <c r="AK388" s="27">
        <f>$K388*S388*负载统计!$K$10/60</f>
        <v>0.00125</v>
      </c>
      <c r="AL388" s="27">
        <f>$K388*T388*负载统计!$K$11/60</f>
        <v>0.01</v>
      </c>
    </row>
    <row r="389" spans="1:38">
      <c r="A389" s="1">
        <v>181</v>
      </c>
      <c r="B389" s="24" t="s">
        <v>1591</v>
      </c>
      <c r="C389" s="24" t="s">
        <v>1557</v>
      </c>
      <c r="D389" s="24" t="s">
        <v>1592</v>
      </c>
      <c r="E389" s="24" t="s">
        <v>689</v>
      </c>
      <c r="F389" s="24" t="s">
        <v>1102</v>
      </c>
      <c r="G389" s="25">
        <f>VLOOKUP(A389,负载电气特性!A:G,7,FALSE)</f>
        <v>28</v>
      </c>
      <c r="H389" s="26" t="s">
        <v>66</v>
      </c>
      <c r="I389" s="25" t="s">
        <v>1706</v>
      </c>
      <c r="J389" s="25" t="s">
        <v>1708</v>
      </c>
      <c r="K389" s="25">
        <v>0</v>
      </c>
      <c r="L389" s="25">
        <v>0</v>
      </c>
      <c r="M389" s="25">
        <v>0</v>
      </c>
      <c r="N389" s="25">
        <v>0</v>
      </c>
      <c r="O389" s="25">
        <v>0</v>
      </c>
      <c r="P389" s="25">
        <v>0</v>
      </c>
      <c r="Q389" s="25">
        <v>0</v>
      </c>
      <c r="R389" s="25">
        <v>0</v>
      </c>
      <c r="S389" s="25">
        <v>0</v>
      </c>
      <c r="T389" s="25">
        <v>0</v>
      </c>
      <c r="U389" s="27" t="str">
        <f>_xlfn.LET(_xlpm.maxVal,_xlfn.MAXIFS($K:$K,$A:$A,A389),IF(AND(_xlpm.maxVal=K389,L389&lt;&gt;0),_xlpm.maxVal,""))</f>
        <v/>
      </c>
      <c r="V389" s="27" t="str">
        <f>_xlfn.LET(_xlpm.maxVal,_xlfn.MAXIFS($K:$K,$A:$A,A389),IF(AND(_xlpm.maxVal=K389,M389&lt;&gt;0),_xlpm.maxVal,""))</f>
        <v/>
      </c>
      <c r="W389" s="27" t="str">
        <f>_xlfn.LET(_xlpm.maxVal,_xlfn.MAXIFS($K:$K,$A:$A,A389),IF(AND(_xlpm.maxVal=K389,N389&lt;&gt;0),_xlpm.maxVal,""))</f>
        <v/>
      </c>
      <c r="X389" s="27" t="str">
        <f>_xlfn.LET(_xlpm.maxVal,_xlfn.MAXIFS($K:$K,$A:$A,A389),IF(AND(_xlpm.maxVal=K389,O389&lt;&gt;0),_xlpm.maxVal,""))</f>
        <v/>
      </c>
      <c r="Y389" s="27" t="str">
        <f>_xlfn.LET(_xlpm.maxVal,_xlfn.MAXIFS($K:$K,$A:$A,A389),IF(AND(_xlpm.maxVal=K389,P389&lt;&gt;0),_xlpm.maxVal,""))</f>
        <v/>
      </c>
      <c r="Z389" s="27" t="str">
        <f>_xlfn.LET(_xlpm.maxVal,_xlfn.MAXIFS($K:$K,$A:$A,A389),IF(AND(_xlpm.maxVal=K389,Q389&lt;&gt;0),_xlpm.maxVal,""))</f>
        <v/>
      </c>
      <c r="AA389" s="27" t="str">
        <f>_xlfn.LET(_xlpm.maxVal,_xlfn.MAXIFS($K:$K,$A:$A,A389),IF(AND(_xlpm.maxVal=K389,R389&lt;&gt;0),_xlpm.maxVal,""))</f>
        <v/>
      </c>
      <c r="AB389" s="27" t="str">
        <f>_xlfn.LET(_xlpm.maxVal,_xlfn.MAXIFS($K:$K,$A:$A,A389),IF(AND(_xlpm.maxVal=K389,S389&lt;&gt;0),_xlpm.maxVal,""))</f>
        <v/>
      </c>
      <c r="AC389" s="27" t="str">
        <f>_xlfn.LET(_xlpm.maxVal,_xlfn.MAXIFS($K:$K,$A:$A,A389),IF(AND(_xlpm.maxVal=K389,T389&lt;&gt;0),_xlpm.maxVal,""))</f>
        <v/>
      </c>
      <c r="AD389" s="27">
        <f>$K389*L389*负载统计!$K$3/60</f>
        <v>0</v>
      </c>
      <c r="AE389" s="27">
        <f>$K389*L389*负载统计!$K$4/60</f>
        <v>0</v>
      </c>
      <c r="AF389" s="27">
        <f>$K389*N389*负载统计!$K$5/60</f>
        <v>0</v>
      </c>
      <c r="AG389" s="27">
        <f>$K389*O389*负载统计!$K$6/60</f>
        <v>0</v>
      </c>
      <c r="AH389" s="27">
        <f>$K389*P389*负载统计!$K$7/60</f>
        <v>0</v>
      </c>
      <c r="AI389" s="27">
        <f>$K389*Q389*负载统计!$K$8/60</f>
        <v>0</v>
      </c>
      <c r="AJ389" s="27">
        <f>$K389*R389*负载统计!$K$9/60</f>
        <v>0</v>
      </c>
      <c r="AK389" s="27">
        <f>$K389*S389*负载统计!$K$10/60</f>
        <v>0</v>
      </c>
      <c r="AL389" s="27">
        <f>$K389*T389*负载统计!$K$11/60</f>
        <v>0</v>
      </c>
    </row>
    <row r="390" spans="1:38">
      <c r="A390" s="1">
        <v>182</v>
      </c>
      <c r="B390" s="24" t="s">
        <v>1593</v>
      </c>
      <c r="C390" s="24" t="s">
        <v>1557</v>
      </c>
      <c r="D390" s="24" t="s">
        <v>1592</v>
      </c>
      <c r="E390" s="24" t="s">
        <v>689</v>
      </c>
      <c r="F390" s="24" t="s">
        <v>1102</v>
      </c>
      <c r="G390" s="25">
        <f>VLOOKUP(A390,负载电气特性!A:G,7,FALSE)</f>
        <v>28</v>
      </c>
      <c r="H390" s="26" t="s">
        <v>66</v>
      </c>
      <c r="I390" s="25" t="s">
        <v>1706</v>
      </c>
      <c r="J390" s="25" t="s">
        <v>1707</v>
      </c>
      <c r="K390" s="25">
        <v>0.15</v>
      </c>
      <c r="L390" s="25">
        <v>1</v>
      </c>
      <c r="M390" s="25">
        <v>1</v>
      </c>
      <c r="N390" s="25">
        <v>1</v>
      </c>
      <c r="O390" s="25">
        <v>1</v>
      </c>
      <c r="P390" s="25">
        <v>1</v>
      </c>
      <c r="Q390" s="25">
        <v>1</v>
      </c>
      <c r="R390" s="25">
        <v>1</v>
      </c>
      <c r="S390" s="25">
        <v>1</v>
      </c>
      <c r="T390" s="25">
        <v>1</v>
      </c>
      <c r="U390" s="27">
        <f>_xlfn.LET(_xlpm.maxVal,_xlfn.MAXIFS($K:$K,$A:$A,A390),IF(AND(_xlpm.maxVal=K390,L390&lt;&gt;0),_xlpm.maxVal,""))</f>
        <v>0.15</v>
      </c>
      <c r="V390" s="27">
        <f>_xlfn.LET(_xlpm.maxVal,_xlfn.MAXIFS($K:$K,$A:$A,A390),IF(AND(_xlpm.maxVal=K390,M390&lt;&gt;0),_xlpm.maxVal,""))</f>
        <v>0.15</v>
      </c>
      <c r="W390" s="27">
        <f>_xlfn.LET(_xlpm.maxVal,_xlfn.MAXIFS($K:$K,$A:$A,A390),IF(AND(_xlpm.maxVal=K390,N390&lt;&gt;0),_xlpm.maxVal,""))</f>
        <v>0.15</v>
      </c>
      <c r="X390" s="27">
        <f>_xlfn.LET(_xlpm.maxVal,_xlfn.MAXIFS($K:$K,$A:$A,A390),IF(AND(_xlpm.maxVal=K390,O390&lt;&gt;0),_xlpm.maxVal,""))</f>
        <v>0.15</v>
      </c>
      <c r="Y390" s="27">
        <f>_xlfn.LET(_xlpm.maxVal,_xlfn.MAXIFS($K:$K,$A:$A,A390),IF(AND(_xlpm.maxVal=K390,P390&lt;&gt;0),_xlpm.maxVal,""))</f>
        <v>0.15</v>
      </c>
      <c r="Z390" s="27">
        <f>_xlfn.LET(_xlpm.maxVal,_xlfn.MAXIFS($K:$K,$A:$A,A390),IF(AND(_xlpm.maxVal=K390,Q390&lt;&gt;0),_xlpm.maxVal,""))</f>
        <v>0.15</v>
      </c>
      <c r="AA390" s="27">
        <f>_xlfn.LET(_xlpm.maxVal,_xlfn.MAXIFS($K:$K,$A:$A,A390),IF(AND(_xlpm.maxVal=K390,R390&lt;&gt;0),_xlpm.maxVal,""))</f>
        <v>0.15</v>
      </c>
      <c r="AB390" s="27">
        <f>_xlfn.LET(_xlpm.maxVal,_xlfn.MAXIFS($K:$K,$A:$A,A390),IF(AND(_xlpm.maxVal=K390,S390&lt;&gt;0),_xlpm.maxVal,""))</f>
        <v>0.15</v>
      </c>
      <c r="AC390" s="27">
        <f>_xlfn.LET(_xlpm.maxVal,_xlfn.MAXIFS($K:$K,$A:$A,A390),IF(AND(_xlpm.maxVal=K390,T390&lt;&gt;0),_xlpm.maxVal,""))</f>
        <v>0.15</v>
      </c>
      <c r="AD390" s="27">
        <f>$K390*L390*负载统计!$K$3/60</f>
        <v>0</v>
      </c>
      <c r="AE390" s="27">
        <f>$K390*L390*负载统计!$K$4/60</f>
        <v>0</v>
      </c>
      <c r="AF390" s="27">
        <f>$K390*N390*负载统计!$K$5/60</f>
        <v>0.0025</v>
      </c>
      <c r="AG390" s="27">
        <f>$K390*O390*负载统计!$K$6/60</f>
        <v>0.0075</v>
      </c>
      <c r="AH390" s="27">
        <f>$K390*P390*负载统计!$K$7/60</f>
        <v>0.016925</v>
      </c>
      <c r="AI390" s="27">
        <f>$K390*Q390*负载统计!$K$8/60</f>
        <v>0.109</v>
      </c>
      <c r="AJ390" s="27">
        <f>$K390*R390*负载统计!$K$9/60</f>
        <v>0.034625</v>
      </c>
      <c r="AK390" s="27">
        <f>$K390*S390*负载统计!$K$10/60</f>
        <v>0.00125</v>
      </c>
      <c r="AL390" s="27">
        <f>$K390*T390*负载统计!$K$11/60</f>
        <v>0.01</v>
      </c>
    </row>
    <row r="391" spans="1:38">
      <c r="A391" s="1">
        <v>182</v>
      </c>
      <c r="B391" s="24" t="s">
        <v>1593</v>
      </c>
      <c r="C391" s="24" t="s">
        <v>1557</v>
      </c>
      <c r="D391" s="24" t="s">
        <v>1592</v>
      </c>
      <c r="E391" s="24" t="s">
        <v>689</v>
      </c>
      <c r="F391" s="24" t="s">
        <v>1102</v>
      </c>
      <c r="G391" s="25">
        <f>VLOOKUP(A391,负载电气特性!A:G,7,FALSE)</f>
        <v>28</v>
      </c>
      <c r="H391" s="26" t="s">
        <v>66</v>
      </c>
      <c r="I391" s="25" t="s">
        <v>1706</v>
      </c>
      <c r="J391" s="25" t="s">
        <v>1708</v>
      </c>
      <c r="K391" s="25">
        <v>0</v>
      </c>
      <c r="L391" s="25">
        <v>0</v>
      </c>
      <c r="M391" s="25">
        <v>0</v>
      </c>
      <c r="N391" s="25">
        <v>0</v>
      </c>
      <c r="O391" s="25">
        <v>0</v>
      </c>
      <c r="P391" s="25">
        <v>0</v>
      </c>
      <c r="Q391" s="25">
        <v>0</v>
      </c>
      <c r="R391" s="25">
        <v>0</v>
      </c>
      <c r="S391" s="25">
        <v>0</v>
      </c>
      <c r="T391" s="25">
        <v>0</v>
      </c>
      <c r="U391" s="27" t="str">
        <f>_xlfn.LET(_xlpm.maxVal,_xlfn.MAXIFS($K:$K,$A:$A,A391),IF(AND(_xlpm.maxVal=K391,L391&lt;&gt;0),_xlpm.maxVal,""))</f>
        <v/>
      </c>
      <c r="V391" s="27" t="str">
        <f>_xlfn.LET(_xlpm.maxVal,_xlfn.MAXIFS($K:$K,$A:$A,A391),IF(AND(_xlpm.maxVal=K391,M391&lt;&gt;0),_xlpm.maxVal,""))</f>
        <v/>
      </c>
      <c r="W391" s="27" t="str">
        <f>_xlfn.LET(_xlpm.maxVal,_xlfn.MAXIFS($K:$K,$A:$A,A391),IF(AND(_xlpm.maxVal=K391,N391&lt;&gt;0),_xlpm.maxVal,""))</f>
        <v/>
      </c>
      <c r="X391" s="27" t="str">
        <f>_xlfn.LET(_xlpm.maxVal,_xlfn.MAXIFS($K:$K,$A:$A,A391),IF(AND(_xlpm.maxVal=K391,O391&lt;&gt;0),_xlpm.maxVal,""))</f>
        <v/>
      </c>
      <c r="Y391" s="27" t="str">
        <f>_xlfn.LET(_xlpm.maxVal,_xlfn.MAXIFS($K:$K,$A:$A,A391),IF(AND(_xlpm.maxVal=K391,P391&lt;&gt;0),_xlpm.maxVal,""))</f>
        <v/>
      </c>
      <c r="Z391" s="27" t="str">
        <f>_xlfn.LET(_xlpm.maxVal,_xlfn.MAXIFS($K:$K,$A:$A,A391),IF(AND(_xlpm.maxVal=K391,Q391&lt;&gt;0),_xlpm.maxVal,""))</f>
        <v/>
      </c>
      <c r="AA391" s="27" t="str">
        <f>_xlfn.LET(_xlpm.maxVal,_xlfn.MAXIFS($K:$K,$A:$A,A391),IF(AND(_xlpm.maxVal=K391,R391&lt;&gt;0),_xlpm.maxVal,""))</f>
        <v/>
      </c>
      <c r="AB391" s="27" t="str">
        <f>_xlfn.LET(_xlpm.maxVal,_xlfn.MAXIFS($K:$K,$A:$A,A391),IF(AND(_xlpm.maxVal=K391,S391&lt;&gt;0),_xlpm.maxVal,""))</f>
        <v/>
      </c>
      <c r="AC391" s="27" t="str">
        <f>_xlfn.LET(_xlpm.maxVal,_xlfn.MAXIFS($K:$K,$A:$A,A391),IF(AND(_xlpm.maxVal=K391,T391&lt;&gt;0),_xlpm.maxVal,""))</f>
        <v/>
      </c>
      <c r="AD391" s="27">
        <f>$K391*L391*负载统计!$K$3/60</f>
        <v>0</v>
      </c>
      <c r="AE391" s="27">
        <f>$K391*L391*负载统计!$K$4/60</f>
        <v>0</v>
      </c>
      <c r="AF391" s="27">
        <f>$K391*N391*负载统计!$K$5/60</f>
        <v>0</v>
      </c>
      <c r="AG391" s="27">
        <f>$K391*O391*负载统计!$K$6/60</f>
        <v>0</v>
      </c>
      <c r="AH391" s="27">
        <f>$K391*P391*负载统计!$K$7/60</f>
        <v>0</v>
      </c>
      <c r="AI391" s="27">
        <f>$K391*Q391*负载统计!$K$8/60</f>
        <v>0</v>
      </c>
      <c r="AJ391" s="27">
        <f>$K391*R391*负载统计!$K$9/60</f>
        <v>0</v>
      </c>
      <c r="AK391" s="27">
        <f>$K391*S391*负载统计!$K$10/60</f>
        <v>0</v>
      </c>
      <c r="AL391" s="27">
        <f>$K391*T391*负载统计!$K$11/60</f>
        <v>0</v>
      </c>
    </row>
    <row r="392" spans="1:38">
      <c r="A392" s="1">
        <v>183</v>
      </c>
      <c r="B392" s="24" t="s">
        <v>1594</v>
      </c>
      <c r="C392" s="24" t="s">
        <v>1557</v>
      </c>
      <c r="D392" s="24" t="s">
        <v>1595</v>
      </c>
      <c r="E392" s="24" t="s">
        <v>689</v>
      </c>
      <c r="F392" s="24" t="s">
        <v>1104</v>
      </c>
      <c r="G392" s="25">
        <f>VLOOKUP(A392,负载电气特性!A:G,7,FALSE)</f>
        <v>28</v>
      </c>
      <c r="H392" s="26" t="s">
        <v>66</v>
      </c>
      <c r="I392" s="25" t="s">
        <v>1706</v>
      </c>
      <c r="J392" s="25" t="s">
        <v>1707</v>
      </c>
      <c r="K392" s="25">
        <v>0.15</v>
      </c>
      <c r="L392" s="25">
        <v>1</v>
      </c>
      <c r="M392" s="25">
        <v>1</v>
      </c>
      <c r="N392" s="25">
        <v>1</v>
      </c>
      <c r="O392" s="25">
        <v>1</v>
      </c>
      <c r="P392" s="25">
        <v>1</v>
      </c>
      <c r="Q392" s="25">
        <v>1</v>
      </c>
      <c r="R392" s="25">
        <v>1</v>
      </c>
      <c r="S392" s="25">
        <v>1</v>
      </c>
      <c r="T392" s="25">
        <v>1</v>
      </c>
      <c r="U392" s="27">
        <f>_xlfn.LET(_xlpm.maxVal,_xlfn.MAXIFS($K:$K,$A:$A,A392),IF(AND(_xlpm.maxVal=K392,L392&lt;&gt;0),_xlpm.maxVal,""))</f>
        <v>0.15</v>
      </c>
      <c r="V392" s="27">
        <f>_xlfn.LET(_xlpm.maxVal,_xlfn.MAXIFS($K:$K,$A:$A,A392),IF(AND(_xlpm.maxVal=K392,M392&lt;&gt;0),_xlpm.maxVal,""))</f>
        <v>0.15</v>
      </c>
      <c r="W392" s="27">
        <f>_xlfn.LET(_xlpm.maxVal,_xlfn.MAXIFS($K:$K,$A:$A,A392),IF(AND(_xlpm.maxVal=K392,N392&lt;&gt;0),_xlpm.maxVal,""))</f>
        <v>0.15</v>
      </c>
      <c r="X392" s="27">
        <f>_xlfn.LET(_xlpm.maxVal,_xlfn.MAXIFS($K:$K,$A:$A,A392),IF(AND(_xlpm.maxVal=K392,O392&lt;&gt;0),_xlpm.maxVal,""))</f>
        <v>0.15</v>
      </c>
      <c r="Y392" s="27">
        <f>_xlfn.LET(_xlpm.maxVal,_xlfn.MAXIFS($K:$K,$A:$A,A392),IF(AND(_xlpm.maxVal=K392,P392&lt;&gt;0),_xlpm.maxVal,""))</f>
        <v>0.15</v>
      </c>
      <c r="Z392" s="27">
        <f>_xlfn.LET(_xlpm.maxVal,_xlfn.MAXIFS($K:$K,$A:$A,A392),IF(AND(_xlpm.maxVal=K392,Q392&lt;&gt;0),_xlpm.maxVal,""))</f>
        <v>0.15</v>
      </c>
      <c r="AA392" s="27">
        <f>_xlfn.LET(_xlpm.maxVal,_xlfn.MAXIFS($K:$K,$A:$A,A392),IF(AND(_xlpm.maxVal=K392,R392&lt;&gt;0),_xlpm.maxVal,""))</f>
        <v>0.15</v>
      </c>
      <c r="AB392" s="27">
        <f>_xlfn.LET(_xlpm.maxVal,_xlfn.MAXIFS($K:$K,$A:$A,A392),IF(AND(_xlpm.maxVal=K392,S392&lt;&gt;0),_xlpm.maxVal,""))</f>
        <v>0.15</v>
      </c>
      <c r="AC392" s="27">
        <f>_xlfn.LET(_xlpm.maxVal,_xlfn.MAXIFS($K:$K,$A:$A,A392),IF(AND(_xlpm.maxVal=K392,T392&lt;&gt;0),_xlpm.maxVal,""))</f>
        <v>0.15</v>
      </c>
      <c r="AD392" s="27">
        <f>$K392*L392*负载统计!$K$3/60</f>
        <v>0</v>
      </c>
      <c r="AE392" s="27">
        <f>$K392*L392*负载统计!$K$4/60</f>
        <v>0</v>
      </c>
      <c r="AF392" s="27">
        <f>$K392*N392*负载统计!$K$5/60</f>
        <v>0.0025</v>
      </c>
      <c r="AG392" s="27">
        <f>$K392*O392*负载统计!$K$6/60</f>
        <v>0.0075</v>
      </c>
      <c r="AH392" s="27">
        <f>$K392*P392*负载统计!$K$7/60</f>
        <v>0.016925</v>
      </c>
      <c r="AI392" s="27">
        <f>$K392*Q392*负载统计!$K$8/60</f>
        <v>0.109</v>
      </c>
      <c r="AJ392" s="27">
        <f>$K392*R392*负载统计!$K$9/60</f>
        <v>0.034625</v>
      </c>
      <c r="AK392" s="27">
        <f>$K392*S392*负载统计!$K$10/60</f>
        <v>0.00125</v>
      </c>
      <c r="AL392" s="27">
        <f>$K392*T392*负载统计!$K$11/60</f>
        <v>0.01</v>
      </c>
    </row>
    <row r="393" spans="1:38">
      <c r="A393" s="1">
        <v>183</v>
      </c>
      <c r="B393" s="24" t="s">
        <v>1594</v>
      </c>
      <c r="C393" s="24" t="s">
        <v>1557</v>
      </c>
      <c r="D393" s="24" t="s">
        <v>1595</v>
      </c>
      <c r="E393" s="24" t="s">
        <v>689</v>
      </c>
      <c r="F393" s="24" t="s">
        <v>1104</v>
      </c>
      <c r="G393" s="25">
        <f>VLOOKUP(A393,负载电气特性!A:G,7,FALSE)</f>
        <v>28</v>
      </c>
      <c r="H393" s="26" t="s">
        <v>66</v>
      </c>
      <c r="I393" s="25" t="s">
        <v>1706</v>
      </c>
      <c r="J393" s="25" t="s">
        <v>1708</v>
      </c>
      <c r="K393" s="25">
        <v>0</v>
      </c>
      <c r="L393" s="25">
        <v>0</v>
      </c>
      <c r="M393" s="25">
        <v>0</v>
      </c>
      <c r="N393" s="25">
        <v>0</v>
      </c>
      <c r="O393" s="25">
        <v>0</v>
      </c>
      <c r="P393" s="25">
        <v>0</v>
      </c>
      <c r="Q393" s="25">
        <v>0</v>
      </c>
      <c r="R393" s="25">
        <v>0</v>
      </c>
      <c r="S393" s="25">
        <v>0</v>
      </c>
      <c r="T393" s="25">
        <v>0</v>
      </c>
      <c r="U393" s="27" t="str">
        <f>_xlfn.LET(_xlpm.maxVal,_xlfn.MAXIFS($K:$K,$A:$A,A393),IF(AND(_xlpm.maxVal=K393,L393&lt;&gt;0),_xlpm.maxVal,""))</f>
        <v/>
      </c>
      <c r="V393" s="27" t="str">
        <f>_xlfn.LET(_xlpm.maxVal,_xlfn.MAXIFS($K:$K,$A:$A,A393),IF(AND(_xlpm.maxVal=K393,M393&lt;&gt;0),_xlpm.maxVal,""))</f>
        <v/>
      </c>
      <c r="W393" s="27" t="str">
        <f>_xlfn.LET(_xlpm.maxVal,_xlfn.MAXIFS($K:$K,$A:$A,A393),IF(AND(_xlpm.maxVal=K393,N393&lt;&gt;0),_xlpm.maxVal,""))</f>
        <v/>
      </c>
      <c r="X393" s="27" t="str">
        <f>_xlfn.LET(_xlpm.maxVal,_xlfn.MAXIFS($K:$K,$A:$A,A393),IF(AND(_xlpm.maxVal=K393,O393&lt;&gt;0),_xlpm.maxVal,""))</f>
        <v/>
      </c>
      <c r="Y393" s="27" t="str">
        <f>_xlfn.LET(_xlpm.maxVal,_xlfn.MAXIFS($K:$K,$A:$A,A393),IF(AND(_xlpm.maxVal=K393,P393&lt;&gt;0),_xlpm.maxVal,""))</f>
        <v/>
      </c>
      <c r="Z393" s="27" t="str">
        <f>_xlfn.LET(_xlpm.maxVal,_xlfn.MAXIFS($K:$K,$A:$A,A393),IF(AND(_xlpm.maxVal=K393,Q393&lt;&gt;0),_xlpm.maxVal,""))</f>
        <v/>
      </c>
      <c r="AA393" s="27" t="str">
        <f>_xlfn.LET(_xlpm.maxVal,_xlfn.MAXIFS($K:$K,$A:$A,A393),IF(AND(_xlpm.maxVal=K393,R393&lt;&gt;0),_xlpm.maxVal,""))</f>
        <v/>
      </c>
      <c r="AB393" s="27" t="str">
        <f>_xlfn.LET(_xlpm.maxVal,_xlfn.MAXIFS($K:$K,$A:$A,A393),IF(AND(_xlpm.maxVal=K393,S393&lt;&gt;0),_xlpm.maxVal,""))</f>
        <v/>
      </c>
      <c r="AC393" s="27" t="str">
        <f>_xlfn.LET(_xlpm.maxVal,_xlfn.MAXIFS($K:$K,$A:$A,A393),IF(AND(_xlpm.maxVal=K393,T393&lt;&gt;0),_xlpm.maxVal,""))</f>
        <v/>
      </c>
      <c r="AD393" s="27">
        <f>$K393*L393*负载统计!$K$3/60</f>
        <v>0</v>
      </c>
      <c r="AE393" s="27">
        <f>$K393*L393*负载统计!$K$4/60</f>
        <v>0</v>
      </c>
      <c r="AF393" s="27">
        <f>$K393*N393*负载统计!$K$5/60</f>
        <v>0</v>
      </c>
      <c r="AG393" s="27">
        <f>$K393*O393*负载统计!$K$6/60</f>
        <v>0</v>
      </c>
      <c r="AH393" s="27">
        <f>$K393*P393*负载统计!$K$7/60</f>
        <v>0</v>
      </c>
      <c r="AI393" s="27">
        <f>$K393*Q393*负载统计!$K$8/60</f>
        <v>0</v>
      </c>
      <c r="AJ393" s="27">
        <f>$K393*R393*负载统计!$K$9/60</f>
        <v>0</v>
      </c>
      <c r="AK393" s="27">
        <f>$K393*S393*负载统计!$K$10/60</f>
        <v>0</v>
      </c>
      <c r="AL393" s="27">
        <f>$K393*T393*负载统计!$K$11/60</f>
        <v>0</v>
      </c>
    </row>
    <row r="394" spans="1:38">
      <c r="A394" s="1">
        <v>184</v>
      </c>
      <c r="B394" s="24" t="s">
        <v>1596</v>
      </c>
      <c r="C394" s="24" t="s">
        <v>1557</v>
      </c>
      <c r="D394" s="24" t="s">
        <v>1595</v>
      </c>
      <c r="E394" s="24" t="s">
        <v>689</v>
      </c>
      <c r="F394" s="24" t="s">
        <v>1104</v>
      </c>
      <c r="G394" s="25">
        <f>VLOOKUP(A394,负载电气特性!A:G,7,FALSE)</f>
        <v>28</v>
      </c>
      <c r="H394" s="26" t="s">
        <v>66</v>
      </c>
      <c r="I394" s="25" t="s">
        <v>1706</v>
      </c>
      <c r="J394" s="25" t="s">
        <v>1707</v>
      </c>
      <c r="K394" s="25">
        <v>0.15</v>
      </c>
      <c r="L394" s="25">
        <v>1</v>
      </c>
      <c r="M394" s="25">
        <v>1</v>
      </c>
      <c r="N394" s="25">
        <v>1</v>
      </c>
      <c r="O394" s="25">
        <v>1</v>
      </c>
      <c r="P394" s="25">
        <v>1</v>
      </c>
      <c r="Q394" s="25">
        <v>1</v>
      </c>
      <c r="R394" s="25">
        <v>1</v>
      </c>
      <c r="S394" s="25">
        <v>1</v>
      </c>
      <c r="T394" s="25">
        <v>1</v>
      </c>
      <c r="U394" s="27">
        <f>_xlfn.LET(_xlpm.maxVal,_xlfn.MAXIFS($K:$K,$A:$A,A394),IF(AND(_xlpm.maxVal=K394,L394&lt;&gt;0),_xlpm.maxVal,""))</f>
        <v>0.15</v>
      </c>
      <c r="V394" s="27">
        <f>_xlfn.LET(_xlpm.maxVal,_xlfn.MAXIFS($K:$K,$A:$A,A394),IF(AND(_xlpm.maxVal=K394,M394&lt;&gt;0),_xlpm.maxVal,""))</f>
        <v>0.15</v>
      </c>
      <c r="W394" s="27">
        <f>_xlfn.LET(_xlpm.maxVal,_xlfn.MAXIFS($K:$K,$A:$A,A394),IF(AND(_xlpm.maxVal=K394,N394&lt;&gt;0),_xlpm.maxVal,""))</f>
        <v>0.15</v>
      </c>
      <c r="X394" s="27">
        <f>_xlfn.LET(_xlpm.maxVal,_xlfn.MAXIFS($K:$K,$A:$A,A394),IF(AND(_xlpm.maxVal=K394,O394&lt;&gt;0),_xlpm.maxVal,""))</f>
        <v>0.15</v>
      </c>
      <c r="Y394" s="27">
        <f>_xlfn.LET(_xlpm.maxVal,_xlfn.MAXIFS($K:$K,$A:$A,A394),IF(AND(_xlpm.maxVal=K394,P394&lt;&gt;0),_xlpm.maxVal,""))</f>
        <v>0.15</v>
      </c>
      <c r="Z394" s="27">
        <f>_xlfn.LET(_xlpm.maxVal,_xlfn.MAXIFS($K:$K,$A:$A,A394),IF(AND(_xlpm.maxVal=K394,Q394&lt;&gt;0),_xlpm.maxVal,""))</f>
        <v>0.15</v>
      </c>
      <c r="AA394" s="27">
        <f>_xlfn.LET(_xlpm.maxVal,_xlfn.MAXIFS($K:$K,$A:$A,A394),IF(AND(_xlpm.maxVal=K394,R394&lt;&gt;0),_xlpm.maxVal,""))</f>
        <v>0.15</v>
      </c>
      <c r="AB394" s="27">
        <f>_xlfn.LET(_xlpm.maxVal,_xlfn.MAXIFS($K:$K,$A:$A,A394),IF(AND(_xlpm.maxVal=K394,S394&lt;&gt;0),_xlpm.maxVal,""))</f>
        <v>0.15</v>
      </c>
      <c r="AC394" s="27">
        <f>_xlfn.LET(_xlpm.maxVal,_xlfn.MAXIFS($K:$K,$A:$A,A394),IF(AND(_xlpm.maxVal=K394,T394&lt;&gt;0),_xlpm.maxVal,""))</f>
        <v>0.15</v>
      </c>
      <c r="AD394" s="27">
        <f>$K394*L394*负载统计!$K$3/60</f>
        <v>0</v>
      </c>
      <c r="AE394" s="27">
        <f>$K394*L394*负载统计!$K$4/60</f>
        <v>0</v>
      </c>
      <c r="AF394" s="27">
        <f>$K394*N394*负载统计!$K$5/60</f>
        <v>0.0025</v>
      </c>
      <c r="AG394" s="27">
        <f>$K394*O394*负载统计!$K$6/60</f>
        <v>0.0075</v>
      </c>
      <c r="AH394" s="27">
        <f>$K394*P394*负载统计!$K$7/60</f>
        <v>0.016925</v>
      </c>
      <c r="AI394" s="27">
        <f>$K394*Q394*负载统计!$K$8/60</f>
        <v>0.109</v>
      </c>
      <c r="AJ394" s="27">
        <f>$K394*R394*负载统计!$K$9/60</f>
        <v>0.034625</v>
      </c>
      <c r="AK394" s="27">
        <f>$K394*S394*负载统计!$K$10/60</f>
        <v>0.00125</v>
      </c>
      <c r="AL394" s="27">
        <f>$K394*T394*负载统计!$K$11/60</f>
        <v>0.01</v>
      </c>
    </row>
    <row r="395" spans="1:38">
      <c r="A395" s="1">
        <v>184</v>
      </c>
      <c r="B395" s="24" t="s">
        <v>1596</v>
      </c>
      <c r="C395" s="24" t="s">
        <v>1557</v>
      </c>
      <c r="D395" s="24" t="s">
        <v>1595</v>
      </c>
      <c r="E395" s="24" t="s">
        <v>689</v>
      </c>
      <c r="F395" s="24" t="s">
        <v>1104</v>
      </c>
      <c r="G395" s="25">
        <f>VLOOKUP(A395,负载电气特性!A:G,7,FALSE)</f>
        <v>28</v>
      </c>
      <c r="H395" s="26" t="s">
        <v>66</v>
      </c>
      <c r="I395" s="25" t="s">
        <v>1706</v>
      </c>
      <c r="J395" s="25" t="s">
        <v>1708</v>
      </c>
      <c r="K395" s="25">
        <v>0</v>
      </c>
      <c r="L395" s="25">
        <v>0</v>
      </c>
      <c r="M395" s="25">
        <v>0</v>
      </c>
      <c r="N395" s="25">
        <v>0</v>
      </c>
      <c r="O395" s="25">
        <v>0</v>
      </c>
      <c r="P395" s="25">
        <v>0</v>
      </c>
      <c r="Q395" s="25">
        <v>0</v>
      </c>
      <c r="R395" s="25">
        <v>0</v>
      </c>
      <c r="S395" s="25">
        <v>0</v>
      </c>
      <c r="T395" s="25">
        <v>0</v>
      </c>
      <c r="U395" s="27" t="str">
        <f>_xlfn.LET(_xlpm.maxVal,_xlfn.MAXIFS($K:$K,$A:$A,A395),IF(AND(_xlpm.maxVal=K395,L395&lt;&gt;0),_xlpm.maxVal,""))</f>
        <v/>
      </c>
      <c r="V395" s="27" t="str">
        <f>_xlfn.LET(_xlpm.maxVal,_xlfn.MAXIFS($K:$K,$A:$A,A395),IF(AND(_xlpm.maxVal=K395,M395&lt;&gt;0),_xlpm.maxVal,""))</f>
        <v/>
      </c>
      <c r="W395" s="27" t="str">
        <f>_xlfn.LET(_xlpm.maxVal,_xlfn.MAXIFS($K:$K,$A:$A,A395),IF(AND(_xlpm.maxVal=K395,N395&lt;&gt;0),_xlpm.maxVal,""))</f>
        <v/>
      </c>
      <c r="X395" s="27" t="str">
        <f>_xlfn.LET(_xlpm.maxVal,_xlfn.MAXIFS($K:$K,$A:$A,A395),IF(AND(_xlpm.maxVal=K395,O395&lt;&gt;0),_xlpm.maxVal,""))</f>
        <v/>
      </c>
      <c r="Y395" s="27" t="str">
        <f>_xlfn.LET(_xlpm.maxVal,_xlfn.MAXIFS($K:$K,$A:$A,A395),IF(AND(_xlpm.maxVal=K395,P395&lt;&gt;0),_xlpm.maxVal,""))</f>
        <v/>
      </c>
      <c r="Z395" s="27" t="str">
        <f>_xlfn.LET(_xlpm.maxVal,_xlfn.MAXIFS($K:$K,$A:$A,A395),IF(AND(_xlpm.maxVal=K395,Q395&lt;&gt;0),_xlpm.maxVal,""))</f>
        <v/>
      </c>
      <c r="AA395" s="27" t="str">
        <f>_xlfn.LET(_xlpm.maxVal,_xlfn.MAXIFS($K:$K,$A:$A,A395),IF(AND(_xlpm.maxVal=K395,R395&lt;&gt;0),_xlpm.maxVal,""))</f>
        <v/>
      </c>
      <c r="AB395" s="27" t="str">
        <f>_xlfn.LET(_xlpm.maxVal,_xlfn.MAXIFS($K:$K,$A:$A,A395),IF(AND(_xlpm.maxVal=K395,S395&lt;&gt;0),_xlpm.maxVal,""))</f>
        <v/>
      </c>
      <c r="AC395" s="27" t="str">
        <f>_xlfn.LET(_xlpm.maxVal,_xlfn.MAXIFS($K:$K,$A:$A,A395),IF(AND(_xlpm.maxVal=K395,T395&lt;&gt;0),_xlpm.maxVal,""))</f>
        <v/>
      </c>
      <c r="AD395" s="27">
        <f>$K395*L395*负载统计!$K$3/60</f>
        <v>0</v>
      </c>
      <c r="AE395" s="27">
        <f>$K395*L395*负载统计!$K$4/60</f>
        <v>0</v>
      </c>
      <c r="AF395" s="27">
        <f>$K395*N395*负载统计!$K$5/60</f>
        <v>0</v>
      </c>
      <c r="AG395" s="27">
        <f>$K395*O395*负载统计!$K$6/60</f>
        <v>0</v>
      </c>
      <c r="AH395" s="27">
        <f>$K395*P395*负载统计!$K$7/60</f>
        <v>0</v>
      </c>
      <c r="AI395" s="27">
        <f>$K395*Q395*负载统计!$K$8/60</f>
        <v>0</v>
      </c>
      <c r="AJ395" s="27">
        <f>$K395*R395*负载统计!$K$9/60</f>
        <v>0</v>
      </c>
      <c r="AK395" s="27">
        <f>$K395*S395*负载统计!$K$10/60</f>
        <v>0</v>
      </c>
      <c r="AL395" s="27">
        <f>$K395*T395*负载统计!$K$11/60</f>
        <v>0</v>
      </c>
    </row>
    <row r="396" spans="1:38">
      <c r="A396" s="1">
        <v>185</v>
      </c>
      <c r="B396" s="24" t="s">
        <v>1597</v>
      </c>
      <c r="C396" s="24" t="s">
        <v>1557</v>
      </c>
      <c r="D396" s="24" t="s">
        <v>1598</v>
      </c>
      <c r="E396" s="24" t="s">
        <v>689</v>
      </c>
      <c r="F396" s="24" t="s">
        <v>1106</v>
      </c>
      <c r="G396" s="25">
        <f>VLOOKUP(A396,负载电气特性!A:G,7,FALSE)</f>
        <v>28</v>
      </c>
      <c r="H396" s="26" t="s">
        <v>66</v>
      </c>
      <c r="I396" s="25" t="s">
        <v>1706</v>
      </c>
      <c r="J396" s="25" t="s">
        <v>1707</v>
      </c>
      <c r="K396" s="25">
        <v>0.15</v>
      </c>
      <c r="L396" s="25">
        <v>1</v>
      </c>
      <c r="M396" s="25">
        <v>1</v>
      </c>
      <c r="N396" s="25">
        <v>1</v>
      </c>
      <c r="O396" s="25">
        <v>1</v>
      </c>
      <c r="P396" s="25">
        <v>1</v>
      </c>
      <c r="Q396" s="25">
        <v>1</v>
      </c>
      <c r="R396" s="25">
        <v>1</v>
      </c>
      <c r="S396" s="25">
        <v>1</v>
      </c>
      <c r="T396" s="25">
        <v>1</v>
      </c>
      <c r="U396" s="27">
        <f>_xlfn.LET(_xlpm.maxVal,_xlfn.MAXIFS($K:$K,$A:$A,A396),IF(AND(_xlpm.maxVal=K396,L396&lt;&gt;0),_xlpm.maxVal,""))</f>
        <v>0.15</v>
      </c>
      <c r="V396" s="27">
        <f>_xlfn.LET(_xlpm.maxVal,_xlfn.MAXIFS($K:$K,$A:$A,A396),IF(AND(_xlpm.maxVal=K396,M396&lt;&gt;0),_xlpm.maxVal,""))</f>
        <v>0.15</v>
      </c>
      <c r="W396" s="27">
        <f>_xlfn.LET(_xlpm.maxVal,_xlfn.MAXIFS($K:$K,$A:$A,A396),IF(AND(_xlpm.maxVal=K396,N396&lt;&gt;0),_xlpm.maxVal,""))</f>
        <v>0.15</v>
      </c>
      <c r="X396" s="27">
        <f>_xlfn.LET(_xlpm.maxVal,_xlfn.MAXIFS($K:$K,$A:$A,A396),IF(AND(_xlpm.maxVal=K396,O396&lt;&gt;0),_xlpm.maxVal,""))</f>
        <v>0.15</v>
      </c>
      <c r="Y396" s="27">
        <f>_xlfn.LET(_xlpm.maxVal,_xlfn.MAXIFS($K:$K,$A:$A,A396),IF(AND(_xlpm.maxVal=K396,P396&lt;&gt;0),_xlpm.maxVal,""))</f>
        <v>0.15</v>
      </c>
      <c r="Z396" s="27">
        <f>_xlfn.LET(_xlpm.maxVal,_xlfn.MAXIFS($K:$K,$A:$A,A396),IF(AND(_xlpm.maxVal=K396,Q396&lt;&gt;0),_xlpm.maxVal,""))</f>
        <v>0.15</v>
      </c>
      <c r="AA396" s="27">
        <f>_xlfn.LET(_xlpm.maxVal,_xlfn.MAXIFS($K:$K,$A:$A,A396),IF(AND(_xlpm.maxVal=K396,R396&lt;&gt;0),_xlpm.maxVal,""))</f>
        <v>0.15</v>
      </c>
      <c r="AB396" s="27">
        <f>_xlfn.LET(_xlpm.maxVal,_xlfn.MAXIFS($K:$K,$A:$A,A396),IF(AND(_xlpm.maxVal=K396,S396&lt;&gt;0),_xlpm.maxVal,""))</f>
        <v>0.15</v>
      </c>
      <c r="AC396" s="27">
        <f>_xlfn.LET(_xlpm.maxVal,_xlfn.MAXIFS($K:$K,$A:$A,A396),IF(AND(_xlpm.maxVal=K396,T396&lt;&gt;0),_xlpm.maxVal,""))</f>
        <v>0.15</v>
      </c>
      <c r="AD396" s="27">
        <f>$K396*L396*负载统计!$K$3/60</f>
        <v>0</v>
      </c>
      <c r="AE396" s="27">
        <f>$K396*L396*负载统计!$K$4/60</f>
        <v>0</v>
      </c>
      <c r="AF396" s="27">
        <f>$K396*N396*负载统计!$K$5/60</f>
        <v>0.0025</v>
      </c>
      <c r="AG396" s="27">
        <f>$K396*O396*负载统计!$K$6/60</f>
        <v>0.0075</v>
      </c>
      <c r="AH396" s="27">
        <f>$K396*P396*负载统计!$K$7/60</f>
        <v>0.016925</v>
      </c>
      <c r="AI396" s="27">
        <f>$K396*Q396*负载统计!$K$8/60</f>
        <v>0.109</v>
      </c>
      <c r="AJ396" s="27">
        <f>$K396*R396*负载统计!$K$9/60</f>
        <v>0.034625</v>
      </c>
      <c r="AK396" s="27">
        <f>$K396*S396*负载统计!$K$10/60</f>
        <v>0.00125</v>
      </c>
      <c r="AL396" s="27">
        <f>$K396*T396*负载统计!$K$11/60</f>
        <v>0.01</v>
      </c>
    </row>
    <row r="397" spans="1:38">
      <c r="A397" s="1">
        <v>185</v>
      </c>
      <c r="B397" s="24" t="s">
        <v>1597</v>
      </c>
      <c r="C397" s="24" t="s">
        <v>1557</v>
      </c>
      <c r="D397" s="24" t="s">
        <v>1598</v>
      </c>
      <c r="E397" s="24" t="s">
        <v>689</v>
      </c>
      <c r="F397" s="24" t="s">
        <v>1106</v>
      </c>
      <c r="G397" s="25">
        <f>VLOOKUP(A397,负载电气特性!A:G,7,FALSE)</f>
        <v>28</v>
      </c>
      <c r="H397" s="26" t="s">
        <v>66</v>
      </c>
      <c r="I397" s="25" t="s">
        <v>1706</v>
      </c>
      <c r="J397" s="25" t="s">
        <v>1708</v>
      </c>
      <c r="K397" s="25">
        <v>0</v>
      </c>
      <c r="L397" s="25">
        <v>0</v>
      </c>
      <c r="M397" s="25">
        <v>0</v>
      </c>
      <c r="N397" s="25">
        <v>0</v>
      </c>
      <c r="O397" s="25">
        <v>0</v>
      </c>
      <c r="P397" s="25">
        <v>0</v>
      </c>
      <c r="Q397" s="25">
        <v>0</v>
      </c>
      <c r="R397" s="25">
        <v>0</v>
      </c>
      <c r="S397" s="25">
        <v>0</v>
      </c>
      <c r="T397" s="25">
        <v>0</v>
      </c>
      <c r="U397" s="27" t="str">
        <f>_xlfn.LET(_xlpm.maxVal,_xlfn.MAXIFS($K:$K,$A:$A,A397),IF(AND(_xlpm.maxVal=K397,L397&lt;&gt;0),_xlpm.maxVal,""))</f>
        <v/>
      </c>
      <c r="V397" s="27" t="str">
        <f>_xlfn.LET(_xlpm.maxVal,_xlfn.MAXIFS($K:$K,$A:$A,A397),IF(AND(_xlpm.maxVal=K397,M397&lt;&gt;0),_xlpm.maxVal,""))</f>
        <v/>
      </c>
      <c r="W397" s="27" t="str">
        <f>_xlfn.LET(_xlpm.maxVal,_xlfn.MAXIFS($K:$K,$A:$A,A397),IF(AND(_xlpm.maxVal=K397,N397&lt;&gt;0),_xlpm.maxVal,""))</f>
        <v/>
      </c>
      <c r="X397" s="27" t="str">
        <f>_xlfn.LET(_xlpm.maxVal,_xlfn.MAXIFS($K:$K,$A:$A,A397),IF(AND(_xlpm.maxVal=K397,O397&lt;&gt;0),_xlpm.maxVal,""))</f>
        <v/>
      </c>
      <c r="Y397" s="27" t="str">
        <f>_xlfn.LET(_xlpm.maxVal,_xlfn.MAXIFS($K:$K,$A:$A,A397),IF(AND(_xlpm.maxVal=K397,P397&lt;&gt;0),_xlpm.maxVal,""))</f>
        <v/>
      </c>
      <c r="Z397" s="27" t="str">
        <f>_xlfn.LET(_xlpm.maxVal,_xlfn.MAXIFS($K:$K,$A:$A,A397),IF(AND(_xlpm.maxVal=K397,Q397&lt;&gt;0),_xlpm.maxVal,""))</f>
        <v/>
      </c>
      <c r="AA397" s="27" t="str">
        <f>_xlfn.LET(_xlpm.maxVal,_xlfn.MAXIFS($K:$K,$A:$A,A397),IF(AND(_xlpm.maxVal=K397,R397&lt;&gt;0),_xlpm.maxVal,""))</f>
        <v/>
      </c>
      <c r="AB397" s="27" t="str">
        <f>_xlfn.LET(_xlpm.maxVal,_xlfn.MAXIFS($K:$K,$A:$A,A397),IF(AND(_xlpm.maxVal=K397,S397&lt;&gt;0),_xlpm.maxVal,""))</f>
        <v/>
      </c>
      <c r="AC397" s="27" t="str">
        <f>_xlfn.LET(_xlpm.maxVal,_xlfn.MAXIFS($K:$K,$A:$A,A397),IF(AND(_xlpm.maxVal=K397,T397&lt;&gt;0),_xlpm.maxVal,""))</f>
        <v/>
      </c>
      <c r="AD397" s="27">
        <f>$K397*L397*负载统计!$K$3/60</f>
        <v>0</v>
      </c>
      <c r="AE397" s="27">
        <f>$K397*L397*负载统计!$K$4/60</f>
        <v>0</v>
      </c>
      <c r="AF397" s="27">
        <f>$K397*N397*负载统计!$K$5/60</f>
        <v>0</v>
      </c>
      <c r="AG397" s="27">
        <f>$K397*O397*负载统计!$K$6/60</f>
        <v>0</v>
      </c>
      <c r="AH397" s="27">
        <f>$K397*P397*负载统计!$K$7/60</f>
        <v>0</v>
      </c>
      <c r="AI397" s="27">
        <f>$K397*Q397*负载统计!$K$8/60</f>
        <v>0</v>
      </c>
      <c r="AJ397" s="27">
        <f>$K397*R397*负载统计!$K$9/60</f>
        <v>0</v>
      </c>
      <c r="AK397" s="27">
        <f>$K397*S397*负载统计!$K$10/60</f>
        <v>0</v>
      </c>
      <c r="AL397" s="27">
        <f>$K397*T397*负载统计!$K$11/60</f>
        <v>0</v>
      </c>
    </row>
    <row r="398" spans="1:38">
      <c r="A398" s="1">
        <v>186</v>
      </c>
      <c r="B398" s="24" t="s">
        <v>1599</v>
      </c>
      <c r="C398" s="24" t="s">
        <v>1557</v>
      </c>
      <c r="D398" s="24" t="s">
        <v>1598</v>
      </c>
      <c r="E398" s="24" t="s">
        <v>689</v>
      </c>
      <c r="F398" s="24" t="s">
        <v>1106</v>
      </c>
      <c r="G398" s="25">
        <f>VLOOKUP(A398,负载电气特性!A:G,7,FALSE)</f>
        <v>28</v>
      </c>
      <c r="H398" s="26" t="s">
        <v>66</v>
      </c>
      <c r="I398" s="25" t="s">
        <v>1706</v>
      </c>
      <c r="J398" s="25" t="s">
        <v>1707</v>
      </c>
      <c r="K398" s="25">
        <v>0.15</v>
      </c>
      <c r="L398" s="25">
        <v>1</v>
      </c>
      <c r="M398" s="25">
        <v>1</v>
      </c>
      <c r="N398" s="25">
        <v>1</v>
      </c>
      <c r="O398" s="25">
        <v>1</v>
      </c>
      <c r="P398" s="25">
        <v>1</v>
      </c>
      <c r="Q398" s="25">
        <v>1</v>
      </c>
      <c r="R398" s="25">
        <v>1</v>
      </c>
      <c r="S398" s="25">
        <v>1</v>
      </c>
      <c r="T398" s="25">
        <v>1</v>
      </c>
      <c r="U398" s="27">
        <f>_xlfn.LET(_xlpm.maxVal,_xlfn.MAXIFS($K:$K,$A:$A,A398),IF(AND(_xlpm.maxVal=K398,L398&lt;&gt;0),_xlpm.maxVal,""))</f>
        <v>0.15</v>
      </c>
      <c r="V398" s="27">
        <f>_xlfn.LET(_xlpm.maxVal,_xlfn.MAXIFS($K:$K,$A:$A,A398),IF(AND(_xlpm.maxVal=K398,M398&lt;&gt;0),_xlpm.maxVal,""))</f>
        <v>0.15</v>
      </c>
      <c r="W398" s="27">
        <f>_xlfn.LET(_xlpm.maxVal,_xlfn.MAXIFS($K:$K,$A:$A,A398),IF(AND(_xlpm.maxVal=K398,N398&lt;&gt;0),_xlpm.maxVal,""))</f>
        <v>0.15</v>
      </c>
      <c r="X398" s="27">
        <f>_xlfn.LET(_xlpm.maxVal,_xlfn.MAXIFS($K:$K,$A:$A,A398),IF(AND(_xlpm.maxVal=K398,O398&lt;&gt;0),_xlpm.maxVal,""))</f>
        <v>0.15</v>
      </c>
      <c r="Y398" s="27">
        <f>_xlfn.LET(_xlpm.maxVal,_xlfn.MAXIFS($K:$K,$A:$A,A398),IF(AND(_xlpm.maxVal=K398,P398&lt;&gt;0),_xlpm.maxVal,""))</f>
        <v>0.15</v>
      </c>
      <c r="Z398" s="27">
        <f>_xlfn.LET(_xlpm.maxVal,_xlfn.MAXIFS($K:$K,$A:$A,A398),IF(AND(_xlpm.maxVal=K398,Q398&lt;&gt;0),_xlpm.maxVal,""))</f>
        <v>0.15</v>
      </c>
      <c r="AA398" s="27">
        <f>_xlfn.LET(_xlpm.maxVal,_xlfn.MAXIFS($K:$K,$A:$A,A398),IF(AND(_xlpm.maxVal=K398,R398&lt;&gt;0),_xlpm.maxVal,""))</f>
        <v>0.15</v>
      </c>
      <c r="AB398" s="27">
        <f>_xlfn.LET(_xlpm.maxVal,_xlfn.MAXIFS($K:$K,$A:$A,A398),IF(AND(_xlpm.maxVal=K398,S398&lt;&gt;0),_xlpm.maxVal,""))</f>
        <v>0.15</v>
      </c>
      <c r="AC398" s="27">
        <f>_xlfn.LET(_xlpm.maxVal,_xlfn.MAXIFS($K:$K,$A:$A,A398),IF(AND(_xlpm.maxVal=K398,T398&lt;&gt;0),_xlpm.maxVal,""))</f>
        <v>0.15</v>
      </c>
      <c r="AD398" s="27">
        <f>$K398*L398*负载统计!$K$3/60</f>
        <v>0</v>
      </c>
      <c r="AE398" s="27">
        <f>$K398*L398*负载统计!$K$4/60</f>
        <v>0</v>
      </c>
      <c r="AF398" s="27">
        <f>$K398*N398*负载统计!$K$5/60</f>
        <v>0.0025</v>
      </c>
      <c r="AG398" s="27">
        <f>$K398*O398*负载统计!$K$6/60</f>
        <v>0.0075</v>
      </c>
      <c r="AH398" s="27">
        <f>$K398*P398*负载统计!$K$7/60</f>
        <v>0.016925</v>
      </c>
      <c r="AI398" s="27">
        <f>$K398*Q398*负载统计!$K$8/60</f>
        <v>0.109</v>
      </c>
      <c r="AJ398" s="27">
        <f>$K398*R398*负载统计!$K$9/60</f>
        <v>0.034625</v>
      </c>
      <c r="AK398" s="27">
        <f>$K398*S398*负载统计!$K$10/60</f>
        <v>0.00125</v>
      </c>
      <c r="AL398" s="27">
        <f>$K398*T398*负载统计!$K$11/60</f>
        <v>0.01</v>
      </c>
    </row>
    <row r="399" spans="1:38">
      <c r="A399" s="1">
        <v>186</v>
      </c>
      <c r="B399" s="24" t="s">
        <v>1599</v>
      </c>
      <c r="C399" s="24" t="s">
        <v>1557</v>
      </c>
      <c r="D399" s="24" t="s">
        <v>1598</v>
      </c>
      <c r="E399" s="24" t="s">
        <v>689</v>
      </c>
      <c r="F399" s="24" t="s">
        <v>1106</v>
      </c>
      <c r="G399" s="25">
        <f>VLOOKUP(A399,负载电气特性!A:G,7,FALSE)</f>
        <v>28</v>
      </c>
      <c r="H399" s="26" t="s">
        <v>66</v>
      </c>
      <c r="I399" s="25" t="s">
        <v>1706</v>
      </c>
      <c r="J399" s="25" t="s">
        <v>1708</v>
      </c>
      <c r="K399" s="25">
        <v>0</v>
      </c>
      <c r="L399" s="25">
        <v>0</v>
      </c>
      <c r="M399" s="25">
        <v>0</v>
      </c>
      <c r="N399" s="25">
        <v>0</v>
      </c>
      <c r="O399" s="25">
        <v>0</v>
      </c>
      <c r="P399" s="25">
        <v>0</v>
      </c>
      <c r="Q399" s="25">
        <v>0</v>
      </c>
      <c r="R399" s="25">
        <v>0</v>
      </c>
      <c r="S399" s="25">
        <v>0</v>
      </c>
      <c r="T399" s="25">
        <v>0</v>
      </c>
      <c r="U399" s="27" t="str">
        <f>_xlfn.LET(_xlpm.maxVal,_xlfn.MAXIFS($K:$K,$A:$A,A399),IF(AND(_xlpm.maxVal=K399,L399&lt;&gt;0),_xlpm.maxVal,""))</f>
        <v/>
      </c>
      <c r="V399" s="27" t="str">
        <f>_xlfn.LET(_xlpm.maxVal,_xlfn.MAXIFS($K:$K,$A:$A,A399),IF(AND(_xlpm.maxVal=K399,M399&lt;&gt;0),_xlpm.maxVal,""))</f>
        <v/>
      </c>
      <c r="W399" s="27" t="str">
        <f>_xlfn.LET(_xlpm.maxVal,_xlfn.MAXIFS($K:$K,$A:$A,A399),IF(AND(_xlpm.maxVal=K399,N399&lt;&gt;0),_xlpm.maxVal,""))</f>
        <v/>
      </c>
      <c r="X399" s="27" t="str">
        <f>_xlfn.LET(_xlpm.maxVal,_xlfn.MAXIFS($K:$K,$A:$A,A399),IF(AND(_xlpm.maxVal=K399,O399&lt;&gt;0),_xlpm.maxVal,""))</f>
        <v/>
      </c>
      <c r="Y399" s="27" t="str">
        <f>_xlfn.LET(_xlpm.maxVal,_xlfn.MAXIFS($K:$K,$A:$A,A399),IF(AND(_xlpm.maxVal=K399,P399&lt;&gt;0),_xlpm.maxVal,""))</f>
        <v/>
      </c>
      <c r="Z399" s="27" t="str">
        <f>_xlfn.LET(_xlpm.maxVal,_xlfn.MAXIFS($K:$K,$A:$A,A399),IF(AND(_xlpm.maxVal=K399,Q399&lt;&gt;0),_xlpm.maxVal,""))</f>
        <v/>
      </c>
      <c r="AA399" s="27" t="str">
        <f>_xlfn.LET(_xlpm.maxVal,_xlfn.MAXIFS($K:$K,$A:$A,A399),IF(AND(_xlpm.maxVal=K399,R399&lt;&gt;0),_xlpm.maxVal,""))</f>
        <v/>
      </c>
      <c r="AB399" s="27" t="str">
        <f>_xlfn.LET(_xlpm.maxVal,_xlfn.MAXIFS($K:$K,$A:$A,A399),IF(AND(_xlpm.maxVal=K399,S399&lt;&gt;0),_xlpm.maxVal,""))</f>
        <v/>
      </c>
      <c r="AC399" s="27" t="str">
        <f>_xlfn.LET(_xlpm.maxVal,_xlfn.MAXIFS($K:$K,$A:$A,A399),IF(AND(_xlpm.maxVal=K399,T399&lt;&gt;0),_xlpm.maxVal,""))</f>
        <v/>
      </c>
      <c r="AD399" s="27">
        <f>$K399*L399*负载统计!$K$3/60</f>
        <v>0</v>
      </c>
      <c r="AE399" s="27">
        <f>$K399*L399*负载统计!$K$4/60</f>
        <v>0</v>
      </c>
      <c r="AF399" s="27">
        <f>$K399*N399*负载统计!$K$5/60</f>
        <v>0</v>
      </c>
      <c r="AG399" s="27">
        <f>$K399*O399*负载统计!$K$6/60</f>
        <v>0</v>
      </c>
      <c r="AH399" s="27">
        <f>$K399*P399*负载统计!$K$7/60</f>
        <v>0</v>
      </c>
      <c r="AI399" s="27">
        <f>$K399*Q399*负载统计!$K$8/60</f>
        <v>0</v>
      </c>
      <c r="AJ399" s="27">
        <f>$K399*R399*负载统计!$K$9/60</f>
        <v>0</v>
      </c>
      <c r="AK399" s="27">
        <f>$K399*S399*负载统计!$K$10/60</f>
        <v>0</v>
      </c>
      <c r="AL399" s="27">
        <f>$K399*T399*负载统计!$K$11/60</f>
        <v>0</v>
      </c>
    </row>
    <row r="400" spans="1:38">
      <c r="A400" s="1">
        <v>187</v>
      </c>
      <c r="B400" s="24" t="s">
        <v>1600</v>
      </c>
      <c r="C400" s="24" t="s">
        <v>1557</v>
      </c>
      <c r="D400" s="24" t="s">
        <v>1601</v>
      </c>
      <c r="E400" s="24" t="s">
        <v>689</v>
      </c>
      <c r="F400" s="24" t="s">
        <v>1108</v>
      </c>
      <c r="G400" s="25">
        <f>VLOOKUP(A400,负载电气特性!A:G,7,FALSE)</f>
        <v>28</v>
      </c>
      <c r="H400" s="26" t="s">
        <v>66</v>
      </c>
      <c r="I400" s="25" t="s">
        <v>1706</v>
      </c>
      <c r="J400" s="25" t="s">
        <v>1707</v>
      </c>
      <c r="K400" s="25">
        <v>0.15</v>
      </c>
      <c r="L400" s="25">
        <v>1</v>
      </c>
      <c r="M400" s="25">
        <v>1</v>
      </c>
      <c r="N400" s="25">
        <v>1</v>
      </c>
      <c r="O400" s="25">
        <v>1</v>
      </c>
      <c r="P400" s="25">
        <v>1</v>
      </c>
      <c r="Q400" s="25">
        <v>1</v>
      </c>
      <c r="R400" s="25">
        <v>1</v>
      </c>
      <c r="S400" s="25">
        <v>1</v>
      </c>
      <c r="T400" s="25">
        <v>1</v>
      </c>
      <c r="U400" s="27">
        <f>_xlfn.LET(_xlpm.maxVal,_xlfn.MAXIFS($K:$K,$A:$A,A400),IF(AND(_xlpm.maxVal=K400,L400&lt;&gt;0),_xlpm.maxVal,""))</f>
        <v>0.15</v>
      </c>
      <c r="V400" s="27">
        <f>_xlfn.LET(_xlpm.maxVal,_xlfn.MAXIFS($K:$K,$A:$A,A400),IF(AND(_xlpm.maxVal=K400,M400&lt;&gt;0),_xlpm.maxVal,""))</f>
        <v>0.15</v>
      </c>
      <c r="W400" s="27">
        <f>_xlfn.LET(_xlpm.maxVal,_xlfn.MAXIFS($K:$K,$A:$A,A400),IF(AND(_xlpm.maxVal=K400,N400&lt;&gt;0),_xlpm.maxVal,""))</f>
        <v>0.15</v>
      </c>
      <c r="X400" s="27">
        <f>_xlfn.LET(_xlpm.maxVal,_xlfn.MAXIFS($K:$K,$A:$A,A400),IF(AND(_xlpm.maxVal=K400,O400&lt;&gt;0),_xlpm.maxVal,""))</f>
        <v>0.15</v>
      </c>
      <c r="Y400" s="27">
        <f>_xlfn.LET(_xlpm.maxVal,_xlfn.MAXIFS($K:$K,$A:$A,A400),IF(AND(_xlpm.maxVal=K400,P400&lt;&gt;0),_xlpm.maxVal,""))</f>
        <v>0.15</v>
      </c>
      <c r="Z400" s="27">
        <f>_xlfn.LET(_xlpm.maxVal,_xlfn.MAXIFS($K:$K,$A:$A,A400),IF(AND(_xlpm.maxVal=K400,Q400&lt;&gt;0),_xlpm.maxVal,""))</f>
        <v>0.15</v>
      </c>
      <c r="AA400" s="27">
        <f>_xlfn.LET(_xlpm.maxVal,_xlfn.MAXIFS($K:$K,$A:$A,A400),IF(AND(_xlpm.maxVal=K400,R400&lt;&gt;0),_xlpm.maxVal,""))</f>
        <v>0.15</v>
      </c>
      <c r="AB400" s="27">
        <f>_xlfn.LET(_xlpm.maxVal,_xlfn.MAXIFS($K:$K,$A:$A,A400),IF(AND(_xlpm.maxVal=K400,S400&lt;&gt;0),_xlpm.maxVal,""))</f>
        <v>0.15</v>
      </c>
      <c r="AC400" s="27">
        <f>_xlfn.LET(_xlpm.maxVal,_xlfn.MAXIFS($K:$K,$A:$A,A400),IF(AND(_xlpm.maxVal=K400,T400&lt;&gt;0),_xlpm.maxVal,""))</f>
        <v>0.15</v>
      </c>
      <c r="AD400" s="27">
        <f>$K400*L400*负载统计!$K$3/60</f>
        <v>0</v>
      </c>
      <c r="AE400" s="27">
        <f>$K400*L400*负载统计!$K$4/60</f>
        <v>0</v>
      </c>
      <c r="AF400" s="27">
        <f>$K400*N400*负载统计!$K$5/60</f>
        <v>0.0025</v>
      </c>
      <c r="AG400" s="27">
        <f>$K400*O400*负载统计!$K$6/60</f>
        <v>0.0075</v>
      </c>
      <c r="AH400" s="27">
        <f>$K400*P400*负载统计!$K$7/60</f>
        <v>0.016925</v>
      </c>
      <c r="AI400" s="27">
        <f>$K400*Q400*负载统计!$K$8/60</f>
        <v>0.109</v>
      </c>
      <c r="AJ400" s="27">
        <f>$K400*R400*负载统计!$K$9/60</f>
        <v>0.034625</v>
      </c>
      <c r="AK400" s="27">
        <f>$K400*S400*负载统计!$K$10/60</f>
        <v>0.00125</v>
      </c>
      <c r="AL400" s="27">
        <f>$K400*T400*负载统计!$K$11/60</f>
        <v>0.01</v>
      </c>
    </row>
    <row r="401" spans="1:38">
      <c r="A401" s="1">
        <v>187</v>
      </c>
      <c r="B401" s="24" t="s">
        <v>1600</v>
      </c>
      <c r="C401" s="24" t="s">
        <v>1557</v>
      </c>
      <c r="D401" s="24" t="s">
        <v>1601</v>
      </c>
      <c r="E401" s="24" t="s">
        <v>689</v>
      </c>
      <c r="F401" s="24" t="s">
        <v>1108</v>
      </c>
      <c r="G401" s="25">
        <f>VLOOKUP(A401,负载电气特性!A:G,7,FALSE)</f>
        <v>28</v>
      </c>
      <c r="H401" s="26" t="s">
        <v>66</v>
      </c>
      <c r="I401" s="25" t="s">
        <v>1706</v>
      </c>
      <c r="J401" s="25" t="s">
        <v>1708</v>
      </c>
      <c r="K401" s="25">
        <v>0</v>
      </c>
      <c r="L401" s="25">
        <v>0</v>
      </c>
      <c r="M401" s="25">
        <v>0</v>
      </c>
      <c r="N401" s="25">
        <v>0</v>
      </c>
      <c r="O401" s="25">
        <v>0</v>
      </c>
      <c r="P401" s="25">
        <v>0</v>
      </c>
      <c r="Q401" s="25">
        <v>0</v>
      </c>
      <c r="R401" s="25">
        <v>0</v>
      </c>
      <c r="S401" s="25">
        <v>0</v>
      </c>
      <c r="T401" s="25">
        <v>0</v>
      </c>
      <c r="U401" s="27" t="str">
        <f>_xlfn.LET(_xlpm.maxVal,_xlfn.MAXIFS($K:$K,$A:$A,A401),IF(AND(_xlpm.maxVal=K401,L401&lt;&gt;0),_xlpm.maxVal,""))</f>
        <v/>
      </c>
      <c r="V401" s="27" t="str">
        <f>_xlfn.LET(_xlpm.maxVal,_xlfn.MAXIFS($K:$K,$A:$A,A401),IF(AND(_xlpm.maxVal=K401,M401&lt;&gt;0),_xlpm.maxVal,""))</f>
        <v/>
      </c>
      <c r="W401" s="27" t="str">
        <f>_xlfn.LET(_xlpm.maxVal,_xlfn.MAXIFS($K:$K,$A:$A,A401),IF(AND(_xlpm.maxVal=K401,N401&lt;&gt;0),_xlpm.maxVal,""))</f>
        <v/>
      </c>
      <c r="X401" s="27" t="str">
        <f>_xlfn.LET(_xlpm.maxVal,_xlfn.MAXIFS($K:$K,$A:$A,A401),IF(AND(_xlpm.maxVal=K401,O401&lt;&gt;0),_xlpm.maxVal,""))</f>
        <v/>
      </c>
      <c r="Y401" s="27" t="str">
        <f>_xlfn.LET(_xlpm.maxVal,_xlfn.MAXIFS($K:$K,$A:$A,A401),IF(AND(_xlpm.maxVal=K401,P401&lt;&gt;0),_xlpm.maxVal,""))</f>
        <v/>
      </c>
      <c r="Z401" s="27" t="str">
        <f>_xlfn.LET(_xlpm.maxVal,_xlfn.MAXIFS($K:$K,$A:$A,A401),IF(AND(_xlpm.maxVal=K401,Q401&lt;&gt;0),_xlpm.maxVal,""))</f>
        <v/>
      </c>
      <c r="AA401" s="27" t="str">
        <f>_xlfn.LET(_xlpm.maxVal,_xlfn.MAXIFS($K:$K,$A:$A,A401),IF(AND(_xlpm.maxVal=K401,R401&lt;&gt;0),_xlpm.maxVal,""))</f>
        <v/>
      </c>
      <c r="AB401" s="27" t="str">
        <f>_xlfn.LET(_xlpm.maxVal,_xlfn.MAXIFS($K:$K,$A:$A,A401),IF(AND(_xlpm.maxVal=K401,S401&lt;&gt;0),_xlpm.maxVal,""))</f>
        <v/>
      </c>
      <c r="AC401" s="27" t="str">
        <f>_xlfn.LET(_xlpm.maxVal,_xlfn.MAXIFS($K:$K,$A:$A,A401),IF(AND(_xlpm.maxVal=K401,T401&lt;&gt;0),_xlpm.maxVal,""))</f>
        <v/>
      </c>
      <c r="AD401" s="27">
        <f>$K401*L401*负载统计!$K$3/60</f>
        <v>0</v>
      </c>
      <c r="AE401" s="27">
        <f>$K401*L401*负载统计!$K$4/60</f>
        <v>0</v>
      </c>
      <c r="AF401" s="27">
        <f>$K401*N401*负载统计!$K$5/60</f>
        <v>0</v>
      </c>
      <c r="AG401" s="27">
        <f>$K401*O401*负载统计!$K$6/60</f>
        <v>0</v>
      </c>
      <c r="AH401" s="27">
        <f>$K401*P401*负载统计!$K$7/60</f>
        <v>0</v>
      </c>
      <c r="AI401" s="27">
        <f>$K401*Q401*负载统计!$K$8/60</f>
        <v>0</v>
      </c>
      <c r="AJ401" s="27">
        <f>$K401*R401*负载统计!$K$9/60</f>
        <v>0</v>
      </c>
      <c r="AK401" s="27">
        <f>$K401*S401*负载统计!$K$10/60</f>
        <v>0</v>
      </c>
      <c r="AL401" s="27">
        <f>$K401*T401*负载统计!$K$11/60</f>
        <v>0</v>
      </c>
    </row>
    <row r="402" spans="1:38">
      <c r="A402" s="1">
        <v>188</v>
      </c>
      <c r="B402" s="24" t="s">
        <v>1602</v>
      </c>
      <c r="C402" s="24" t="s">
        <v>1557</v>
      </c>
      <c r="D402" s="24" t="s">
        <v>1601</v>
      </c>
      <c r="E402" s="24" t="s">
        <v>689</v>
      </c>
      <c r="F402" s="24" t="s">
        <v>1108</v>
      </c>
      <c r="G402" s="25">
        <f>VLOOKUP(A402,负载电气特性!A:G,7,FALSE)</f>
        <v>28</v>
      </c>
      <c r="H402" s="26" t="s">
        <v>66</v>
      </c>
      <c r="I402" s="25" t="s">
        <v>1706</v>
      </c>
      <c r="J402" s="25" t="s">
        <v>1707</v>
      </c>
      <c r="K402" s="25">
        <v>0.15</v>
      </c>
      <c r="L402" s="25">
        <v>1</v>
      </c>
      <c r="M402" s="25">
        <v>1</v>
      </c>
      <c r="N402" s="25">
        <v>1</v>
      </c>
      <c r="O402" s="25">
        <v>1</v>
      </c>
      <c r="P402" s="25">
        <v>1</v>
      </c>
      <c r="Q402" s="25">
        <v>1</v>
      </c>
      <c r="R402" s="25">
        <v>1</v>
      </c>
      <c r="S402" s="25">
        <v>1</v>
      </c>
      <c r="T402" s="25">
        <v>1</v>
      </c>
      <c r="U402" s="27">
        <f>_xlfn.LET(_xlpm.maxVal,_xlfn.MAXIFS($K:$K,$A:$A,A402),IF(AND(_xlpm.maxVal=K402,L402&lt;&gt;0),_xlpm.maxVal,""))</f>
        <v>0.15</v>
      </c>
      <c r="V402" s="27">
        <f>_xlfn.LET(_xlpm.maxVal,_xlfn.MAXIFS($K:$K,$A:$A,A402),IF(AND(_xlpm.maxVal=K402,M402&lt;&gt;0),_xlpm.maxVal,""))</f>
        <v>0.15</v>
      </c>
      <c r="W402" s="27">
        <f>_xlfn.LET(_xlpm.maxVal,_xlfn.MAXIFS($K:$K,$A:$A,A402),IF(AND(_xlpm.maxVal=K402,N402&lt;&gt;0),_xlpm.maxVal,""))</f>
        <v>0.15</v>
      </c>
      <c r="X402" s="27">
        <f>_xlfn.LET(_xlpm.maxVal,_xlfn.MAXIFS($K:$K,$A:$A,A402),IF(AND(_xlpm.maxVal=K402,O402&lt;&gt;0),_xlpm.maxVal,""))</f>
        <v>0.15</v>
      </c>
      <c r="Y402" s="27">
        <f>_xlfn.LET(_xlpm.maxVal,_xlfn.MAXIFS($K:$K,$A:$A,A402),IF(AND(_xlpm.maxVal=K402,P402&lt;&gt;0),_xlpm.maxVal,""))</f>
        <v>0.15</v>
      </c>
      <c r="Z402" s="27">
        <f>_xlfn.LET(_xlpm.maxVal,_xlfn.MAXIFS($K:$K,$A:$A,A402),IF(AND(_xlpm.maxVal=K402,Q402&lt;&gt;0),_xlpm.maxVal,""))</f>
        <v>0.15</v>
      </c>
      <c r="AA402" s="27">
        <f>_xlfn.LET(_xlpm.maxVal,_xlfn.MAXIFS($K:$K,$A:$A,A402),IF(AND(_xlpm.maxVal=K402,R402&lt;&gt;0),_xlpm.maxVal,""))</f>
        <v>0.15</v>
      </c>
      <c r="AB402" s="27">
        <f>_xlfn.LET(_xlpm.maxVal,_xlfn.MAXIFS($K:$K,$A:$A,A402),IF(AND(_xlpm.maxVal=K402,S402&lt;&gt;0),_xlpm.maxVal,""))</f>
        <v>0.15</v>
      </c>
      <c r="AC402" s="27">
        <f>_xlfn.LET(_xlpm.maxVal,_xlfn.MAXIFS($K:$K,$A:$A,A402),IF(AND(_xlpm.maxVal=K402,T402&lt;&gt;0),_xlpm.maxVal,""))</f>
        <v>0.15</v>
      </c>
      <c r="AD402" s="27">
        <f>$K402*L402*负载统计!$K$3/60</f>
        <v>0</v>
      </c>
      <c r="AE402" s="27">
        <f>$K402*L402*负载统计!$K$4/60</f>
        <v>0</v>
      </c>
      <c r="AF402" s="27">
        <f>$K402*N402*负载统计!$K$5/60</f>
        <v>0.0025</v>
      </c>
      <c r="AG402" s="27">
        <f>$K402*O402*负载统计!$K$6/60</f>
        <v>0.0075</v>
      </c>
      <c r="AH402" s="27">
        <f>$K402*P402*负载统计!$K$7/60</f>
        <v>0.016925</v>
      </c>
      <c r="AI402" s="27">
        <f>$K402*Q402*负载统计!$K$8/60</f>
        <v>0.109</v>
      </c>
      <c r="AJ402" s="27">
        <f>$K402*R402*负载统计!$K$9/60</f>
        <v>0.034625</v>
      </c>
      <c r="AK402" s="27">
        <f>$K402*S402*负载统计!$K$10/60</f>
        <v>0.00125</v>
      </c>
      <c r="AL402" s="27">
        <f>$K402*T402*负载统计!$K$11/60</f>
        <v>0.01</v>
      </c>
    </row>
    <row r="403" spans="1:38">
      <c r="A403" s="1">
        <v>188</v>
      </c>
      <c r="B403" s="24" t="s">
        <v>1602</v>
      </c>
      <c r="C403" s="24" t="s">
        <v>1557</v>
      </c>
      <c r="D403" s="24" t="s">
        <v>1601</v>
      </c>
      <c r="E403" s="24" t="s">
        <v>689</v>
      </c>
      <c r="F403" s="24" t="s">
        <v>1108</v>
      </c>
      <c r="G403" s="25">
        <f>VLOOKUP(A403,负载电气特性!A:G,7,FALSE)</f>
        <v>28</v>
      </c>
      <c r="H403" s="26" t="s">
        <v>66</v>
      </c>
      <c r="I403" s="25" t="s">
        <v>1706</v>
      </c>
      <c r="J403" s="25" t="s">
        <v>1708</v>
      </c>
      <c r="K403" s="25">
        <v>0</v>
      </c>
      <c r="L403" s="25">
        <v>0</v>
      </c>
      <c r="M403" s="25">
        <v>0</v>
      </c>
      <c r="N403" s="25">
        <v>0</v>
      </c>
      <c r="O403" s="25">
        <v>0</v>
      </c>
      <c r="P403" s="25">
        <v>0</v>
      </c>
      <c r="Q403" s="25">
        <v>0</v>
      </c>
      <c r="R403" s="25">
        <v>0</v>
      </c>
      <c r="S403" s="25">
        <v>0</v>
      </c>
      <c r="T403" s="25">
        <v>0</v>
      </c>
      <c r="U403" s="27" t="str">
        <f>_xlfn.LET(_xlpm.maxVal,_xlfn.MAXIFS($K:$K,$A:$A,A403),IF(AND(_xlpm.maxVal=K403,L403&lt;&gt;0),_xlpm.maxVal,""))</f>
        <v/>
      </c>
      <c r="V403" s="27" t="str">
        <f>_xlfn.LET(_xlpm.maxVal,_xlfn.MAXIFS($K:$K,$A:$A,A403),IF(AND(_xlpm.maxVal=K403,M403&lt;&gt;0),_xlpm.maxVal,""))</f>
        <v/>
      </c>
      <c r="W403" s="27" t="str">
        <f>_xlfn.LET(_xlpm.maxVal,_xlfn.MAXIFS($K:$K,$A:$A,A403),IF(AND(_xlpm.maxVal=K403,N403&lt;&gt;0),_xlpm.maxVal,""))</f>
        <v/>
      </c>
      <c r="X403" s="27" t="str">
        <f>_xlfn.LET(_xlpm.maxVal,_xlfn.MAXIFS($K:$K,$A:$A,A403),IF(AND(_xlpm.maxVal=K403,O403&lt;&gt;0),_xlpm.maxVal,""))</f>
        <v/>
      </c>
      <c r="Y403" s="27" t="str">
        <f>_xlfn.LET(_xlpm.maxVal,_xlfn.MAXIFS($K:$K,$A:$A,A403),IF(AND(_xlpm.maxVal=K403,P403&lt;&gt;0),_xlpm.maxVal,""))</f>
        <v/>
      </c>
      <c r="Z403" s="27" t="str">
        <f>_xlfn.LET(_xlpm.maxVal,_xlfn.MAXIFS($K:$K,$A:$A,A403),IF(AND(_xlpm.maxVal=K403,Q403&lt;&gt;0),_xlpm.maxVal,""))</f>
        <v/>
      </c>
      <c r="AA403" s="27" t="str">
        <f>_xlfn.LET(_xlpm.maxVal,_xlfn.MAXIFS($K:$K,$A:$A,A403),IF(AND(_xlpm.maxVal=K403,R403&lt;&gt;0),_xlpm.maxVal,""))</f>
        <v/>
      </c>
      <c r="AB403" s="27" t="str">
        <f>_xlfn.LET(_xlpm.maxVal,_xlfn.MAXIFS($K:$K,$A:$A,A403),IF(AND(_xlpm.maxVal=K403,S403&lt;&gt;0),_xlpm.maxVal,""))</f>
        <v/>
      </c>
      <c r="AC403" s="27" t="str">
        <f>_xlfn.LET(_xlpm.maxVal,_xlfn.MAXIFS($K:$K,$A:$A,A403),IF(AND(_xlpm.maxVal=K403,T403&lt;&gt;0),_xlpm.maxVal,""))</f>
        <v/>
      </c>
      <c r="AD403" s="27">
        <f>$K403*L403*负载统计!$K$3/60</f>
        <v>0</v>
      </c>
      <c r="AE403" s="27">
        <f>$K403*L403*负载统计!$K$4/60</f>
        <v>0</v>
      </c>
      <c r="AF403" s="27">
        <f>$K403*N403*负载统计!$K$5/60</f>
        <v>0</v>
      </c>
      <c r="AG403" s="27">
        <f>$K403*O403*负载统计!$K$6/60</f>
        <v>0</v>
      </c>
      <c r="AH403" s="27">
        <f>$K403*P403*负载统计!$K$7/60</f>
        <v>0</v>
      </c>
      <c r="AI403" s="27">
        <f>$K403*Q403*负载统计!$K$8/60</f>
        <v>0</v>
      </c>
      <c r="AJ403" s="27">
        <f>$K403*R403*负载统计!$K$9/60</f>
        <v>0</v>
      </c>
      <c r="AK403" s="27">
        <f>$K403*S403*负载统计!$K$10/60</f>
        <v>0</v>
      </c>
      <c r="AL403" s="27">
        <f>$K403*T403*负载统计!$K$11/60</f>
        <v>0</v>
      </c>
    </row>
    <row r="404" spans="1:38">
      <c r="A404" s="1">
        <v>189</v>
      </c>
      <c r="B404" s="24" t="s">
        <v>1603</v>
      </c>
      <c r="C404" s="24" t="s">
        <v>1557</v>
      </c>
      <c r="D404" s="24" t="s">
        <v>1604</v>
      </c>
      <c r="E404" s="24" t="s">
        <v>689</v>
      </c>
      <c r="F404" s="24" t="s">
        <v>1110</v>
      </c>
      <c r="G404" s="25" t="str">
        <f>VLOOKUP(A404,负载电气特性!A:G,7,FALSE)</f>
        <v>TBD</v>
      </c>
      <c r="H404" s="26" t="s">
        <v>689</v>
      </c>
      <c r="I404" s="25" t="s">
        <v>1706</v>
      </c>
      <c r="J404" s="25" t="s">
        <v>1707</v>
      </c>
      <c r="K404" s="25" t="s">
        <v>689</v>
      </c>
      <c r="L404" s="25" t="s">
        <v>689</v>
      </c>
      <c r="M404" s="25" t="s">
        <v>689</v>
      </c>
      <c r="N404" s="25" t="s">
        <v>689</v>
      </c>
      <c r="O404" s="25" t="s">
        <v>689</v>
      </c>
      <c r="P404" s="25" t="s">
        <v>689</v>
      </c>
      <c r="Q404" s="25" t="s">
        <v>689</v>
      </c>
      <c r="R404" s="25" t="s">
        <v>689</v>
      </c>
      <c r="S404" s="25" t="s">
        <v>689</v>
      </c>
      <c r="T404" s="25" t="s">
        <v>689</v>
      </c>
      <c r="U404" s="27" t="str">
        <f>_xlfn.LET(_xlpm.maxVal,_xlfn.MAXIFS($K:$K,$A:$A,A404),IF(AND(_xlpm.maxVal=K404,L404&lt;&gt;0),_xlpm.maxVal,""))</f>
        <v/>
      </c>
      <c r="V404" s="27" t="str">
        <f>_xlfn.LET(_xlpm.maxVal,_xlfn.MAXIFS($K:$K,$A:$A,A404),IF(AND(_xlpm.maxVal=K404,M404&lt;&gt;0),_xlpm.maxVal,""))</f>
        <v/>
      </c>
      <c r="W404" s="27" t="str">
        <f>_xlfn.LET(_xlpm.maxVal,_xlfn.MAXIFS($K:$K,$A:$A,A404),IF(AND(_xlpm.maxVal=K404,N404&lt;&gt;0),_xlpm.maxVal,""))</f>
        <v/>
      </c>
      <c r="X404" s="27" t="str">
        <f>_xlfn.LET(_xlpm.maxVal,_xlfn.MAXIFS($K:$K,$A:$A,A404),IF(AND(_xlpm.maxVal=K404,O404&lt;&gt;0),_xlpm.maxVal,""))</f>
        <v/>
      </c>
      <c r="Y404" s="27" t="str">
        <f>_xlfn.LET(_xlpm.maxVal,_xlfn.MAXIFS($K:$K,$A:$A,A404),IF(AND(_xlpm.maxVal=K404,P404&lt;&gt;0),_xlpm.maxVal,""))</f>
        <v/>
      </c>
      <c r="Z404" s="27" t="str">
        <f>_xlfn.LET(_xlpm.maxVal,_xlfn.MAXIFS($K:$K,$A:$A,A404),IF(AND(_xlpm.maxVal=K404,Q404&lt;&gt;0),_xlpm.maxVal,""))</f>
        <v/>
      </c>
      <c r="AA404" s="27" t="str">
        <f>_xlfn.LET(_xlpm.maxVal,_xlfn.MAXIFS($K:$K,$A:$A,A404),IF(AND(_xlpm.maxVal=K404,R404&lt;&gt;0),_xlpm.maxVal,""))</f>
        <v/>
      </c>
      <c r="AB404" s="27" t="str">
        <f>_xlfn.LET(_xlpm.maxVal,_xlfn.MAXIFS($K:$K,$A:$A,A404),IF(AND(_xlpm.maxVal=K404,S404&lt;&gt;0),_xlpm.maxVal,""))</f>
        <v/>
      </c>
      <c r="AC404" s="27" t="str">
        <f>_xlfn.LET(_xlpm.maxVal,_xlfn.MAXIFS($K:$K,$A:$A,A404),IF(AND(_xlpm.maxVal=K404,T404&lt;&gt;0),_xlpm.maxVal,""))</f>
        <v/>
      </c>
      <c r="AD404" s="27">
        <v>0</v>
      </c>
      <c r="AE404" s="27">
        <v>0</v>
      </c>
      <c r="AF404" s="27">
        <v>0</v>
      </c>
      <c r="AG404" s="27">
        <v>0</v>
      </c>
      <c r="AH404" s="27">
        <v>0</v>
      </c>
      <c r="AI404" s="27">
        <v>0</v>
      </c>
      <c r="AJ404" s="27">
        <v>0</v>
      </c>
      <c r="AK404" s="27">
        <v>0</v>
      </c>
      <c r="AL404" s="27">
        <v>0</v>
      </c>
    </row>
    <row r="405" spans="1:38">
      <c r="A405" s="1">
        <v>189</v>
      </c>
      <c r="B405" s="24" t="s">
        <v>1603</v>
      </c>
      <c r="C405" s="24" t="s">
        <v>1557</v>
      </c>
      <c r="D405" s="24" t="s">
        <v>1604</v>
      </c>
      <c r="E405" s="24" t="s">
        <v>689</v>
      </c>
      <c r="F405" s="24" t="s">
        <v>1110</v>
      </c>
      <c r="G405" s="25" t="str">
        <f>VLOOKUP(A405,负载电气特性!A:G,7,FALSE)</f>
        <v>TBD</v>
      </c>
      <c r="H405" s="26" t="s">
        <v>689</v>
      </c>
      <c r="I405" s="25" t="s">
        <v>1706</v>
      </c>
      <c r="J405" s="25" t="s">
        <v>1708</v>
      </c>
      <c r="K405" s="25">
        <v>0</v>
      </c>
      <c r="L405" s="25">
        <v>0</v>
      </c>
      <c r="M405" s="25">
        <v>0</v>
      </c>
      <c r="N405" s="25">
        <v>0</v>
      </c>
      <c r="O405" s="25">
        <v>0</v>
      </c>
      <c r="P405" s="25">
        <v>0</v>
      </c>
      <c r="Q405" s="25">
        <v>0</v>
      </c>
      <c r="R405" s="25">
        <v>0</v>
      </c>
      <c r="S405" s="25">
        <v>0</v>
      </c>
      <c r="T405" s="25">
        <v>0</v>
      </c>
      <c r="U405" s="27" t="str">
        <f>_xlfn.LET(_xlpm.maxVal,_xlfn.MAXIFS($K:$K,$A:$A,A405),IF(AND(_xlpm.maxVal=K405,L405&lt;&gt;0),_xlpm.maxVal,""))</f>
        <v/>
      </c>
      <c r="V405" s="27" t="str">
        <f>_xlfn.LET(_xlpm.maxVal,_xlfn.MAXIFS($K:$K,$A:$A,A405),IF(AND(_xlpm.maxVal=K405,M405&lt;&gt;0),_xlpm.maxVal,""))</f>
        <v/>
      </c>
      <c r="W405" s="27" t="str">
        <f>_xlfn.LET(_xlpm.maxVal,_xlfn.MAXIFS($K:$K,$A:$A,A405),IF(AND(_xlpm.maxVal=K405,N405&lt;&gt;0),_xlpm.maxVal,""))</f>
        <v/>
      </c>
      <c r="X405" s="27" t="str">
        <f>_xlfn.LET(_xlpm.maxVal,_xlfn.MAXIFS($K:$K,$A:$A,A405),IF(AND(_xlpm.maxVal=K405,O405&lt;&gt;0),_xlpm.maxVal,""))</f>
        <v/>
      </c>
      <c r="Y405" s="27" t="str">
        <f>_xlfn.LET(_xlpm.maxVal,_xlfn.MAXIFS($K:$K,$A:$A,A405),IF(AND(_xlpm.maxVal=K405,P405&lt;&gt;0),_xlpm.maxVal,""))</f>
        <v/>
      </c>
      <c r="Z405" s="27" t="str">
        <f>_xlfn.LET(_xlpm.maxVal,_xlfn.MAXIFS($K:$K,$A:$A,A405),IF(AND(_xlpm.maxVal=K405,Q405&lt;&gt;0),_xlpm.maxVal,""))</f>
        <v/>
      </c>
      <c r="AA405" s="27" t="str">
        <f>_xlfn.LET(_xlpm.maxVal,_xlfn.MAXIFS($K:$K,$A:$A,A405),IF(AND(_xlpm.maxVal=K405,R405&lt;&gt;0),_xlpm.maxVal,""))</f>
        <v/>
      </c>
      <c r="AB405" s="27" t="str">
        <f>_xlfn.LET(_xlpm.maxVal,_xlfn.MAXIFS($K:$K,$A:$A,A405),IF(AND(_xlpm.maxVal=K405,S405&lt;&gt;0),_xlpm.maxVal,""))</f>
        <v/>
      </c>
      <c r="AC405" s="27" t="str">
        <f>_xlfn.LET(_xlpm.maxVal,_xlfn.MAXIFS($K:$K,$A:$A,A405),IF(AND(_xlpm.maxVal=K405,T405&lt;&gt;0),_xlpm.maxVal,""))</f>
        <v/>
      </c>
      <c r="AD405" s="27">
        <f>$K405*L405*负载统计!$K$3/60</f>
        <v>0</v>
      </c>
      <c r="AE405" s="27">
        <f>$K405*L405*负载统计!$K$4/60</f>
        <v>0</v>
      </c>
      <c r="AF405" s="27">
        <f>$K405*N405*负载统计!$K$5/60</f>
        <v>0</v>
      </c>
      <c r="AG405" s="27">
        <f>$K405*O405*负载统计!$K$6/60</f>
        <v>0</v>
      </c>
      <c r="AH405" s="27">
        <f>$K405*P405*负载统计!$K$7/60</f>
        <v>0</v>
      </c>
      <c r="AI405" s="27">
        <f>$K405*Q405*负载统计!$K$8/60</f>
        <v>0</v>
      </c>
      <c r="AJ405" s="27">
        <f>$K405*R405*负载统计!$K$9/60</f>
        <v>0</v>
      </c>
      <c r="AK405" s="27">
        <f>$K405*S405*负载统计!$K$10/60</f>
        <v>0</v>
      </c>
      <c r="AL405" s="27">
        <f>$K405*T405*负载统计!$K$11/60</f>
        <v>0</v>
      </c>
    </row>
    <row r="406" spans="1:38">
      <c r="A406" s="1">
        <v>190</v>
      </c>
      <c r="B406" s="24" t="s">
        <v>1605</v>
      </c>
      <c r="C406" s="24" t="s">
        <v>1606</v>
      </c>
      <c r="D406" s="24" t="s">
        <v>1607</v>
      </c>
      <c r="E406" s="24" t="s">
        <v>1244</v>
      </c>
      <c r="F406" s="24" t="s">
        <v>1245</v>
      </c>
      <c r="G406" s="25">
        <f>VLOOKUP(A406,负载电气特性!A:G,7,FALSE)</f>
        <v>28</v>
      </c>
      <c r="H406" s="26" t="s">
        <v>61</v>
      </c>
      <c r="I406" s="25" t="s">
        <v>1706</v>
      </c>
      <c r="J406" s="25" t="s">
        <v>1707</v>
      </c>
      <c r="K406" s="25">
        <v>0.02</v>
      </c>
      <c r="L406" s="25">
        <v>1</v>
      </c>
      <c r="M406" s="25">
        <v>1</v>
      </c>
      <c r="N406" s="25">
        <v>1</v>
      </c>
      <c r="O406" s="25">
        <v>1</v>
      </c>
      <c r="P406" s="25">
        <v>1</v>
      </c>
      <c r="Q406" s="25">
        <v>1</v>
      </c>
      <c r="R406" s="25">
        <v>1</v>
      </c>
      <c r="S406" s="25">
        <v>1</v>
      </c>
      <c r="T406" s="25">
        <v>1</v>
      </c>
      <c r="U406" s="27">
        <f>_xlfn.LET(_xlpm.maxVal,_xlfn.MAXIFS($K:$K,$A:$A,A406),IF(AND(_xlpm.maxVal=K406,L406&lt;&gt;0),_xlpm.maxVal,""))</f>
        <v>0.02</v>
      </c>
      <c r="V406" s="27">
        <f>_xlfn.LET(_xlpm.maxVal,_xlfn.MAXIFS($K:$K,$A:$A,A406),IF(AND(_xlpm.maxVal=K406,M406&lt;&gt;0),_xlpm.maxVal,""))</f>
        <v>0.02</v>
      </c>
      <c r="W406" s="27">
        <f>_xlfn.LET(_xlpm.maxVal,_xlfn.MAXIFS($K:$K,$A:$A,A406),IF(AND(_xlpm.maxVal=K406,N406&lt;&gt;0),_xlpm.maxVal,""))</f>
        <v>0.02</v>
      </c>
      <c r="X406" s="27">
        <f>_xlfn.LET(_xlpm.maxVal,_xlfn.MAXIFS($K:$K,$A:$A,A406),IF(AND(_xlpm.maxVal=K406,O406&lt;&gt;0),_xlpm.maxVal,""))</f>
        <v>0.02</v>
      </c>
      <c r="Y406" s="27">
        <f>_xlfn.LET(_xlpm.maxVal,_xlfn.MAXIFS($K:$K,$A:$A,A406),IF(AND(_xlpm.maxVal=K406,P406&lt;&gt;0),_xlpm.maxVal,""))</f>
        <v>0.02</v>
      </c>
      <c r="Z406" s="27">
        <f>_xlfn.LET(_xlpm.maxVal,_xlfn.MAXIFS($K:$K,$A:$A,A406),IF(AND(_xlpm.maxVal=K406,Q406&lt;&gt;0),_xlpm.maxVal,""))</f>
        <v>0.02</v>
      </c>
      <c r="AA406" s="27">
        <f>_xlfn.LET(_xlpm.maxVal,_xlfn.MAXIFS($K:$K,$A:$A,A406),IF(AND(_xlpm.maxVal=K406,R406&lt;&gt;0),_xlpm.maxVal,""))</f>
        <v>0.02</v>
      </c>
      <c r="AB406" s="27">
        <f>_xlfn.LET(_xlpm.maxVal,_xlfn.MAXIFS($K:$K,$A:$A,A406),IF(AND(_xlpm.maxVal=K406,S406&lt;&gt;0),_xlpm.maxVal,""))</f>
        <v>0.02</v>
      </c>
      <c r="AC406" s="27">
        <f>_xlfn.LET(_xlpm.maxVal,_xlfn.MAXIFS($K:$K,$A:$A,A406),IF(AND(_xlpm.maxVal=K406,T406&lt;&gt;0),_xlpm.maxVal,""))</f>
        <v>0.02</v>
      </c>
      <c r="AD406" s="27">
        <f>$K406*L406*负载统计!$K$3/60</f>
        <v>0</v>
      </c>
      <c r="AE406" s="27">
        <f>$K406*L406*负载统计!$K$4/60</f>
        <v>0</v>
      </c>
      <c r="AF406" s="27">
        <f>$K406*N406*负载统计!$K$5/60</f>
        <v>0.000333333333333333</v>
      </c>
      <c r="AG406" s="27">
        <f>$K406*O406*负载统计!$K$6/60</f>
        <v>0.001</v>
      </c>
      <c r="AH406" s="27">
        <f>$K406*P406*负载统计!$K$7/60</f>
        <v>0.00225666666666667</v>
      </c>
      <c r="AI406" s="27">
        <f>$K406*Q406*负载统计!$K$8/60</f>
        <v>0.0145333333333333</v>
      </c>
      <c r="AJ406" s="27">
        <f>$K406*R406*负载统计!$K$9/60</f>
        <v>0.00461666666666667</v>
      </c>
      <c r="AK406" s="27">
        <f>$K406*S406*负载统计!$K$10/60</f>
        <v>0.000166666666666667</v>
      </c>
      <c r="AL406" s="27">
        <f>$K406*T406*负载统计!$K$11/60</f>
        <v>0.00133333333333333</v>
      </c>
    </row>
    <row r="407" spans="1:38">
      <c r="A407" s="1">
        <v>190</v>
      </c>
      <c r="B407" s="24" t="s">
        <v>1605</v>
      </c>
      <c r="C407" s="24" t="s">
        <v>1606</v>
      </c>
      <c r="D407" s="24" t="s">
        <v>1607</v>
      </c>
      <c r="E407" s="24" t="s">
        <v>1244</v>
      </c>
      <c r="F407" s="24" t="s">
        <v>1245</v>
      </c>
      <c r="G407" s="25">
        <f>VLOOKUP(A407,负载电气特性!A:G,7,FALSE)</f>
        <v>28</v>
      </c>
      <c r="H407" s="26" t="s">
        <v>61</v>
      </c>
      <c r="I407" s="25" t="s">
        <v>1706</v>
      </c>
      <c r="J407" s="25" t="s">
        <v>1708</v>
      </c>
      <c r="K407" s="25">
        <v>0</v>
      </c>
      <c r="L407" s="25">
        <v>0</v>
      </c>
      <c r="M407" s="25">
        <v>0</v>
      </c>
      <c r="N407" s="25">
        <v>0</v>
      </c>
      <c r="O407" s="25">
        <v>0</v>
      </c>
      <c r="P407" s="25">
        <v>0</v>
      </c>
      <c r="Q407" s="25">
        <v>0</v>
      </c>
      <c r="R407" s="25">
        <v>0</v>
      </c>
      <c r="S407" s="25">
        <v>0</v>
      </c>
      <c r="T407" s="25">
        <v>0</v>
      </c>
      <c r="U407" s="27" t="str">
        <f>_xlfn.LET(_xlpm.maxVal,_xlfn.MAXIFS($K:$K,$A:$A,A407),IF(AND(_xlpm.maxVal=K407,L407&lt;&gt;0),_xlpm.maxVal,""))</f>
        <v/>
      </c>
      <c r="V407" s="27" t="str">
        <f>_xlfn.LET(_xlpm.maxVal,_xlfn.MAXIFS($K:$K,$A:$A,A407),IF(AND(_xlpm.maxVal=K407,M407&lt;&gt;0),_xlpm.maxVal,""))</f>
        <v/>
      </c>
      <c r="W407" s="27" t="str">
        <f>_xlfn.LET(_xlpm.maxVal,_xlfn.MAXIFS($K:$K,$A:$A,A407),IF(AND(_xlpm.maxVal=K407,N407&lt;&gt;0),_xlpm.maxVal,""))</f>
        <v/>
      </c>
      <c r="X407" s="27" t="str">
        <f>_xlfn.LET(_xlpm.maxVal,_xlfn.MAXIFS($K:$K,$A:$A,A407),IF(AND(_xlpm.maxVal=K407,O407&lt;&gt;0),_xlpm.maxVal,""))</f>
        <v/>
      </c>
      <c r="Y407" s="27" t="str">
        <f>_xlfn.LET(_xlpm.maxVal,_xlfn.MAXIFS($K:$K,$A:$A,A407),IF(AND(_xlpm.maxVal=K407,P407&lt;&gt;0),_xlpm.maxVal,""))</f>
        <v/>
      </c>
      <c r="Z407" s="27" t="str">
        <f>_xlfn.LET(_xlpm.maxVal,_xlfn.MAXIFS($K:$K,$A:$A,A407),IF(AND(_xlpm.maxVal=K407,Q407&lt;&gt;0),_xlpm.maxVal,""))</f>
        <v/>
      </c>
      <c r="AA407" s="27" t="str">
        <f>_xlfn.LET(_xlpm.maxVal,_xlfn.MAXIFS($K:$K,$A:$A,A407),IF(AND(_xlpm.maxVal=K407,R407&lt;&gt;0),_xlpm.maxVal,""))</f>
        <v/>
      </c>
      <c r="AB407" s="27" t="str">
        <f>_xlfn.LET(_xlpm.maxVal,_xlfn.MAXIFS($K:$K,$A:$A,A407),IF(AND(_xlpm.maxVal=K407,S407&lt;&gt;0),_xlpm.maxVal,""))</f>
        <v/>
      </c>
      <c r="AC407" s="27" t="str">
        <f>_xlfn.LET(_xlpm.maxVal,_xlfn.MAXIFS($K:$K,$A:$A,A407),IF(AND(_xlpm.maxVal=K407,T407&lt;&gt;0),_xlpm.maxVal,""))</f>
        <v/>
      </c>
      <c r="AD407" s="27">
        <f>$K407*L407*负载统计!$K$3/60</f>
        <v>0</v>
      </c>
      <c r="AE407" s="27">
        <f>$K407*L407*负载统计!$K$4/60</f>
        <v>0</v>
      </c>
      <c r="AF407" s="27">
        <f>$K407*N407*负载统计!$K$5/60</f>
        <v>0</v>
      </c>
      <c r="AG407" s="27">
        <f>$K407*O407*负载统计!$K$6/60</f>
        <v>0</v>
      </c>
      <c r="AH407" s="27">
        <f>$K407*P407*负载统计!$K$7/60</f>
        <v>0</v>
      </c>
      <c r="AI407" s="27">
        <f>$K407*Q407*负载统计!$K$8/60</f>
        <v>0</v>
      </c>
      <c r="AJ407" s="27">
        <f>$K407*R407*负载统计!$K$9/60</f>
        <v>0</v>
      </c>
      <c r="AK407" s="27">
        <f>$K407*S407*负载统计!$K$10/60</f>
        <v>0</v>
      </c>
      <c r="AL407" s="27">
        <f>$K407*T407*负载统计!$K$11/60</f>
        <v>0</v>
      </c>
    </row>
    <row r="408" spans="1:38">
      <c r="A408" s="1">
        <v>191</v>
      </c>
      <c r="B408" s="24" t="s">
        <v>1608</v>
      </c>
      <c r="C408" s="24" t="s">
        <v>1606</v>
      </c>
      <c r="D408" s="24" t="s">
        <v>1609</v>
      </c>
      <c r="E408" s="24" t="s">
        <v>1247</v>
      </c>
      <c r="F408" s="24" t="s">
        <v>1248</v>
      </c>
      <c r="G408" s="25">
        <f>VLOOKUP(A408,负载电气特性!A:G,7,FALSE)</f>
        <v>28</v>
      </c>
      <c r="H408" s="26" t="s">
        <v>61</v>
      </c>
      <c r="I408" s="25" t="s">
        <v>1706</v>
      </c>
      <c r="J408" s="25" t="s">
        <v>1707</v>
      </c>
      <c r="K408" s="25">
        <v>0.02</v>
      </c>
      <c r="L408" s="25">
        <v>1</v>
      </c>
      <c r="M408" s="25">
        <v>1</v>
      </c>
      <c r="N408" s="25">
        <v>1</v>
      </c>
      <c r="O408" s="25">
        <v>1</v>
      </c>
      <c r="P408" s="25">
        <v>1</v>
      </c>
      <c r="Q408" s="25">
        <v>1</v>
      </c>
      <c r="R408" s="25">
        <v>1</v>
      </c>
      <c r="S408" s="25">
        <v>1</v>
      </c>
      <c r="T408" s="25">
        <v>1</v>
      </c>
      <c r="U408" s="27">
        <f>_xlfn.LET(_xlpm.maxVal,_xlfn.MAXIFS($K:$K,$A:$A,A408),IF(AND(_xlpm.maxVal=K408,L408&lt;&gt;0),_xlpm.maxVal,""))</f>
        <v>0.02</v>
      </c>
      <c r="V408" s="27">
        <f>_xlfn.LET(_xlpm.maxVal,_xlfn.MAXIFS($K:$K,$A:$A,A408),IF(AND(_xlpm.maxVal=K408,M408&lt;&gt;0),_xlpm.maxVal,""))</f>
        <v>0.02</v>
      </c>
      <c r="W408" s="27">
        <f>_xlfn.LET(_xlpm.maxVal,_xlfn.MAXIFS($K:$K,$A:$A,A408),IF(AND(_xlpm.maxVal=K408,N408&lt;&gt;0),_xlpm.maxVal,""))</f>
        <v>0.02</v>
      </c>
      <c r="X408" s="27">
        <f>_xlfn.LET(_xlpm.maxVal,_xlfn.MAXIFS($K:$K,$A:$A,A408),IF(AND(_xlpm.maxVal=K408,O408&lt;&gt;0),_xlpm.maxVal,""))</f>
        <v>0.02</v>
      </c>
      <c r="Y408" s="27">
        <f>_xlfn.LET(_xlpm.maxVal,_xlfn.MAXIFS($K:$K,$A:$A,A408),IF(AND(_xlpm.maxVal=K408,P408&lt;&gt;0),_xlpm.maxVal,""))</f>
        <v>0.02</v>
      </c>
      <c r="Z408" s="27">
        <f>_xlfn.LET(_xlpm.maxVal,_xlfn.MAXIFS($K:$K,$A:$A,A408),IF(AND(_xlpm.maxVal=K408,Q408&lt;&gt;0),_xlpm.maxVal,""))</f>
        <v>0.02</v>
      </c>
      <c r="AA408" s="27">
        <f>_xlfn.LET(_xlpm.maxVal,_xlfn.MAXIFS($K:$K,$A:$A,A408),IF(AND(_xlpm.maxVal=K408,R408&lt;&gt;0),_xlpm.maxVal,""))</f>
        <v>0.02</v>
      </c>
      <c r="AB408" s="27">
        <f>_xlfn.LET(_xlpm.maxVal,_xlfn.MAXIFS($K:$K,$A:$A,A408),IF(AND(_xlpm.maxVal=K408,S408&lt;&gt;0),_xlpm.maxVal,""))</f>
        <v>0.02</v>
      </c>
      <c r="AC408" s="27">
        <f>_xlfn.LET(_xlpm.maxVal,_xlfn.MAXIFS($K:$K,$A:$A,A408),IF(AND(_xlpm.maxVal=K408,T408&lt;&gt;0),_xlpm.maxVal,""))</f>
        <v>0.02</v>
      </c>
      <c r="AD408" s="27">
        <f>$K408*L408*负载统计!$K$3/60</f>
        <v>0</v>
      </c>
      <c r="AE408" s="27">
        <f>$K408*L408*负载统计!$K$4/60</f>
        <v>0</v>
      </c>
      <c r="AF408" s="27">
        <f>$K408*N408*负载统计!$K$5/60</f>
        <v>0.000333333333333333</v>
      </c>
      <c r="AG408" s="27">
        <f>$K408*O408*负载统计!$K$6/60</f>
        <v>0.001</v>
      </c>
      <c r="AH408" s="27">
        <f>$K408*P408*负载统计!$K$7/60</f>
        <v>0.00225666666666667</v>
      </c>
      <c r="AI408" s="27">
        <f>$K408*Q408*负载统计!$K$8/60</f>
        <v>0.0145333333333333</v>
      </c>
      <c r="AJ408" s="27">
        <f>$K408*R408*负载统计!$K$9/60</f>
        <v>0.00461666666666667</v>
      </c>
      <c r="AK408" s="27">
        <f>$K408*S408*负载统计!$K$10/60</f>
        <v>0.000166666666666667</v>
      </c>
      <c r="AL408" s="27">
        <f>$K408*T408*负载统计!$K$11/60</f>
        <v>0.00133333333333333</v>
      </c>
    </row>
    <row r="409" spans="1:38">
      <c r="A409" s="1">
        <v>191</v>
      </c>
      <c r="B409" s="24" t="s">
        <v>1608</v>
      </c>
      <c r="C409" s="24" t="s">
        <v>1606</v>
      </c>
      <c r="D409" s="24" t="s">
        <v>1609</v>
      </c>
      <c r="E409" s="24" t="s">
        <v>1247</v>
      </c>
      <c r="F409" s="24" t="s">
        <v>1248</v>
      </c>
      <c r="G409" s="25">
        <f>VLOOKUP(A409,负载电气特性!A:G,7,FALSE)</f>
        <v>28</v>
      </c>
      <c r="H409" s="26" t="s">
        <v>61</v>
      </c>
      <c r="I409" s="25" t="s">
        <v>1706</v>
      </c>
      <c r="J409" s="25" t="s">
        <v>1708</v>
      </c>
      <c r="K409" s="25">
        <v>0</v>
      </c>
      <c r="L409" s="25">
        <v>0</v>
      </c>
      <c r="M409" s="25">
        <v>0</v>
      </c>
      <c r="N409" s="25">
        <v>0</v>
      </c>
      <c r="O409" s="25">
        <v>0</v>
      </c>
      <c r="P409" s="25">
        <v>0</v>
      </c>
      <c r="Q409" s="25">
        <v>0</v>
      </c>
      <c r="R409" s="25">
        <v>0</v>
      </c>
      <c r="S409" s="25">
        <v>0</v>
      </c>
      <c r="T409" s="25">
        <v>0</v>
      </c>
      <c r="U409" s="27" t="str">
        <f>_xlfn.LET(_xlpm.maxVal,_xlfn.MAXIFS($K:$K,$A:$A,A409),IF(AND(_xlpm.maxVal=K409,L409&lt;&gt;0),_xlpm.maxVal,""))</f>
        <v/>
      </c>
      <c r="V409" s="27" t="str">
        <f>_xlfn.LET(_xlpm.maxVal,_xlfn.MAXIFS($K:$K,$A:$A,A409),IF(AND(_xlpm.maxVal=K409,M409&lt;&gt;0),_xlpm.maxVal,""))</f>
        <v/>
      </c>
      <c r="W409" s="27" t="str">
        <f>_xlfn.LET(_xlpm.maxVal,_xlfn.MAXIFS($K:$K,$A:$A,A409),IF(AND(_xlpm.maxVal=K409,N409&lt;&gt;0),_xlpm.maxVal,""))</f>
        <v/>
      </c>
      <c r="X409" s="27" t="str">
        <f>_xlfn.LET(_xlpm.maxVal,_xlfn.MAXIFS($K:$K,$A:$A,A409),IF(AND(_xlpm.maxVal=K409,O409&lt;&gt;0),_xlpm.maxVal,""))</f>
        <v/>
      </c>
      <c r="Y409" s="27" t="str">
        <f>_xlfn.LET(_xlpm.maxVal,_xlfn.MAXIFS($K:$K,$A:$A,A409),IF(AND(_xlpm.maxVal=K409,P409&lt;&gt;0),_xlpm.maxVal,""))</f>
        <v/>
      </c>
      <c r="Z409" s="27" t="str">
        <f>_xlfn.LET(_xlpm.maxVal,_xlfn.MAXIFS($K:$K,$A:$A,A409),IF(AND(_xlpm.maxVal=K409,Q409&lt;&gt;0),_xlpm.maxVal,""))</f>
        <v/>
      </c>
      <c r="AA409" s="27" t="str">
        <f>_xlfn.LET(_xlpm.maxVal,_xlfn.MAXIFS($K:$K,$A:$A,A409),IF(AND(_xlpm.maxVal=K409,R409&lt;&gt;0),_xlpm.maxVal,""))</f>
        <v/>
      </c>
      <c r="AB409" s="27" t="str">
        <f>_xlfn.LET(_xlpm.maxVal,_xlfn.MAXIFS($K:$K,$A:$A,A409),IF(AND(_xlpm.maxVal=K409,S409&lt;&gt;0),_xlpm.maxVal,""))</f>
        <v/>
      </c>
      <c r="AC409" s="27" t="str">
        <f>_xlfn.LET(_xlpm.maxVal,_xlfn.MAXIFS($K:$K,$A:$A,A409),IF(AND(_xlpm.maxVal=K409,T409&lt;&gt;0),_xlpm.maxVal,""))</f>
        <v/>
      </c>
      <c r="AD409" s="27">
        <f>$K409*L409*负载统计!$K$3/60</f>
        <v>0</v>
      </c>
      <c r="AE409" s="27">
        <f>$K409*L409*负载统计!$K$4/60</f>
        <v>0</v>
      </c>
      <c r="AF409" s="27">
        <f>$K409*N409*负载统计!$K$5/60</f>
        <v>0</v>
      </c>
      <c r="AG409" s="27">
        <f>$K409*O409*负载统计!$K$6/60</f>
        <v>0</v>
      </c>
      <c r="AH409" s="27">
        <f>$K409*P409*负载统计!$K$7/60</f>
        <v>0</v>
      </c>
      <c r="AI409" s="27">
        <f>$K409*Q409*负载统计!$K$8/60</f>
        <v>0</v>
      </c>
      <c r="AJ409" s="27">
        <f>$K409*R409*负载统计!$K$9/60</f>
        <v>0</v>
      </c>
      <c r="AK409" s="27">
        <f>$K409*S409*负载统计!$K$10/60</f>
        <v>0</v>
      </c>
      <c r="AL409" s="27">
        <f>$K409*T409*负载统计!$K$11/60</f>
        <v>0</v>
      </c>
    </row>
    <row r="410" spans="1:38">
      <c r="A410" s="1">
        <v>192</v>
      </c>
      <c r="B410" s="24" t="s">
        <v>1610</v>
      </c>
      <c r="C410" s="24" t="s">
        <v>1606</v>
      </c>
      <c r="D410" s="24" t="s">
        <v>1611</v>
      </c>
      <c r="E410" s="24" t="s">
        <v>1244</v>
      </c>
      <c r="F410" s="24" t="s">
        <v>1250</v>
      </c>
      <c r="G410" s="25">
        <f>VLOOKUP(A410,负载电气特性!A:G,7,FALSE)</f>
        <v>28</v>
      </c>
      <c r="H410" s="26" t="s">
        <v>61</v>
      </c>
      <c r="I410" s="25" t="s">
        <v>1706</v>
      </c>
      <c r="J410" s="25" t="s">
        <v>1707</v>
      </c>
      <c r="K410" s="25">
        <v>0.02</v>
      </c>
      <c r="L410" s="25">
        <v>1</v>
      </c>
      <c r="M410" s="25">
        <v>1</v>
      </c>
      <c r="N410" s="25">
        <v>1</v>
      </c>
      <c r="O410" s="25">
        <v>1</v>
      </c>
      <c r="P410" s="25">
        <v>1</v>
      </c>
      <c r="Q410" s="25">
        <v>1</v>
      </c>
      <c r="R410" s="25">
        <v>1</v>
      </c>
      <c r="S410" s="25">
        <v>1</v>
      </c>
      <c r="T410" s="25">
        <v>1</v>
      </c>
      <c r="U410" s="27">
        <f>_xlfn.LET(_xlpm.maxVal,_xlfn.MAXIFS($K:$K,$A:$A,A410),IF(AND(_xlpm.maxVal=K410,L410&lt;&gt;0),_xlpm.maxVal,""))</f>
        <v>0.02</v>
      </c>
      <c r="V410" s="27">
        <f>_xlfn.LET(_xlpm.maxVal,_xlfn.MAXIFS($K:$K,$A:$A,A410),IF(AND(_xlpm.maxVal=K410,M410&lt;&gt;0),_xlpm.maxVal,""))</f>
        <v>0.02</v>
      </c>
      <c r="W410" s="27">
        <f>_xlfn.LET(_xlpm.maxVal,_xlfn.MAXIFS($K:$K,$A:$A,A410),IF(AND(_xlpm.maxVal=K410,N410&lt;&gt;0),_xlpm.maxVal,""))</f>
        <v>0.02</v>
      </c>
      <c r="X410" s="27">
        <f>_xlfn.LET(_xlpm.maxVal,_xlfn.MAXIFS($K:$K,$A:$A,A410),IF(AND(_xlpm.maxVal=K410,O410&lt;&gt;0),_xlpm.maxVal,""))</f>
        <v>0.02</v>
      </c>
      <c r="Y410" s="27">
        <f>_xlfn.LET(_xlpm.maxVal,_xlfn.MAXIFS($K:$K,$A:$A,A410),IF(AND(_xlpm.maxVal=K410,P410&lt;&gt;0),_xlpm.maxVal,""))</f>
        <v>0.02</v>
      </c>
      <c r="Z410" s="27">
        <f>_xlfn.LET(_xlpm.maxVal,_xlfn.MAXIFS($K:$K,$A:$A,A410),IF(AND(_xlpm.maxVal=K410,Q410&lt;&gt;0),_xlpm.maxVal,""))</f>
        <v>0.02</v>
      </c>
      <c r="AA410" s="27">
        <f>_xlfn.LET(_xlpm.maxVal,_xlfn.MAXIFS($K:$K,$A:$A,A410),IF(AND(_xlpm.maxVal=K410,R410&lt;&gt;0),_xlpm.maxVal,""))</f>
        <v>0.02</v>
      </c>
      <c r="AB410" s="27">
        <f>_xlfn.LET(_xlpm.maxVal,_xlfn.MAXIFS($K:$K,$A:$A,A410),IF(AND(_xlpm.maxVal=K410,S410&lt;&gt;0),_xlpm.maxVal,""))</f>
        <v>0.02</v>
      </c>
      <c r="AC410" s="27">
        <f>_xlfn.LET(_xlpm.maxVal,_xlfn.MAXIFS($K:$K,$A:$A,A410),IF(AND(_xlpm.maxVal=K410,T410&lt;&gt;0),_xlpm.maxVal,""))</f>
        <v>0.02</v>
      </c>
      <c r="AD410" s="27">
        <f>$K410*L410*负载统计!$K$3/60</f>
        <v>0</v>
      </c>
      <c r="AE410" s="27">
        <f>$K410*L410*负载统计!$K$4/60</f>
        <v>0</v>
      </c>
      <c r="AF410" s="27">
        <f>$K410*N410*负载统计!$K$5/60</f>
        <v>0.000333333333333333</v>
      </c>
      <c r="AG410" s="27">
        <f>$K410*O410*负载统计!$K$6/60</f>
        <v>0.001</v>
      </c>
      <c r="AH410" s="27">
        <f>$K410*P410*负载统计!$K$7/60</f>
        <v>0.00225666666666667</v>
      </c>
      <c r="AI410" s="27">
        <f>$K410*Q410*负载统计!$K$8/60</f>
        <v>0.0145333333333333</v>
      </c>
      <c r="AJ410" s="27">
        <f>$K410*R410*负载统计!$K$9/60</f>
        <v>0.00461666666666667</v>
      </c>
      <c r="AK410" s="27">
        <f>$K410*S410*负载统计!$K$10/60</f>
        <v>0.000166666666666667</v>
      </c>
      <c r="AL410" s="27">
        <f>$K410*T410*负载统计!$K$11/60</f>
        <v>0.00133333333333333</v>
      </c>
    </row>
    <row r="411" spans="1:38">
      <c r="A411" s="1">
        <v>192</v>
      </c>
      <c r="B411" s="24" t="s">
        <v>1610</v>
      </c>
      <c r="C411" s="24" t="s">
        <v>1606</v>
      </c>
      <c r="D411" s="24" t="s">
        <v>1611</v>
      </c>
      <c r="E411" s="24" t="s">
        <v>1244</v>
      </c>
      <c r="F411" s="24" t="s">
        <v>1250</v>
      </c>
      <c r="G411" s="25">
        <f>VLOOKUP(A411,负载电气特性!A:G,7,FALSE)</f>
        <v>28</v>
      </c>
      <c r="H411" s="26" t="s">
        <v>61</v>
      </c>
      <c r="I411" s="25" t="s">
        <v>1706</v>
      </c>
      <c r="J411" s="25" t="s">
        <v>1708</v>
      </c>
      <c r="K411" s="25">
        <v>0</v>
      </c>
      <c r="L411" s="25">
        <v>0</v>
      </c>
      <c r="M411" s="25">
        <v>0</v>
      </c>
      <c r="N411" s="25">
        <v>0</v>
      </c>
      <c r="O411" s="25">
        <v>0</v>
      </c>
      <c r="P411" s="25">
        <v>0</v>
      </c>
      <c r="Q411" s="25">
        <v>0</v>
      </c>
      <c r="R411" s="25">
        <v>0</v>
      </c>
      <c r="S411" s="25">
        <v>0</v>
      </c>
      <c r="T411" s="25">
        <v>0</v>
      </c>
      <c r="U411" s="27" t="str">
        <f>_xlfn.LET(_xlpm.maxVal,_xlfn.MAXIFS($K:$K,$A:$A,A411),IF(AND(_xlpm.maxVal=K411,L411&lt;&gt;0),_xlpm.maxVal,""))</f>
        <v/>
      </c>
      <c r="V411" s="27" t="str">
        <f>_xlfn.LET(_xlpm.maxVal,_xlfn.MAXIFS($K:$K,$A:$A,A411),IF(AND(_xlpm.maxVal=K411,M411&lt;&gt;0),_xlpm.maxVal,""))</f>
        <v/>
      </c>
      <c r="W411" s="27" t="str">
        <f>_xlfn.LET(_xlpm.maxVal,_xlfn.MAXIFS($K:$K,$A:$A,A411),IF(AND(_xlpm.maxVal=K411,N411&lt;&gt;0),_xlpm.maxVal,""))</f>
        <v/>
      </c>
      <c r="X411" s="27" t="str">
        <f>_xlfn.LET(_xlpm.maxVal,_xlfn.MAXIFS($K:$K,$A:$A,A411),IF(AND(_xlpm.maxVal=K411,O411&lt;&gt;0),_xlpm.maxVal,""))</f>
        <v/>
      </c>
      <c r="Y411" s="27" t="str">
        <f>_xlfn.LET(_xlpm.maxVal,_xlfn.MAXIFS($K:$K,$A:$A,A411),IF(AND(_xlpm.maxVal=K411,P411&lt;&gt;0),_xlpm.maxVal,""))</f>
        <v/>
      </c>
      <c r="Z411" s="27" t="str">
        <f>_xlfn.LET(_xlpm.maxVal,_xlfn.MAXIFS($K:$K,$A:$A,A411),IF(AND(_xlpm.maxVal=K411,Q411&lt;&gt;0),_xlpm.maxVal,""))</f>
        <v/>
      </c>
      <c r="AA411" s="27" t="str">
        <f>_xlfn.LET(_xlpm.maxVal,_xlfn.MAXIFS($K:$K,$A:$A,A411),IF(AND(_xlpm.maxVal=K411,R411&lt;&gt;0),_xlpm.maxVal,""))</f>
        <v/>
      </c>
      <c r="AB411" s="27" t="str">
        <f>_xlfn.LET(_xlpm.maxVal,_xlfn.MAXIFS($K:$K,$A:$A,A411),IF(AND(_xlpm.maxVal=K411,S411&lt;&gt;0),_xlpm.maxVal,""))</f>
        <v/>
      </c>
      <c r="AC411" s="27" t="str">
        <f>_xlfn.LET(_xlpm.maxVal,_xlfn.MAXIFS($K:$K,$A:$A,A411),IF(AND(_xlpm.maxVal=K411,T411&lt;&gt;0),_xlpm.maxVal,""))</f>
        <v/>
      </c>
      <c r="AD411" s="27">
        <f>$K411*L411*负载统计!$K$3/60</f>
        <v>0</v>
      </c>
      <c r="AE411" s="27">
        <f>$K411*L411*负载统计!$K$4/60</f>
        <v>0</v>
      </c>
      <c r="AF411" s="27">
        <f>$K411*N411*负载统计!$K$5/60</f>
        <v>0</v>
      </c>
      <c r="AG411" s="27">
        <f>$K411*O411*负载统计!$K$6/60</f>
        <v>0</v>
      </c>
      <c r="AH411" s="27">
        <f>$K411*P411*负载统计!$K$7/60</f>
        <v>0</v>
      </c>
      <c r="AI411" s="27">
        <f>$K411*Q411*负载统计!$K$8/60</f>
        <v>0</v>
      </c>
      <c r="AJ411" s="27">
        <f>$K411*R411*负载统计!$K$9/60</f>
        <v>0</v>
      </c>
      <c r="AK411" s="27">
        <f>$K411*S411*负载统计!$K$10/60</f>
        <v>0</v>
      </c>
      <c r="AL411" s="27">
        <f>$K411*T411*负载统计!$K$11/60</f>
        <v>0</v>
      </c>
    </row>
    <row r="412" spans="1:38">
      <c r="A412" s="1">
        <v>193</v>
      </c>
      <c r="B412" s="24" t="s">
        <v>1612</v>
      </c>
      <c r="C412" s="24" t="s">
        <v>1606</v>
      </c>
      <c r="D412" s="24" t="s">
        <v>1613</v>
      </c>
      <c r="E412" s="24" t="s">
        <v>1247</v>
      </c>
      <c r="F412" s="24" t="s">
        <v>1252</v>
      </c>
      <c r="G412" s="25">
        <f>VLOOKUP(A412,负载电气特性!A:G,7,FALSE)</f>
        <v>28</v>
      </c>
      <c r="H412" s="26" t="s">
        <v>61</v>
      </c>
      <c r="I412" s="25" t="s">
        <v>1706</v>
      </c>
      <c r="J412" s="25" t="s">
        <v>1707</v>
      </c>
      <c r="K412" s="25">
        <v>0.02</v>
      </c>
      <c r="L412" s="25">
        <v>1</v>
      </c>
      <c r="M412" s="25">
        <v>1</v>
      </c>
      <c r="N412" s="25">
        <v>1</v>
      </c>
      <c r="O412" s="25">
        <v>1</v>
      </c>
      <c r="P412" s="25">
        <v>1</v>
      </c>
      <c r="Q412" s="25">
        <v>1</v>
      </c>
      <c r="R412" s="25">
        <v>1</v>
      </c>
      <c r="S412" s="25">
        <v>1</v>
      </c>
      <c r="T412" s="25">
        <v>1</v>
      </c>
      <c r="U412" s="27">
        <f>_xlfn.LET(_xlpm.maxVal,_xlfn.MAXIFS($K:$K,$A:$A,A412),IF(AND(_xlpm.maxVal=K412,L412&lt;&gt;0),_xlpm.maxVal,""))</f>
        <v>0.02</v>
      </c>
      <c r="V412" s="27">
        <f>_xlfn.LET(_xlpm.maxVal,_xlfn.MAXIFS($K:$K,$A:$A,A412),IF(AND(_xlpm.maxVal=K412,M412&lt;&gt;0),_xlpm.maxVal,""))</f>
        <v>0.02</v>
      </c>
      <c r="W412" s="27">
        <f>_xlfn.LET(_xlpm.maxVal,_xlfn.MAXIFS($K:$K,$A:$A,A412),IF(AND(_xlpm.maxVal=K412,N412&lt;&gt;0),_xlpm.maxVal,""))</f>
        <v>0.02</v>
      </c>
      <c r="X412" s="27">
        <f>_xlfn.LET(_xlpm.maxVal,_xlfn.MAXIFS($K:$K,$A:$A,A412),IF(AND(_xlpm.maxVal=K412,O412&lt;&gt;0),_xlpm.maxVal,""))</f>
        <v>0.02</v>
      </c>
      <c r="Y412" s="27">
        <f>_xlfn.LET(_xlpm.maxVal,_xlfn.MAXIFS($K:$K,$A:$A,A412),IF(AND(_xlpm.maxVal=K412,P412&lt;&gt;0),_xlpm.maxVal,""))</f>
        <v>0.02</v>
      </c>
      <c r="Z412" s="27">
        <f>_xlfn.LET(_xlpm.maxVal,_xlfn.MAXIFS($K:$K,$A:$A,A412),IF(AND(_xlpm.maxVal=K412,Q412&lt;&gt;0),_xlpm.maxVal,""))</f>
        <v>0.02</v>
      </c>
      <c r="AA412" s="27">
        <f>_xlfn.LET(_xlpm.maxVal,_xlfn.MAXIFS($K:$K,$A:$A,A412),IF(AND(_xlpm.maxVal=K412,R412&lt;&gt;0),_xlpm.maxVal,""))</f>
        <v>0.02</v>
      </c>
      <c r="AB412" s="27">
        <f>_xlfn.LET(_xlpm.maxVal,_xlfn.MAXIFS($K:$K,$A:$A,A412),IF(AND(_xlpm.maxVal=K412,S412&lt;&gt;0),_xlpm.maxVal,""))</f>
        <v>0.02</v>
      </c>
      <c r="AC412" s="27">
        <f>_xlfn.LET(_xlpm.maxVal,_xlfn.MAXIFS($K:$K,$A:$A,A412),IF(AND(_xlpm.maxVal=K412,T412&lt;&gt;0),_xlpm.maxVal,""))</f>
        <v>0.02</v>
      </c>
      <c r="AD412" s="27">
        <f>$K412*L412*负载统计!$K$3/60</f>
        <v>0</v>
      </c>
      <c r="AE412" s="27">
        <f>$K412*L412*负载统计!$K$4/60</f>
        <v>0</v>
      </c>
      <c r="AF412" s="27">
        <f>$K412*N412*负载统计!$K$5/60</f>
        <v>0.000333333333333333</v>
      </c>
      <c r="AG412" s="27">
        <f>$K412*O412*负载统计!$K$6/60</f>
        <v>0.001</v>
      </c>
      <c r="AH412" s="27">
        <f>$K412*P412*负载统计!$K$7/60</f>
        <v>0.00225666666666667</v>
      </c>
      <c r="AI412" s="27">
        <f>$K412*Q412*负载统计!$K$8/60</f>
        <v>0.0145333333333333</v>
      </c>
      <c r="AJ412" s="27">
        <f>$K412*R412*负载统计!$K$9/60</f>
        <v>0.00461666666666667</v>
      </c>
      <c r="AK412" s="27">
        <f>$K412*S412*负载统计!$K$10/60</f>
        <v>0.000166666666666667</v>
      </c>
      <c r="AL412" s="27">
        <f>$K412*T412*负载统计!$K$11/60</f>
        <v>0.00133333333333333</v>
      </c>
    </row>
    <row r="413" spans="1:38">
      <c r="A413" s="1">
        <v>193</v>
      </c>
      <c r="B413" s="24" t="s">
        <v>1612</v>
      </c>
      <c r="C413" s="24" t="s">
        <v>1606</v>
      </c>
      <c r="D413" s="24" t="s">
        <v>1613</v>
      </c>
      <c r="E413" s="24" t="s">
        <v>1247</v>
      </c>
      <c r="F413" s="24" t="s">
        <v>1252</v>
      </c>
      <c r="G413" s="25">
        <f>VLOOKUP(A413,负载电气特性!A:G,7,FALSE)</f>
        <v>28</v>
      </c>
      <c r="H413" s="26" t="s">
        <v>61</v>
      </c>
      <c r="I413" s="25" t="s">
        <v>1706</v>
      </c>
      <c r="J413" s="25" t="s">
        <v>1708</v>
      </c>
      <c r="K413" s="25">
        <v>0</v>
      </c>
      <c r="L413" s="25">
        <v>0</v>
      </c>
      <c r="M413" s="25">
        <v>0</v>
      </c>
      <c r="N413" s="25">
        <v>0</v>
      </c>
      <c r="O413" s="25">
        <v>0</v>
      </c>
      <c r="P413" s="25">
        <v>0</v>
      </c>
      <c r="Q413" s="25">
        <v>0</v>
      </c>
      <c r="R413" s="25">
        <v>0</v>
      </c>
      <c r="S413" s="25">
        <v>0</v>
      </c>
      <c r="T413" s="25">
        <v>0</v>
      </c>
      <c r="U413" s="27" t="str">
        <f>_xlfn.LET(_xlpm.maxVal,_xlfn.MAXIFS($K:$K,$A:$A,A413),IF(AND(_xlpm.maxVal=K413,L413&lt;&gt;0),_xlpm.maxVal,""))</f>
        <v/>
      </c>
      <c r="V413" s="27" t="str">
        <f>_xlfn.LET(_xlpm.maxVal,_xlfn.MAXIFS($K:$K,$A:$A,A413),IF(AND(_xlpm.maxVal=K413,M413&lt;&gt;0),_xlpm.maxVal,""))</f>
        <v/>
      </c>
      <c r="W413" s="27" t="str">
        <f>_xlfn.LET(_xlpm.maxVal,_xlfn.MAXIFS($K:$K,$A:$A,A413),IF(AND(_xlpm.maxVal=K413,N413&lt;&gt;0),_xlpm.maxVal,""))</f>
        <v/>
      </c>
      <c r="X413" s="27" t="str">
        <f>_xlfn.LET(_xlpm.maxVal,_xlfn.MAXIFS($K:$K,$A:$A,A413),IF(AND(_xlpm.maxVal=K413,O413&lt;&gt;0),_xlpm.maxVal,""))</f>
        <v/>
      </c>
      <c r="Y413" s="27" t="str">
        <f>_xlfn.LET(_xlpm.maxVal,_xlfn.MAXIFS($K:$K,$A:$A,A413),IF(AND(_xlpm.maxVal=K413,P413&lt;&gt;0),_xlpm.maxVal,""))</f>
        <v/>
      </c>
      <c r="Z413" s="27" t="str">
        <f>_xlfn.LET(_xlpm.maxVal,_xlfn.MAXIFS($K:$K,$A:$A,A413),IF(AND(_xlpm.maxVal=K413,Q413&lt;&gt;0),_xlpm.maxVal,""))</f>
        <v/>
      </c>
      <c r="AA413" s="27" t="str">
        <f>_xlfn.LET(_xlpm.maxVal,_xlfn.MAXIFS($K:$K,$A:$A,A413),IF(AND(_xlpm.maxVal=K413,R413&lt;&gt;0),_xlpm.maxVal,""))</f>
        <v/>
      </c>
      <c r="AB413" s="27" t="str">
        <f>_xlfn.LET(_xlpm.maxVal,_xlfn.MAXIFS($K:$K,$A:$A,A413),IF(AND(_xlpm.maxVal=K413,S413&lt;&gt;0),_xlpm.maxVal,""))</f>
        <v/>
      </c>
      <c r="AC413" s="27" t="str">
        <f>_xlfn.LET(_xlpm.maxVal,_xlfn.MAXIFS($K:$K,$A:$A,A413),IF(AND(_xlpm.maxVal=K413,T413&lt;&gt;0),_xlpm.maxVal,""))</f>
        <v/>
      </c>
      <c r="AD413" s="27">
        <f>$K413*L413*负载统计!$K$3/60</f>
        <v>0</v>
      </c>
      <c r="AE413" s="27">
        <f>$K413*L413*负载统计!$K$4/60</f>
        <v>0</v>
      </c>
      <c r="AF413" s="27">
        <f>$K413*N413*负载统计!$K$5/60</f>
        <v>0</v>
      </c>
      <c r="AG413" s="27">
        <f>$K413*O413*负载统计!$K$6/60</f>
        <v>0</v>
      </c>
      <c r="AH413" s="27">
        <f>$K413*P413*负载统计!$K$7/60</f>
        <v>0</v>
      </c>
      <c r="AI413" s="27">
        <f>$K413*Q413*负载统计!$K$8/60</f>
        <v>0</v>
      </c>
      <c r="AJ413" s="27">
        <f>$K413*R413*负载统计!$K$9/60</f>
        <v>0</v>
      </c>
      <c r="AK413" s="27">
        <f>$K413*S413*负载统计!$K$10/60</f>
        <v>0</v>
      </c>
      <c r="AL413" s="27">
        <f>$K413*T413*负载统计!$K$11/60</f>
        <v>0</v>
      </c>
    </row>
    <row r="414" spans="1:38">
      <c r="A414" s="1">
        <v>194</v>
      </c>
      <c r="B414" s="24" t="s">
        <v>1614</v>
      </c>
      <c r="C414" s="24" t="s">
        <v>1606</v>
      </c>
      <c r="D414" s="24" t="s">
        <v>1253</v>
      </c>
      <c r="E414" s="24" t="s">
        <v>1254</v>
      </c>
      <c r="F414" s="24" t="s">
        <v>1255</v>
      </c>
      <c r="G414" s="25">
        <f>VLOOKUP(A414,负载电气特性!A:G,7,FALSE)</f>
        <v>28</v>
      </c>
      <c r="H414" s="26" t="s">
        <v>61</v>
      </c>
      <c r="I414" s="25" t="s">
        <v>1706</v>
      </c>
      <c r="J414" s="25" t="s">
        <v>1707</v>
      </c>
      <c r="K414" s="25">
        <v>0.11</v>
      </c>
      <c r="L414" s="25">
        <v>1</v>
      </c>
      <c r="M414" s="25">
        <v>1</v>
      </c>
      <c r="N414" s="25">
        <v>1</v>
      </c>
      <c r="O414" s="25">
        <v>1</v>
      </c>
      <c r="P414" s="25">
        <v>1</v>
      </c>
      <c r="Q414" s="25">
        <v>1</v>
      </c>
      <c r="R414" s="25">
        <v>1</v>
      </c>
      <c r="S414" s="25">
        <v>1</v>
      </c>
      <c r="T414" s="25">
        <v>1</v>
      </c>
      <c r="U414" s="27">
        <f>_xlfn.LET(_xlpm.maxVal,_xlfn.MAXIFS($K:$K,$A:$A,A414),IF(AND(_xlpm.maxVal=K414,L414&lt;&gt;0),_xlpm.maxVal,""))</f>
        <v>0.11</v>
      </c>
      <c r="V414" s="27">
        <f>_xlfn.LET(_xlpm.maxVal,_xlfn.MAXIFS($K:$K,$A:$A,A414),IF(AND(_xlpm.maxVal=K414,M414&lt;&gt;0),_xlpm.maxVal,""))</f>
        <v>0.11</v>
      </c>
      <c r="W414" s="27">
        <f>_xlfn.LET(_xlpm.maxVal,_xlfn.MAXIFS($K:$K,$A:$A,A414),IF(AND(_xlpm.maxVal=K414,N414&lt;&gt;0),_xlpm.maxVal,""))</f>
        <v>0.11</v>
      </c>
      <c r="X414" s="27">
        <f>_xlfn.LET(_xlpm.maxVal,_xlfn.MAXIFS($K:$K,$A:$A,A414),IF(AND(_xlpm.maxVal=K414,O414&lt;&gt;0),_xlpm.maxVal,""))</f>
        <v>0.11</v>
      </c>
      <c r="Y414" s="27">
        <f>_xlfn.LET(_xlpm.maxVal,_xlfn.MAXIFS($K:$K,$A:$A,A414),IF(AND(_xlpm.maxVal=K414,P414&lt;&gt;0),_xlpm.maxVal,""))</f>
        <v>0.11</v>
      </c>
      <c r="Z414" s="27">
        <f>_xlfn.LET(_xlpm.maxVal,_xlfn.MAXIFS($K:$K,$A:$A,A414),IF(AND(_xlpm.maxVal=K414,Q414&lt;&gt;0),_xlpm.maxVal,""))</f>
        <v>0.11</v>
      </c>
      <c r="AA414" s="27">
        <f>_xlfn.LET(_xlpm.maxVal,_xlfn.MAXIFS($K:$K,$A:$A,A414),IF(AND(_xlpm.maxVal=K414,R414&lt;&gt;0),_xlpm.maxVal,""))</f>
        <v>0.11</v>
      </c>
      <c r="AB414" s="27">
        <f>_xlfn.LET(_xlpm.maxVal,_xlfn.MAXIFS($K:$K,$A:$A,A414),IF(AND(_xlpm.maxVal=K414,S414&lt;&gt;0),_xlpm.maxVal,""))</f>
        <v>0.11</v>
      </c>
      <c r="AC414" s="27">
        <f>_xlfn.LET(_xlpm.maxVal,_xlfn.MAXIFS($K:$K,$A:$A,A414),IF(AND(_xlpm.maxVal=K414,T414&lt;&gt;0),_xlpm.maxVal,""))</f>
        <v>0.11</v>
      </c>
      <c r="AD414" s="27">
        <f>$K414*L414*负载统计!$K$3/60</f>
        <v>0</v>
      </c>
      <c r="AE414" s="27">
        <f>$K414*L414*负载统计!$K$4/60</f>
        <v>0</v>
      </c>
      <c r="AF414" s="27">
        <f>$K414*N414*负载统计!$K$5/60</f>
        <v>0.00183333333333333</v>
      </c>
      <c r="AG414" s="27">
        <f>$K414*O414*负载统计!$K$6/60</f>
        <v>0.0055</v>
      </c>
      <c r="AH414" s="27">
        <f>$K414*P414*负载统计!$K$7/60</f>
        <v>0.0124116666666667</v>
      </c>
      <c r="AI414" s="27">
        <f>$K414*Q414*负载统计!$K$8/60</f>
        <v>0.0799333333333333</v>
      </c>
      <c r="AJ414" s="27">
        <f>$K414*R414*负载统计!$K$9/60</f>
        <v>0.0253916666666667</v>
      </c>
      <c r="AK414" s="27">
        <f>$K414*S414*负载统计!$K$10/60</f>
        <v>0.000916666666666667</v>
      </c>
      <c r="AL414" s="27">
        <f>$K414*T414*负载统计!$K$11/60</f>
        <v>0.00733333333333333</v>
      </c>
    </row>
    <row r="415" spans="1:38">
      <c r="A415" s="1">
        <v>194</v>
      </c>
      <c r="B415" s="24" t="s">
        <v>1614</v>
      </c>
      <c r="C415" s="24" t="s">
        <v>1606</v>
      </c>
      <c r="D415" s="24" t="s">
        <v>1253</v>
      </c>
      <c r="E415" s="24" t="s">
        <v>1254</v>
      </c>
      <c r="F415" s="24" t="s">
        <v>1255</v>
      </c>
      <c r="G415" s="25">
        <f>VLOOKUP(A415,负载电气特性!A:G,7,FALSE)</f>
        <v>28</v>
      </c>
      <c r="H415" s="26" t="s">
        <v>61</v>
      </c>
      <c r="I415" s="25" t="s">
        <v>1706</v>
      </c>
      <c r="J415" s="25" t="s">
        <v>1708</v>
      </c>
      <c r="K415" s="25">
        <v>0</v>
      </c>
      <c r="L415" s="25">
        <v>0</v>
      </c>
      <c r="M415" s="25">
        <v>0</v>
      </c>
      <c r="N415" s="25">
        <v>0</v>
      </c>
      <c r="O415" s="25">
        <v>0</v>
      </c>
      <c r="P415" s="25">
        <v>0</v>
      </c>
      <c r="Q415" s="25">
        <v>0</v>
      </c>
      <c r="R415" s="25">
        <v>0</v>
      </c>
      <c r="S415" s="25">
        <v>0</v>
      </c>
      <c r="T415" s="25">
        <v>0</v>
      </c>
      <c r="U415" s="27" t="str">
        <f>_xlfn.LET(_xlpm.maxVal,_xlfn.MAXIFS($K:$K,$A:$A,A415),IF(AND(_xlpm.maxVal=K415,L415&lt;&gt;0),_xlpm.maxVal,""))</f>
        <v/>
      </c>
      <c r="V415" s="27" t="str">
        <f>_xlfn.LET(_xlpm.maxVal,_xlfn.MAXIFS($K:$K,$A:$A,A415),IF(AND(_xlpm.maxVal=K415,M415&lt;&gt;0),_xlpm.maxVal,""))</f>
        <v/>
      </c>
      <c r="W415" s="27" t="str">
        <f>_xlfn.LET(_xlpm.maxVal,_xlfn.MAXIFS($K:$K,$A:$A,A415),IF(AND(_xlpm.maxVal=K415,N415&lt;&gt;0),_xlpm.maxVal,""))</f>
        <v/>
      </c>
      <c r="X415" s="27" t="str">
        <f>_xlfn.LET(_xlpm.maxVal,_xlfn.MAXIFS($K:$K,$A:$A,A415),IF(AND(_xlpm.maxVal=K415,O415&lt;&gt;0),_xlpm.maxVal,""))</f>
        <v/>
      </c>
      <c r="Y415" s="27" t="str">
        <f>_xlfn.LET(_xlpm.maxVal,_xlfn.MAXIFS($K:$K,$A:$A,A415),IF(AND(_xlpm.maxVal=K415,P415&lt;&gt;0),_xlpm.maxVal,""))</f>
        <v/>
      </c>
      <c r="Z415" s="27" t="str">
        <f>_xlfn.LET(_xlpm.maxVal,_xlfn.MAXIFS($K:$K,$A:$A,A415),IF(AND(_xlpm.maxVal=K415,Q415&lt;&gt;0),_xlpm.maxVal,""))</f>
        <v/>
      </c>
      <c r="AA415" s="27" t="str">
        <f>_xlfn.LET(_xlpm.maxVal,_xlfn.MAXIFS($K:$K,$A:$A,A415),IF(AND(_xlpm.maxVal=K415,R415&lt;&gt;0),_xlpm.maxVal,""))</f>
        <v/>
      </c>
      <c r="AB415" s="27" t="str">
        <f>_xlfn.LET(_xlpm.maxVal,_xlfn.MAXIFS($K:$K,$A:$A,A415),IF(AND(_xlpm.maxVal=K415,S415&lt;&gt;0),_xlpm.maxVal,""))</f>
        <v/>
      </c>
      <c r="AC415" s="27" t="str">
        <f>_xlfn.LET(_xlpm.maxVal,_xlfn.MAXIFS($K:$K,$A:$A,A415),IF(AND(_xlpm.maxVal=K415,T415&lt;&gt;0),_xlpm.maxVal,""))</f>
        <v/>
      </c>
      <c r="AD415" s="27">
        <f>$K415*L415*负载统计!$K$3/60</f>
        <v>0</v>
      </c>
      <c r="AE415" s="27">
        <f>$K415*L415*负载统计!$K$4/60</f>
        <v>0</v>
      </c>
      <c r="AF415" s="27">
        <f>$K415*N415*负载统计!$K$5/60</f>
        <v>0</v>
      </c>
      <c r="AG415" s="27">
        <f>$K415*O415*负载统计!$K$6/60</f>
        <v>0</v>
      </c>
      <c r="AH415" s="27">
        <f>$K415*P415*负载统计!$K$7/60</f>
        <v>0</v>
      </c>
      <c r="AI415" s="27">
        <f>$K415*Q415*负载统计!$K$8/60</f>
        <v>0</v>
      </c>
      <c r="AJ415" s="27">
        <f>$K415*R415*负载统计!$K$9/60</f>
        <v>0</v>
      </c>
      <c r="AK415" s="27">
        <f>$K415*S415*负载统计!$K$10/60</f>
        <v>0</v>
      </c>
      <c r="AL415" s="27">
        <f>$K415*T415*负载统计!$K$11/60</f>
        <v>0</v>
      </c>
    </row>
    <row r="416" spans="1:38">
      <c r="A416" s="1">
        <v>195</v>
      </c>
      <c r="B416" s="24" t="s">
        <v>1615</v>
      </c>
      <c r="C416" s="24" t="s">
        <v>1616</v>
      </c>
      <c r="D416" s="24" t="s">
        <v>1617</v>
      </c>
      <c r="E416" s="24" t="s">
        <v>1258</v>
      </c>
      <c r="F416" s="24" t="s">
        <v>1259</v>
      </c>
      <c r="G416" s="25">
        <f>VLOOKUP(A416,负载电气特性!A:G,7,FALSE)</f>
        <v>28</v>
      </c>
      <c r="H416" s="26" t="s">
        <v>66</v>
      </c>
      <c r="I416" s="25" t="s">
        <v>1706</v>
      </c>
      <c r="J416" s="25" t="s">
        <v>1707</v>
      </c>
      <c r="K416" s="25">
        <v>0.03</v>
      </c>
      <c r="L416" s="25">
        <v>0.15</v>
      </c>
      <c r="M416" s="25">
        <v>0.15</v>
      </c>
      <c r="N416" s="25">
        <v>0.15</v>
      </c>
      <c r="O416" s="25">
        <v>0.15</v>
      </c>
      <c r="P416" s="25">
        <v>0.15</v>
      </c>
      <c r="Q416" s="25">
        <v>0.15</v>
      </c>
      <c r="R416" s="25">
        <v>0.15</v>
      </c>
      <c r="S416" s="25">
        <v>0.15</v>
      </c>
      <c r="T416" s="25">
        <v>0.15</v>
      </c>
      <c r="U416" s="27">
        <f>_xlfn.LET(_xlpm.maxVal,_xlfn.MAXIFS($K:$K,$A:$A,A416),IF(AND(_xlpm.maxVal=K416,L416&lt;&gt;0),_xlpm.maxVal,""))</f>
        <v>0.03</v>
      </c>
      <c r="V416" s="27">
        <f>_xlfn.LET(_xlpm.maxVal,_xlfn.MAXIFS($K:$K,$A:$A,A416),IF(AND(_xlpm.maxVal=K416,M416&lt;&gt;0),_xlpm.maxVal,""))</f>
        <v>0.03</v>
      </c>
      <c r="W416" s="27">
        <f>_xlfn.LET(_xlpm.maxVal,_xlfn.MAXIFS($K:$K,$A:$A,A416),IF(AND(_xlpm.maxVal=K416,N416&lt;&gt;0),_xlpm.maxVal,""))</f>
        <v>0.03</v>
      </c>
      <c r="X416" s="27">
        <f>_xlfn.LET(_xlpm.maxVal,_xlfn.MAXIFS($K:$K,$A:$A,A416),IF(AND(_xlpm.maxVal=K416,O416&lt;&gt;0),_xlpm.maxVal,""))</f>
        <v>0.03</v>
      </c>
      <c r="Y416" s="27">
        <f>_xlfn.LET(_xlpm.maxVal,_xlfn.MAXIFS($K:$K,$A:$A,A416),IF(AND(_xlpm.maxVal=K416,P416&lt;&gt;0),_xlpm.maxVal,""))</f>
        <v>0.03</v>
      </c>
      <c r="Z416" s="27">
        <f>_xlfn.LET(_xlpm.maxVal,_xlfn.MAXIFS($K:$K,$A:$A,A416),IF(AND(_xlpm.maxVal=K416,Q416&lt;&gt;0),_xlpm.maxVal,""))</f>
        <v>0.03</v>
      </c>
      <c r="AA416" s="27">
        <f>_xlfn.LET(_xlpm.maxVal,_xlfn.MAXIFS($K:$K,$A:$A,A416),IF(AND(_xlpm.maxVal=K416,R416&lt;&gt;0),_xlpm.maxVal,""))</f>
        <v>0.03</v>
      </c>
      <c r="AB416" s="27">
        <f>_xlfn.LET(_xlpm.maxVal,_xlfn.MAXIFS($K:$K,$A:$A,A416),IF(AND(_xlpm.maxVal=K416,S416&lt;&gt;0),_xlpm.maxVal,""))</f>
        <v>0.03</v>
      </c>
      <c r="AC416" s="27">
        <f>_xlfn.LET(_xlpm.maxVal,_xlfn.MAXIFS($K:$K,$A:$A,A416),IF(AND(_xlpm.maxVal=K416,T416&lt;&gt;0),_xlpm.maxVal,""))</f>
        <v>0.03</v>
      </c>
      <c r="AD416" s="27">
        <f>$K416*L416*负载统计!$K$3/60</f>
        <v>0</v>
      </c>
      <c r="AE416" s="27">
        <f>$K416*L416*负载统计!$K$4/60</f>
        <v>0</v>
      </c>
      <c r="AF416" s="27">
        <f>$K416*N416*负载统计!$K$5/60</f>
        <v>7.5e-5</v>
      </c>
      <c r="AG416" s="27">
        <f>$K416*O416*负载统计!$K$6/60</f>
        <v>0.000225</v>
      </c>
      <c r="AH416" s="27">
        <f>$K416*P416*负载统计!$K$7/60</f>
        <v>0.00050775</v>
      </c>
      <c r="AI416" s="27">
        <f>$K416*Q416*负载统计!$K$8/60</f>
        <v>0.00327</v>
      </c>
      <c r="AJ416" s="27">
        <f>$K416*R416*负载统计!$K$9/60</f>
        <v>0.00103875</v>
      </c>
      <c r="AK416" s="27">
        <f>$K416*S416*负载统计!$K$10/60</f>
        <v>3.75e-5</v>
      </c>
      <c r="AL416" s="27">
        <f>$K416*T416*负载统计!$K$11/60</f>
        <v>0.0003</v>
      </c>
    </row>
    <row r="417" spans="1:38">
      <c r="A417" s="1">
        <v>195</v>
      </c>
      <c r="B417" s="24" t="s">
        <v>1615</v>
      </c>
      <c r="C417" s="24" t="s">
        <v>1616</v>
      </c>
      <c r="D417" s="24" t="s">
        <v>1617</v>
      </c>
      <c r="E417" s="24" t="s">
        <v>1258</v>
      </c>
      <c r="F417" s="24" t="s">
        <v>1259</v>
      </c>
      <c r="G417" s="25">
        <f>VLOOKUP(A417,负载电气特性!A:G,7,FALSE)</f>
        <v>28</v>
      </c>
      <c r="H417" s="26" t="s">
        <v>66</v>
      </c>
      <c r="I417" s="25" t="s">
        <v>1706</v>
      </c>
      <c r="J417" s="25" t="s">
        <v>1708</v>
      </c>
      <c r="K417" s="25">
        <v>0</v>
      </c>
      <c r="L417" s="25">
        <v>0.85</v>
      </c>
      <c r="M417" s="25">
        <v>0.85</v>
      </c>
      <c r="N417" s="25">
        <v>0.85</v>
      </c>
      <c r="O417" s="25">
        <v>0.85</v>
      </c>
      <c r="P417" s="25">
        <v>0.85</v>
      </c>
      <c r="Q417" s="25">
        <v>0.85</v>
      </c>
      <c r="R417" s="25">
        <v>0.85</v>
      </c>
      <c r="S417" s="25">
        <v>0.85</v>
      </c>
      <c r="T417" s="25">
        <v>0.85</v>
      </c>
      <c r="U417" s="27" t="str">
        <f>_xlfn.LET(_xlpm.maxVal,_xlfn.MAXIFS($K:$K,$A:$A,A417),IF(AND(_xlpm.maxVal=K417,L417&lt;&gt;0),_xlpm.maxVal,""))</f>
        <v/>
      </c>
      <c r="V417" s="27" t="str">
        <f>_xlfn.LET(_xlpm.maxVal,_xlfn.MAXIFS($K:$K,$A:$A,A417),IF(AND(_xlpm.maxVal=K417,M417&lt;&gt;0),_xlpm.maxVal,""))</f>
        <v/>
      </c>
      <c r="W417" s="27" t="str">
        <f>_xlfn.LET(_xlpm.maxVal,_xlfn.MAXIFS($K:$K,$A:$A,A417),IF(AND(_xlpm.maxVal=K417,N417&lt;&gt;0),_xlpm.maxVal,""))</f>
        <v/>
      </c>
      <c r="X417" s="27" t="str">
        <f>_xlfn.LET(_xlpm.maxVal,_xlfn.MAXIFS($K:$K,$A:$A,A417),IF(AND(_xlpm.maxVal=K417,O417&lt;&gt;0),_xlpm.maxVal,""))</f>
        <v/>
      </c>
      <c r="Y417" s="27" t="str">
        <f>_xlfn.LET(_xlpm.maxVal,_xlfn.MAXIFS($K:$K,$A:$A,A417),IF(AND(_xlpm.maxVal=K417,P417&lt;&gt;0),_xlpm.maxVal,""))</f>
        <v/>
      </c>
      <c r="Z417" s="27" t="str">
        <f>_xlfn.LET(_xlpm.maxVal,_xlfn.MAXIFS($K:$K,$A:$A,A417),IF(AND(_xlpm.maxVal=K417,Q417&lt;&gt;0),_xlpm.maxVal,""))</f>
        <v/>
      </c>
      <c r="AA417" s="27" t="str">
        <f>_xlfn.LET(_xlpm.maxVal,_xlfn.MAXIFS($K:$K,$A:$A,A417),IF(AND(_xlpm.maxVal=K417,R417&lt;&gt;0),_xlpm.maxVal,""))</f>
        <v/>
      </c>
      <c r="AB417" s="27" t="str">
        <f>_xlfn.LET(_xlpm.maxVal,_xlfn.MAXIFS($K:$K,$A:$A,A417),IF(AND(_xlpm.maxVal=K417,S417&lt;&gt;0),_xlpm.maxVal,""))</f>
        <v/>
      </c>
      <c r="AC417" s="27" t="str">
        <f>_xlfn.LET(_xlpm.maxVal,_xlfn.MAXIFS($K:$K,$A:$A,A417),IF(AND(_xlpm.maxVal=K417,T417&lt;&gt;0),_xlpm.maxVal,""))</f>
        <v/>
      </c>
      <c r="AD417" s="27">
        <f>$K417*L417*负载统计!$K$3/60</f>
        <v>0</v>
      </c>
      <c r="AE417" s="27">
        <f>$K417*L417*负载统计!$K$4/60</f>
        <v>0</v>
      </c>
      <c r="AF417" s="27">
        <f>$K417*N417*负载统计!$K$5/60</f>
        <v>0</v>
      </c>
      <c r="AG417" s="27">
        <f>$K417*O417*负载统计!$K$6/60</f>
        <v>0</v>
      </c>
      <c r="AH417" s="27">
        <f>$K417*P417*负载统计!$K$7/60</f>
        <v>0</v>
      </c>
      <c r="AI417" s="27">
        <f>$K417*Q417*负载统计!$K$8/60</f>
        <v>0</v>
      </c>
      <c r="AJ417" s="27">
        <f>$K417*R417*负载统计!$K$9/60</f>
        <v>0</v>
      </c>
      <c r="AK417" s="27">
        <f>$K417*S417*负载统计!$K$10/60</f>
        <v>0</v>
      </c>
      <c r="AL417" s="27">
        <f>$K417*T417*负载统计!$K$11/60</f>
        <v>0</v>
      </c>
    </row>
    <row r="418" spans="1:38">
      <c r="A418" s="1">
        <v>196</v>
      </c>
      <c r="B418" s="24" t="s">
        <v>1618</v>
      </c>
      <c r="C418" s="24" t="s">
        <v>1616</v>
      </c>
      <c r="D418" s="24" t="s">
        <v>1619</v>
      </c>
      <c r="E418" s="24" t="s">
        <v>1266</v>
      </c>
      <c r="F418" s="24" t="s">
        <v>1267</v>
      </c>
      <c r="G418" s="25">
        <f>VLOOKUP(A418,负载电气特性!A:G,7,FALSE)</f>
        <v>28</v>
      </c>
      <c r="H418" s="26" t="s">
        <v>66</v>
      </c>
      <c r="I418" s="25" t="s">
        <v>1706</v>
      </c>
      <c r="J418" s="25" t="s">
        <v>1707</v>
      </c>
      <c r="K418" s="25">
        <v>0.15</v>
      </c>
      <c r="L418" s="25">
        <v>0.2</v>
      </c>
      <c r="M418" s="25">
        <v>0.2</v>
      </c>
      <c r="N418" s="25">
        <v>0.2</v>
      </c>
      <c r="O418" s="25">
        <v>0.2</v>
      </c>
      <c r="P418" s="25">
        <v>0.2</v>
      </c>
      <c r="Q418" s="25">
        <v>0.2</v>
      </c>
      <c r="R418" s="25">
        <v>0.2</v>
      </c>
      <c r="S418" s="25">
        <v>0.2</v>
      </c>
      <c r="T418" s="25">
        <v>0.2</v>
      </c>
      <c r="U418" s="27">
        <f>_xlfn.LET(_xlpm.maxVal,_xlfn.MAXIFS($K:$K,$A:$A,A418),IF(AND(_xlpm.maxVal=K418,L418&lt;&gt;0),_xlpm.maxVal,""))</f>
        <v>0.15</v>
      </c>
      <c r="V418" s="27">
        <f>_xlfn.LET(_xlpm.maxVal,_xlfn.MAXIFS($K:$K,$A:$A,A418),IF(AND(_xlpm.maxVal=K418,M418&lt;&gt;0),_xlpm.maxVal,""))</f>
        <v>0.15</v>
      </c>
      <c r="W418" s="27">
        <f>_xlfn.LET(_xlpm.maxVal,_xlfn.MAXIFS($K:$K,$A:$A,A418),IF(AND(_xlpm.maxVal=K418,N418&lt;&gt;0),_xlpm.maxVal,""))</f>
        <v>0.15</v>
      </c>
      <c r="X418" s="27">
        <f>_xlfn.LET(_xlpm.maxVal,_xlfn.MAXIFS($K:$K,$A:$A,A418),IF(AND(_xlpm.maxVal=K418,O418&lt;&gt;0),_xlpm.maxVal,""))</f>
        <v>0.15</v>
      </c>
      <c r="Y418" s="27">
        <f>_xlfn.LET(_xlpm.maxVal,_xlfn.MAXIFS($K:$K,$A:$A,A418),IF(AND(_xlpm.maxVal=K418,P418&lt;&gt;0),_xlpm.maxVal,""))</f>
        <v>0.15</v>
      </c>
      <c r="Z418" s="27">
        <f>_xlfn.LET(_xlpm.maxVal,_xlfn.MAXIFS($K:$K,$A:$A,A418),IF(AND(_xlpm.maxVal=K418,Q418&lt;&gt;0),_xlpm.maxVal,""))</f>
        <v>0.15</v>
      </c>
      <c r="AA418" s="27">
        <f>_xlfn.LET(_xlpm.maxVal,_xlfn.MAXIFS($K:$K,$A:$A,A418),IF(AND(_xlpm.maxVal=K418,R418&lt;&gt;0),_xlpm.maxVal,""))</f>
        <v>0.15</v>
      </c>
      <c r="AB418" s="27">
        <f>_xlfn.LET(_xlpm.maxVal,_xlfn.MAXIFS($K:$K,$A:$A,A418),IF(AND(_xlpm.maxVal=K418,S418&lt;&gt;0),_xlpm.maxVal,""))</f>
        <v>0.15</v>
      </c>
      <c r="AC418" s="27">
        <f>_xlfn.LET(_xlpm.maxVal,_xlfn.MAXIFS($K:$K,$A:$A,A418),IF(AND(_xlpm.maxVal=K418,T418&lt;&gt;0),_xlpm.maxVal,""))</f>
        <v>0.15</v>
      </c>
      <c r="AD418" s="27">
        <f>$K418*L418*负载统计!$K$3/60</f>
        <v>0</v>
      </c>
      <c r="AE418" s="27">
        <f>$K418*L418*负载统计!$K$4/60</f>
        <v>0</v>
      </c>
      <c r="AF418" s="27">
        <f>$K418*N418*负载统计!$K$5/60</f>
        <v>0.0005</v>
      </c>
      <c r="AG418" s="27">
        <f>$K418*O418*负载统计!$K$6/60</f>
        <v>0.0015</v>
      </c>
      <c r="AH418" s="27">
        <f>$K418*P418*负载统计!$K$7/60</f>
        <v>0.003385</v>
      </c>
      <c r="AI418" s="27">
        <f>$K418*Q418*负载统计!$K$8/60</f>
        <v>0.0218</v>
      </c>
      <c r="AJ418" s="27">
        <f>$K418*R418*负载统计!$K$9/60</f>
        <v>0.006925</v>
      </c>
      <c r="AK418" s="27">
        <f>$K418*S418*负载统计!$K$10/60</f>
        <v>0.00025</v>
      </c>
      <c r="AL418" s="27">
        <f>$K418*T418*负载统计!$K$11/60</f>
        <v>0.002</v>
      </c>
    </row>
    <row r="419" spans="1:38">
      <c r="A419" s="1">
        <v>196</v>
      </c>
      <c r="B419" s="24" t="s">
        <v>1618</v>
      </c>
      <c r="C419" s="24" t="s">
        <v>1616</v>
      </c>
      <c r="D419" s="24" t="s">
        <v>1619</v>
      </c>
      <c r="E419" s="24" t="s">
        <v>1266</v>
      </c>
      <c r="F419" s="24" t="s">
        <v>1267</v>
      </c>
      <c r="G419" s="25">
        <f>VLOOKUP(A419,负载电气特性!A:G,7,FALSE)</f>
        <v>28</v>
      </c>
      <c r="H419" s="26" t="s">
        <v>66</v>
      </c>
      <c r="I419" s="25" t="s">
        <v>1706</v>
      </c>
      <c r="J419" s="25" t="s">
        <v>1708</v>
      </c>
      <c r="K419" s="25">
        <v>0</v>
      </c>
      <c r="L419" s="25">
        <v>0.8</v>
      </c>
      <c r="M419" s="25">
        <v>0.8</v>
      </c>
      <c r="N419" s="25">
        <v>0.8</v>
      </c>
      <c r="O419" s="25">
        <v>0.8</v>
      </c>
      <c r="P419" s="25">
        <v>0.8</v>
      </c>
      <c r="Q419" s="25">
        <v>0.8</v>
      </c>
      <c r="R419" s="25">
        <v>0.8</v>
      </c>
      <c r="S419" s="25">
        <v>0.8</v>
      </c>
      <c r="T419" s="25">
        <v>0.8</v>
      </c>
      <c r="U419" s="27" t="str">
        <f>_xlfn.LET(_xlpm.maxVal,_xlfn.MAXIFS($K:$K,$A:$A,A419),IF(AND(_xlpm.maxVal=K419,L419&lt;&gt;0),_xlpm.maxVal,""))</f>
        <v/>
      </c>
      <c r="V419" s="27" t="str">
        <f>_xlfn.LET(_xlpm.maxVal,_xlfn.MAXIFS($K:$K,$A:$A,A419),IF(AND(_xlpm.maxVal=K419,M419&lt;&gt;0),_xlpm.maxVal,""))</f>
        <v/>
      </c>
      <c r="W419" s="27" t="str">
        <f>_xlfn.LET(_xlpm.maxVal,_xlfn.MAXIFS($K:$K,$A:$A,A419),IF(AND(_xlpm.maxVal=K419,N419&lt;&gt;0),_xlpm.maxVal,""))</f>
        <v/>
      </c>
      <c r="X419" s="27" t="str">
        <f>_xlfn.LET(_xlpm.maxVal,_xlfn.MAXIFS($K:$K,$A:$A,A419),IF(AND(_xlpm.maxVal=K419,O419&lt;&gt;0),_xlpm.maxVal,""))</f>
        <v/>
      </c>
      <c r="Y419" s="27" t="str">
        <f>_xlfn.LET(_xlpm.maxVal,_xlfn.MAXIFS($K:$K,$A:$A,A419),IF(AND(_xlpm.maxVal=K419,P419&lt;&gt;0),_xlpm.maxVal,""))</f>
        <v/>
      </c>
      <c r="Z419" s="27" t="str">
        <f>_xlfn.LET(_xlpm.maxVal,_xlfn.MAXIFS($K:$K,$A:$A,A419),IF(AND(_xlpm.maxVal=K419,Q419&lt;&gt;0),_xlpm.maxVal,""))</f>
        <v/>
      </c>
      <c r="AA419" s="27" t="str">
        <f>_xlfn.LET(_xlpm.maxVal,_xlfn.MAXIFS($K:$K,$A:$A,A419),IF(AND(_xlpm.maxVal=K419,R419&lt;&gt;0),_xlpm.maxVal,""))</f>
        <v/>
      </c>
      <c r="AB419" s="27" t="str">
        <f>_xlfn.LET(_xlpm.maxVal,_xlfn.MAXIFS($K:$K,$A:$A,A419),IF(AND(_xlpm.maxVal=K419,S419&lt;&gt;0),_xlpm.maxVal,""))</f>
        <v/>
      </c>
      <c r="AC419" s="27" t="str">
        <f>_xlfn.LET(_xlpm.maxVal,_xlfn.MAXIFS($K:$K,$A:$A,A419),IF(AND(_xlpm.maxVal=K419,T419&lt;&gt;0),_xlpm.maxVal,""))</f>
        <v/>
      </c>
      <c r="AD419" s="27">
        <f>$K419*L419*负载统计!$K$3/60</f>
        <v>0</v>
      </c>
      <c r="AE419" s="27">
        <f>$K419*L419*负载统计!$K$4/60</f>
        <v>0</v>
      </c>
      <c r="AF419" s="27">
        <f>$K419*N419*负载统计!$K$5/60</f>
        <v>0</v>
      </c>
      <c r="AG419" s="27">
        <f>$K419*O419*负载统计!$K$6/60</f>
        <v>0</v>
      </c>
      <c r="AH419" s="27">
        <f>$K419*P419*负载统计!$K$7/60</f>
        <v>0</v>
      </c>
      <c r="AI419" s="27">
        <f>$K419*Q419*负载统计!$K$8/60</f>
        <v>0</v>
      </c>
      <c r="AJ419" s="27">
        <f>$K419*R419*负载统计!$K$9/60</f>
        <v>0</v>
      </c>
      <c r="AK419" s="27">
        <f>$K419*S419*负载统计!$K$10/60</f>
        <v>0</v>
      </c>
      <c r="AL419" s="27">
        <f>$K419*T419*负载统计!$K$11/60</f>
        <v>0</v>
      </c>
    </row>
    <row r="420" spans="1:38">
      <c r="A420" s="1">
        <v>197</v>
      </c>
      <c r="B420" s="24" t="s">
        <v>1620</v>
      </c>
      <c r="C420" s="24" t="s">
        <v>1616</v>
      </c>
      <c r="D420" s="24" t="s">
        <v>1271</v>
      </c>
      <c r="E420" s="24" t="s">
        <v>1272</v>
      </c>
      <c r="F420" s="24" t="s">
        <v>1273</v>
      </c>
      <c r="G420" s="25">
        <f>VLOOKUP(A420,负载电气特性!A:G,7,FALSE)</f>
        <v>28</v>
      </c>
      <c r="H420" s="26" t="s">
        <v>66</v>
      </c>
      <c r="I420" s="25" t="s">
        <v>1706</v>
      </c>
      <c r="J420" s="25" t="s">
        <v>1707</v>
      </c>
      <c r="K420" s="25">
        <v>0.012</v>
      </c>
      <c r="L420" s="25">
        <v>1</v>
      </c>
      <c r="M420" s="25">
        <v>1</v>
      </c>
      <c r="N420" s="25">
        <v>1</v>
      </c>
      <c r="O420" s="25">
        <v>1</v>
      </c>
      <c r="P420" s="25">
        <v>1</v>
      </c>
      <c r="Q420" s="25">
        <v>1</v>
      </c>
      <c r="R420" s="25">
        <v>1</v>
      </c>
      <c r="S420" s="25">
        <v>1</v>
      </c>
      <c r="T420" s="25">
        <v>1</v>
      </c>
      <c r="U420" s="27">
        <f>_xlfn.LET(_xlpm.maxVal,_xlfn.MAXIFS($K:$K,$A:$A,A420),IF(AND(_xlpm.maxVal=K420,L420&lt;&gt;0),_xlpm.maxVal,""))</f>
        <v>0.012</v>
      </c>
      <c r="V420" s="27">
        <f>_xlfn.LET(_xlpm.maxVal,_xlfn.MAXIFS($K:$K,$A:$A,A420),IF(AND(_xlpm.maxVal=K420,M420&lt;&gt;0),_xlpm.maxVal,""))</f>
        <v>0.012</v>
      </c>
      <c r="W420" s="27">
        <f>_xlfn.LET(_xlpm.maxVal,_xlfn.MAXIFS($K:$K,$A:$A,A420),IF(AND(_xlpm.maxVal=K420,N420&lt;&gt;0),_xlpm.maxVal,""))</f>
        <v>0.012</v>
      </c>
      <c r="X420" s="27">
        <f>_xlfn.LET(_xlpm.maxVal,_xlfn.MAXIFS($K:$K,$A:$A,A420),IF(AND(_xlpm.maxVal=K420,O420&lt;&gt;0),_xlpm.maxVal,""))</f>
        <v>0.012</v>
      </c>
      <c r="Y420" s="27">
        <f>_xlfn.LET(_xlpm.maxVal,_xlfn.MAXIFS($K:$K,$A:$A,A420),IF(AND(_xlpm.maxVal=K420,P420&lt;&gt;0),_xlpm.maxVal,""))</f>
        <v>0.012</v>
      </c>
      <c r="Z420" s="27">
        <f>_xlfn.LET(_xlpm.maxVal,_xlfn.MAXIFS($K:$K,$A:$A,A420),IF(AND(_xlpm.maxVal=K420,Q420&lt;&gt;0),_xlpm.maxVal,""))</f>
        <v>0.012</v>
      </c>
      <c r="AA420" s="27">
        <f>_xlfn.LET(_xlpm.maxVal,_xlfn.MAXIFS($K:$K,$A:$A,A420),IF(AND(_xlpm.maxVal=K420,R420&lt;&gt;0),_xlpm.maxVal,""))</f>
        <v>0.012</v>
      </c>
      <c r="AB420" s="27">
        <f>_xlfn.LET(_xlpm.maxVal,_xlfn.MAXIFS($K:$K,$A:$A,A420),IF(AND(_xlpm.maxVal=K420,S420&lt;&gt;0),_xlpm.maxVal,""))</f>
        <v>0.012</v>
      </c>
      <c r="AC420" s="27">
        <f>_xlfn.LET(_xlpm.maxVal,_xlfn.MAXIFS($K:$K,$A:$A,A420),IF(AND(_xlpm.maxVal=K420,T420&lt;&gt;0),_xlpm.maxVal,""))</f>
        <v>0.012</v>
      </c>
      <c r="AD420" s="27">
        <f>$K420*L420*负载统计!$K$3/60</f>
        <v>0</v>
      </c>
      <c r="AE420" s="27">
        <f>$K420*L420*负载统计!$K$4/60</f>
        <v>0</v>
      </c>
      <c r="AF420" s="27">
        <f>$K420*N420*负载统计!$K$5/60</f>
        <v>0.0002</v>
      </c>
      <c r="AG420" s="27">
        <f>$K420*O420*负载统计!$K$6/60</f>
        <v>0.0006</v>
      </c>
      <c r="AH420" s="27">
        <f>$K420*P420*负载统计!$K$7/60</f>
        <v>0.001354</v>
      </c>
      <c r="AI420" s="27">
        <f>$K420*Q420*负载统计!$K$8/60</f>
        <v>0.00872</v>
      </c>
      <c r="AJ420" s="27">
        <f>$K420*R420*负载统计!$K$9/60</f>
        <v>0.00277</v>
      </c>
      <c r="AK420" s="27">
        <f>$K420*S420*负载统计!$K$10/60</f>
        <v>0.0001</v>
      </c>
      <c r="AL420" s="27">
        <f>$K420*T420*负载统计!$K$11/60</f>
        <v>0.0008</v>
      </c>
    </row>
    <row r="421" spans="1:38">
      <c r="A421" s="1">
        <v>197</v>
      </c>
      <c r="B421" s="24" t="s">
        <v>1620</v>
      </c>
      <c r="C421" s="24" t="s">
        <v>1616</v>
      </c>
      <c r="D421" s="24" t="s">
        <v>1271</v>
      </c>
      <c r="E421" s="24" t="s">
        <v>1272</v>
      </c>
      <c r="F421" s="24" t="s">
        <v>1273</v>
      </c>
      <c r="G421" s="25">
        <f>VLOOKUP(A421,负载电气特性!A:G,7,FALSE)</f>
        <v>28</v>
      </c>
      <c r="H421" s="26" t="s">
        <v>66</v>
      </c>
      <c r="I421" s="25" t="s">
        <v>1706</v>
      </c>
      <c r="J421" s="25" t="s">
        <v>1708</v>
      </c>
      <c r="K421" s="25">
        <v>0</v>
      </c>
      <c r="L421" s="25">
        <v>0</v>
      </c>
      <c r="M421" s="25">
        <v>0</v>
      </c>
      <c r="N421" s="25">
        <v>0</v>
      </c>
      <c r="O421" s="25">
        <v>0</v>
      </c>
      <c r="P421" s="25">
        <v>0</v>
      </c>
      <c r="Q421" s="25">
        <v>0</v>
      </c>
      <c r="R421" s="25">
        <v>0</v>
      </c>
      <c r="S421" s="25">
        <v>0</v>
      </c>
      <c r="T421" s="25">
        <v>0</v>
      </c>
      <c r="U421" s="27" t="str">
        <f>_xlfn.LET(_xlpm.maxVal,_xlfn.MAXIFS($K:$K,$A:$A,A421),IF(AND(_xlpm.maxVal=K421,L421&lt;&gt;0),_xlpm.maxVal,""))</f>
        <v/>
      </c>
      <c r="V421" s="27" t="str">
        <f>_xlfn.LET(_xlpm.maxVal,_xlfn.MAXIFS($K:$K,$A:$A,A421),IF(AND(_xlpm.maxVal=K421,M421&lt;&gt;0),_xlpm.maxVal,""))</f>
        <v/>
      </c>
      <c r="W421" s="27" t="str">
        <f>_xlfn.LET(_xlpm.maxVal,_xlfn.MAXIFS($K:$K,$A:$A,A421),IF(AND(_xlpm.maxVal=K421,N421&lt;&gt;0),_xlpm.maxVal,""))</f>
        <v/>
      </c>
      <c r="X421" s="27" t="str">
        <f>_xlfn.LET(_xlpm.maxVal,_xlfn.MAXIFS($K:$K,$A:$A,A421),IF(AND(_xlpm.maxVal=K421,O421&lt;&gt;0),_xlpm.maxVal,""))</f>
        <v/>
      </c>
      <c r="Y421" s="27" t="str">
        <f>_xlfn.LET(_xlpm.maxVal,_xlfn.MAXIFS($K:$K,$A:$A,A421),IF(AND(_xlpm.maxVal=K421,P421&lt;&gt;0),_xlpm.maxVal,""))</f>
        <v/>
      </c>
      <c r="Z421" s="27" t="str">
        <f>_xlfn.LET(_xlpm.maxVal,_xlfn.MAXIFS($K:$K,$A:$A,A421),IF(AND(_xlpm.maxVal=K421,Q421&lt;&gt;0),_xlpm.maxVal,""))</f>
        <v/>
      </c>
      <c r="AA421" s="27" t="str">
        <f>_xlfn.LET(_xlpm.maxVal,_xlfn.MAXIFS($K:$K,$A:$A,A421),IF(AND(_xlpm.maxVal=K421,R421&lt;&gt;0),_xlpm.maxVal,""))</f>
        <v/>
      </c>
      <c r="AB421" s="27" t="str">
        <f>_xlfn.LET(_xlpm.maxVal,_xlfn.MAXIFS($K:$K,$A:$A,A421),IF(AND(_xlpm.maxVal=K421,S421&lt;&gt;0),_xlpm.maxVal,""))</f>
        <v/>
      </c>
      <c r="AC421" s="27" t="str">
        <f>_xlfn.LET(_xlpm.maxVal,_xlfn.MAXIFS($K:$K,$A:$A,A421),IF(AND(_xlpm.maxVal=K421,T421&lt;&gt;0),_xlpm.maxVal,""))</f>
        <v/>
      </c>
      <c r="AD421" s="27">
        <f>$K421*L421*负载统计!$K$3/60</f>
        <v>0</v>
      </c>
      <c r="AE421" s="27">
        <f>$K421*L421*负载统计!$K$4/60</f>
        <v>0</v>
      </c>
      <c r="AF421" s="27">
        <f>$K421*N421*负载统计!$K$5/60</f>
        <v>0</v>
      </c>
      <c r="AG421" s="27">
        <f>$K421*O421*负载统计!$K$6/60</f>
        <v>0</v>
      </c>
      <c r="AH421" s="27">
        <f>$K421*P421*负载统计!$K$7/60</f>
        <v>0</v>
      </c>
      <c r="AI421" s="27">
        <f>$K421*Q421*负载统计!$K$8/60</f>
        <v>0</v>
      </c>
      <c r="AJ421" s="27">
        <f>$K421*R421*负载统计!$K$9/60</f>
        <v>0</v>
      </c>
      <c r="AK421" s="27">
        <f>$K421*S421*负载统计!$K$10/60</f>
        <v>0</v>
      </c>
      <c r="AL421" s="27">
        <f>$K421*T421*负载统计!$K$11/60</f>
        <v>0</v>
      </c>
    </row>
  </sheetData>
  <autoFilter xmlns:etc="http://www.wps.cn/officeDocument/2017/etCustomData" ref="A1:AL421" etc:filterBottomFollowUsedRange="0">
    <extLst/>
  </autoFilter>
  <mergeCells count="14">
    <mergeCell ref="L1:T1"/>
    <mergeCell ref="U1:AC1"/>
    <mergeCell ref="AD1:AL1"/>
    <mergeCell ref="A1:A2"/>
    <mergeCell ref="B1:B2"/>
    <mergeCell ref="C1:C2"/>
    <mergeCell ref="D1:D2"/>
    <mergeCell ref="E1:E2"/>
    <mergeCell ref="F1:F2"/>
    <mergeCell ref="G1:G2"/>
    <mergeCell ref="H1:H2"/>
    <mergeCell ref="I1:I2"/>
    <mergeCell ref="J1:J2"/>
    <mergeCell ref="K1:K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L12"/>
  <sheetViews>
    <sheetView tabSelected="1" workbookViewId="0">
      <selection activeCell="F26" sqref="F26"/>
    </sheetView>
  </sheetViews>
  <sheetFormatPr defaultColWidth="9" defaultRowHeight="14"/>
  <cols>
    <col min="1" max="1" width="23.5454545454545" customWidth="1"/>
    <col min="2" max="2" width="11.1818181818182" customWidth="1"/>
    <col min="3" max="3" width="14.3636363636364" customWidth="1"/>
    <col min="4" max="4" width="14.1818181818182" customWidth="1"/>
    <col min="5" max="5" width="13.4545454545455" customWidth="1"/>
    <col min="6" max="6" width="27.4545454545455" customWidth="1"/>
    <col min="7" max="7" width="12.0909090909091" customWidth="1"/>
    <col min="8" max="10" width="13.4545454545455" customWidth="1"/>
    <col min="11" max="11" width="9.81818181818182" customWidth="1"/>
    <col min="12" max="12" width="13.4545454545455" customWidth="1"/>
    <col min="13" max="13" width="14.4545454545455" customWidth="1"/>
  </cols>
  <sheetData>
    <row r="1" spans="1:12">
      <c r="A1" s="8" t="s">
        <v>1720</v>
      </c>
      <c r="B1" s="8"/>
      <c r="C1" s="8"/>
      <c r="D1" s="8"/>
      <c r="E1" s="8"/>
      <c r="F1" s="8"/>
      <c r="G1" s="9" t="s">
        <v>1721</v>
      </c>
      <c r="H1" s="10"/>
      <c r="I1" s="10"/>
      <c r="J1" s="11"/>
      <c r="K1" s="8" t="s">
        <v>1722</v>
      </c>
      <c r="L1" s="8"/>
    </row>
    <row r="2" s="7" customFormat="1" ht="47" customHeight="1" spans="1:12">
      <c r="A2" s="12" t="s">
        <v>1694</v>
      </c>
      <c r="B2" s="12" t="s">
        <v>1723</v>
      </c>
      <c r="C2" s="12" t="s">
        <v>1724</v>
      </c>
      <c r="D2" s="12" t="s">
        <v>1725</v>
      </c>
      <c r="E2" s="12" t="s">
        <v>1726</v>
      </c>
      <c r="F2" s="12" t="s">
        <v>1727</v>
      </c>
      <c r="G2" s="12" t="s">
        <v>1723</v>
      </c>
      <c r="H2" s="12" t="s">
        <v>1728</v>
      </c>
      <c r="I2" s="12" t="s">
        <v>1729</v>
      </c>
      <c r="J2" s="12" t="s">
        <v>1730</v>
      </c>
      <c r="K2" s="12" t="s">
        <v>1731</v>
      </c>
      <c r="L2" s="12" t="s">
        <v>1732</v>
      </c>
    </row>
    <row r="3" spans="1:12">
      <c r="A3" s="13" t="s">
        <v>1733</v>
      </c>
      <c r="B3" s="14">
        <v>0.01</v>
      </c>
      <c r="C3" s="14">
        <f>D3+E3</f>
        <v>6.69915999999999</v>
      </c>
      <c r="D3" s="14" cm="1">
        <f t="array" ref="D3">SUM(_xlfn.BYROW(负载工作模式!$U$3:$U$421,_xlfn.LAMBDA(_xlpm.row,_xlfn.LET(_xlpm.rowNum,ROW(_xlpm.row),_xlpm.gCheck,INDEX(负载工作模式!G:G,_xlpm.rowNum),IF(_xlpm.gCheck=270,_xlfn.LET(_xlpm.aVal,INDEX(负载工作模式!A:A,_xlpm.rowNum),_xlpm.hVal,INDEX(负载工作模式!K:K,_xlpm.rowNum),_xlpm.iVal,INDEX(负载工作模式!L:L,_xlpm.rowNum),_xlpm.gVal,INDEX(负载工作模式!I:I,_xlpm.rowNum),_xlpm.maxVal,_xlfn.MAXIFS(负载工作模式!K:K,负载工作模式!A:A,_xlpm.aVal),_xlpm.baseVal,IF(AND(_xlpm.hVal=_xlpm.maxVal,_xlpm.iVal&lt;&gt;0),_xlpm.hVal,0),_xlpm.multiplier,IF(_xlpm.gVal="连续负载",1,IF(_xlpm.gVal="脉冲负载",$B3,0)),_xlpm.baseVal*_xlpm.multiplier),0)))))</f>
        <v>0</v>
      </c>
      <c r="E3" s="14" cm="1">
        <f t="array" ref="E3">SUM(_xlfn.BYROW(负载工作模式!$U$3:$U$421,_xlfn.LAMBDA(_xlpm.row,_xlfn.LET(_xlpm.rowNum,ROW(_xlpm.row),_xlpm.gCheck,INDEX(负载工作模式!G:G,_xlpm.rowNum),IF(_xlpm.gCheck=28,_xlfn.LET(_xlpm.aVal,INDEX(负载工作模式!A:A,_xlpm.rowNum),_xlpm.hVal,INDEX(负载工作模式!K:K,_xlpm.rowNum),_xlpm.iVal,INDEX(负载工作模式!L:L,_xlpm.rowNum),_xlpm.gVal,INDEX(负载工作模式!I:I,_xlpm.rowNum),_xlpm.maxVal,_xlfn.MAXIFS(负载工作模式!K:K,负载工作模式!A:A,_xlpm.aVal),_xlpm.baseVal,IF(AND(_xlpm.hVal=_xlpm.maxVal,_xlpm.iVal&lt;&gt;0),_xlpm.hVal,0),_xlpm.multiplier,IF(_xlpm.gVal="连续负载",1,IF(_xlpm.gVal="脉冲负载",$B3,0)),_xlpm.baseVal*_xlpm.multiplier),0)))))</f>
        <v>6.69915999999999</v>
      </c>
      <c r="F3" s="14" t="s">
        <v>1734</v>
      </c>
      <c r="G3" s="14">
        <v>0.01</v>
      </c>
      <c r="H3" s="14">
        <f>I3+J3</f>
        <v>5.91276</v>
      </c>
      <c r="I3" s="14" cm="1">
        <f t="array" ref="I3">SUM(_xlfn.BYROW(负载工作模式!U3:U422,_xlfn.LAMBDA(_xlpm.row,_xlfn.LET(_xlpm.rowNum,ROW(_xlpm.row),_xlpm.gCheck,INDEX(负载工作模式!G:G,_xlpm.rowNum),_xlpm.hCheck,INDEX(负载工作模式!H:H,_xlpm.rowNum),IF(AND(_xlpm.gCheck=270,_xlpm.hCheck="否"),_xlfn.LET(_xlpm.aVal,INDEX(负载工作模式!A:A,_xlpm.rowNum),_xlpm.kVal,INDEX(负载工作模式!K:K,_xlpm.rowNum),_xlpm.lVal,INDEX(负载工作模式!L:L,_xlpm.rowNum),_xlpm.iVal,INDEX(负载工作模式!I:I,_xlpm.rowNum),_xlpm.maxVal,_xlfn.MAXIFS(负载工作模式!K:K,负载工作模式!A:A,_xlpm.aVal),_xlpm.baseVal,IF(AND(_xlpm.kVal=_xlpm.maxVal,_xlpm.lVal&lt;&gt;0),_xlpm.kVal,0),_xlpm.multiplier,IF(_xlpm.iVal="连续负载",1,IF(_xlpm.iVal="脉冲负载",B3,0)),_xlpm.baseVal*_xlpm.multiplier),0)))))</f>
        <v>0</v>
      </c>
      <c r="J3" s="14" cm="1">
        <f t="array" ref="J3">SUM(_xlfn.BYROW(负载工作模式!U3:U422,_xlfn.LAMBDA(_xlpm.row,_xlfn.LET(_xlpm.rowNum,ROW(_xlpm.row),_xlpm.gCheck,INDEX(负载工作模式!G:G,_xlpm.rowNum),_xlpm.hCheck,INDEX(负载工作模式!H:H,_xlpm.rowNum),IF(AND(_xlpm.gCheck=28,_xlpm.hCheck="否"),_xlfn.LET(_xlpm.aVal,INDEX(负载工作模式!A:A,_xlpm.rowNum),_xlpm.kVal,INDEX(负载工作模式!K:K,_xlpm.rowNum),_xlpm.lVal,INDEX(负载工作模式!L:L,_xlpm.rowNum),_xlpm.iVal,INDEX(负载工作模式!I:I,_xlpm.rowNum),_xlpm.maxVal,_xlfn.MAXIFS(负载工作模式!K:K,负载工作模式!A:A,_xlpm.aVal),_xlpm.baseVal,IF(AND(_xlpm.kVal=_xlpm.maxVal,_xlpm.lVal&lt;&gt;0),_xlpm.kVal,0),_xlpm.multiplier,IF(_xlpm.iVal="连续负载",1,IF(_xlpm.iVal="脉冲负载",B3,0)),_xlpm.baseVal*_xlpm.multiplier),0)))))</f>
        <v>5.91276</v>
      </c>
      <c r="K3" s="15">
        <f>负载统计飞行阶段定义!D3</f>
        <v>0</v>
      </c>
      <c r="L3" s="15">
        <f>SUM(负载工作模式!AD:AD)</f>
        <v>0</v>
      </c>
    </row>
    <row r="4" spans="1:12">
      <c r="A4" s="13" t="s">
        <v>1735</v>
      </c>
      <c r="B4" s="14">
        <v>0.05</v>
      </c>
      <c r="C4" s="14">
        <f t="shared" ref="C4:C11" si="0">D4+E4</f>
        <v>7.48765999999999</v>
      </c>
      <c r="D4" s="14" cm="1">
        <f t="array" ref="D4">SUM(_xlfn.BYROW(负载工作模式!$V$3:$V$421,_xlfn.LAMBDA(_xlpm.row,_xlfn.LET(_xlpm.rowNum,ROW(_xlpm.row),_xlpm.gCheck,INDEX(负载工作模式!G:G,_xlpm.rowNum),IF(_xlpm.gCheck=270,_xlfn.LET(_xlpm.aVal,INDEX(负载工作模式!A:A,_xlpm.rowNum),_xlpm.hVal,INDEX(负载工作模式!K:K,_xlpm.rowNum),_xlpm.iVal,INDEX(负载工作模式!M:M,_xlpm.rowNum),_xlpm.gVal,INDEX(负载工作模式!I:I,_xlpm.rowNum),_xlpm.maxVal,_xlfn.MAXIFS(负载工作模式!K:K,负载工作模式!A:A,_xlpm.aVal),_xlpm.baseVal,IF(AND(_xlpm.hVal=_xlpm.maxVal,_xlpm.iVal&lt;&gt;0),_xlpm.hVal,0),_xlpm.multiplier,IF(_xlpm.gVal="连续负载",1,IF(_xlpm.gVal="脉冲负载",$B4,0)),_xlpm.baseVal*_xlpm.multiplier),0)))))</f>
        <v>0.5825</v>
      </c>
      <c r="E4" s="14" cm="1">
        <f t="array" ref="E4">SUM(_xlfn.BYROW(负载工作模式!$V$3:$V$421,_xlfn.LAMBDA(_xlpm.row,_xlfn.LET(_xlpm.rowNum,ROW(_xlpm.row),_xlpm.gCheck,INDEX(负载工作模式!G:G,_xlpm.rowNum),IF(_xlpm.gCheck=28,_xlfn.LET(_xlpm.aVal,INDEX(负载工作模式!A:A,_xlpm.rowNum),_xlpm.hVal,INDEX(负载工作模式!K:K,_xlpm.rowNum),_xlpm.iVal,INDEX(负载工作模式!M:M,_xlpm.rowNum),_xlpm.gVal,INDEX(负载工作模式!I:I,_xlpm.rowNum),_xlpm.maxVal,_xlfn.MAXIFS(负载工作模式!K:K,负载工作模式!A:A,_xlpm.aVal),_xlpm.baseVal,IF(AND(_xlpm.hVal=_xlpm.maxVal,_xlpm.iVal&lt;&gt;0),_xlpm.hVal,0),_xlpm.multiplier,IF(_xlpm.gVal="连续负载",1,IF(_xlpm.gVal="脉冲负载",$B4,0)),_xlpm.baseVal*_xlpm.multiplier),0)))))</f>
        <v>6.90516</v>
      </c>
      <c r="F4" s="14" t="s">
        <v>1736</v>
      </c>
      <c r="G4" s="14">
        <v>0.05</v>
      </c>
      <c r="H4" s="14">
        <f t="shared" ref="H4:H11" si="1">I4+J4</f>
        <v>6.61826</v>
      </c>
      <c r="I4" s="14" cm="1">
        <f t="array" ref="I4">SUM(_xlfn.BYROW(负载工作模式!U$3:U$422,_xlfn.LAMBDA(_xlpm.row,_xlfn.LET(_xlpm.rowNum,ROW(_xlpm.row),_xlpm.gCheck,INDEX(负载工作模式!G:G,_xlpm.rowNum),_xlpm.hCheck,INDEX(负载工作模式!H:H,_xlpm.rowNum),IF(AND(_xlpm.gCheck=270,_xlpm.hCheck="否"),_xlfn.LET(_xlpm.aVal,INDEX(负载工作模式!A:A,_xlpm.rowNum),_xlpm.kVal,INDEX(负载工作模式!K:K,_xlpm.rowNum),_xlpm.lVal,INDEX(负载工作模式!M:M,_xlpm.rowNum),_xlpm.iVal,INDEX(负载工作模式!I:I,_xlpm.rowNum),_xlpm.maxVal,_xlfn.MAXIFS(负载工作模式!K:K,负载工作模式!A:A,_xlpm.aVal),_xlpm.baseVal,IF(AND(_xlpm.kVal=_xlpm.maxVal,_xlpm.lVal&lt;&gt;0),_xlpm.kVal,0),_xlpm.multiplier,IF(_xlpm.iVal="连续负载",1,IF(_xlpm.iVal="脉冲负载",B4,0)),_xlpm.baseVal*_xlpm.multiplier),0)))))</f>
        <v>0.5825</v>
      </c>
      <c r="J4" s="14" cm="1">
        <f t="array" ref="J4">SUM(_xlfn.BYROW(负载工作模式!U$3:U$422,_xlfn.LAMBDA(_xlpm.row,_xlfn.LET(_xlpm.rowNum,ROW(_xlpm.row),_xlpm.gCheck,INDEX(负载工作模式!G:G,_xlpm.rowNum),_xlpm.hCheck,INDEX(负载工作模式!H:H,_xlpm.rowNum),IF(AND(_xlpm.gCheck=28,_xlpm.hCheck="否"),_xlfn.LET(_xlpm.aVal,INDEX(负载工作模式!A:A,_xlpm.rowNum),_xlpm.kVal,INDEX(负载工作模式!K:K,_xlpm.rowNum),_xlpm.lVal,INDEX(负载工作模式!M:M,_xlpm.rowNum),_xlpm.iVal,INDEX(负载工作模式!I:I,_xlpm.rowNum),_xlpm.maxVal,_xlfn.MAXIFS(负载工作模式!K:K,负载工作模式!A:A,_xlpm.aVal),_xlpm.baseVal,IF(AND(_xlpm.kVal=_xlpm.maxVal,_xlpm.lVal&lt;&gt;0),_xlpm.kVal,0),_xlpm.multiplier,IF(_xlpm.iVal="连续负载",1,IF(_xlpm.iVal="脉冲负载",B4,0)),_xlpm.baseVal*_xlpm.multiplier),0)))))</f>
        <v>6.03576</v>
      </c>
      <c r="K4" s="15">
        <f>负载统计飞行阶段定义!D4</f>
        <v>0</v>
      </c>
      <c r="L4" s="15">
        <f>SUM(负载工作模式!AE:AE)</f>
        <v>0</v>
      </c>
    </row>
    <row r="5" spans="1:12">
      <c r="A5" s="13" t="s">
        <v>1737</v>
      </c>
      <c r="B5" s="14">
        <v>0.07</v>
      </c>
      <c r="C5" s="14">
        <f t="shared" si="0"/>
        <v>8.66125999999999</v>
      </c>
      <c r="D5" s="14" cm="1">
        <f t="array" ref="D5">SUM(_xlfn.BYROW(负载工作模式!$W$3:$W$421,_xlfn.LAMBDA(_xlpm.row,_xlfn.LET(_xlpm.rowNum,ROW(_xlpm.row),_xlpm.gCheck,INDEX(负载工作模式!G:G,_xlpm.rowNum),IF(_xlpm.gCheck=270,_xlfn.LET(_xlpm.aVal,INDEX(负载工作模式!A:A,_xlpm.rowNum),_xlpm.hVal,INDEX(负载工作模式!K:K,_xlpm.rowNum),_xlpm.iVal,INDEX(负载工作模式!N:N,_xlpm.rowNum),_xlpm.gVal,INDEX(负载工作模式!I:I,_xlpm.rowNum),_xlpm.maxVal,_xlfn.MAXIFS(负载工作模式!K:K,负载工作模式!A:A,_xlpm.aVal),_xlpm.baseVal,IF(AND(_xlpm.hVal=_xlpm.maxVal,_xlpm.iVal&lt;&gt;0),_xlpm.hVal,0),_xlpm.multiplier,IF(_xlpm.gVal="连续负载",1,IF(_xlpm.gVal="脉冲负载",$B5,0)),_xlpm.baseVal*_xlpm.multiplier),0)))))</f>
        <v>0.8561</v>
      </c>
      <c r="E5" s="14" cm="1">
        <f t="array" ref="E5">SUM(_xlfn.BYROW(负载工作模式!$W$3:$W$421,_xlfn.LAMBDA(_xlpm.row,_xlfn.LET(_xlpm.rowNum,ROW(_xlpm.row),_xlpm.gCheck,INDEX(负载工作模式!G:G,_xlpm.rowNum),IF(_xlpm.gCheck=28,_xlfn.LET(_xlpm.aVal,INDEX(负载工作模式!A:A,_xlpm.rowNum),_xlpm.hVal,INDEX(负载工作模式!K:K,_xlpm.rowNum),_xlpm.iVal,INDEX(负载工作模式!N:N,_xlpm.rowNum),_xlpm.gVal,INDEX(负载工作模式!I:I,_xlpm.rowNum),_xlpm.maxVal,_xlfn.MAXIFS(负载工作模式!K:K,负载工作模式!A:A,_xlpm.aVal),_xlpm.baseVal,IF(AND(_xlpm.hVal=_xlpm.maxVal,_xlpm.iVal&lt;&gt;0),_xlpm.hVal,0),_xlpm.multiplier,IF(_xlpm.gVal="连续负载",1,IF(_xlpm.gVal="脉冲负载",$B5,0)),_xlpm.baseVal*_xlpm.multiplier),0)))))</f>
        <v>7.80515999999999</v>
      </c>
      <c r="F5" s="14" t="s">
        <v>1738</v>
      </c>
      <c r="G5" s="14">
        <v>0.07</v>
      </c>
      <c r="H5" s="14">
        <f t="shared" si="1"/>
        <v>7.79186</v>
      </c>
      <c r="I5" s="14" cm="1">
        <f t="array" ref="I5">SUM(_xlfn.BYROW(负载工作模式!U$3:U$422,_xlfn.LAMBDA(_xlpm.row,_xlfn.LET(_xlpm.rowNum,ROW(_xlpm.row),_xlpm.gCheck,INDEX(负载工作模式!G:G,_xlpm.rowNum),_xlpm.hCheck,INDEX(负载工作模式!H:H,_xlpm.rowNum),IF(AND(_xlpm.gCheck=270,_xlpm.hCheck="否"),_xlfn.LET(_xlpm.aVal,INDEX(负载工作模式!A:A,_xlpm.rowNum),_xlpm.kVal,INDEX(负载工作模式!K:K,_xlpm.rowNum),_xlpm.lVal,INDEX(负载工作模式!N:N,_xlpm.rowNum),_xlpm.iVal,INDEX(负载工作模式!I:I,_xlpm.rowNum),_xlpm.maxVal,_xlfn.MAXIFS(负载工作模式!K:K,负载工作模式!A:A,_xlpm.aVal),_xlpm.baseVal,IF(AND(_xlpm.kVal=_xlpm.maxVal,_xlpm.lVal&lt;&gt;0),_xlpm.kVal,0),_xlpm.multiplier,IF(_xlpm.iVal="连续负载",1,IF(_xlpm.iVal="脉冲负载",B5,0)),_xlpm.baseVal*_xlpm.multiplier),0)))))</f>
        <v>0.8561</v>
      </c>
      <c r="J5" s="14" cm="1">
        <f t="array" ref="J5">SUM(_xlfn.BYROW(负载工作模式!U$3:U$422,_xlfn.LAMBDA(_xlpm.row,_xlfn.LET(_xlpm.rowNum,ROW(_xlpm.row),_xlpm.gCheck,INDEX(负载工作模式!G:G,_xlpm.rowNum),_xlpm.hCheck,INDEX(负载工作模式!H:H,_xlpm.rowNum),IF(AND(_xlpm.gCheck=28,_xlpm.hCheck="否"),_xlfn.LET(_xlpm.aVal,INDEX(负载工作模式!A:A,_xlpm.rowNum),_xlpm.kVal,INDEX(负载工作模式!K:K,_xlpm.rowNum),_xlpm.lVal,INDEX(负载工作模式!N:N,_xlpm.rowNum),_xlpm.iVal,INDEX(负载工作模式!I:I,_xlpm.rowNum),_xlpm.maxVal,_xlfn.MAXIFS(负载工作模式!K:K,负载工作模式!A:A,_xlpm.aVal),_xlpm.baseVal,IF(AND(_xlpm.kVal=_xlpm.maxVal,_xlpm.lVal&lt;&gt;0),_xlpm.kVal,0),_xlpm.multiplier,IF(_xlpm.iVal="连续负载",1,IF(_xlpm.iVal="脉冲负载",B5,0)),_xlpm.baseVal*_xlpm.multiplier),0)))))</f>
        <v>6.93576</v>
      </c>
      <c r="K5" s="15">
        <f>负载统计飞行阶段定义!D6</f>
        <v>1</v>
      </c>
      <c r="L5" s="15">
        <f>SUM(负载工作模式!AF:AF)</f>
        <v>0.142257666666667</v>
      </c>
    </row>
    <row r="6" spans="1:12">
      <c r="A6" s="13" t="s">
        <v>1739</v>
      </c>
      <c r="B6" s="14">
        <v>0.14</v>
      </c>
      <c r="C6" s="14">
        <f t="shared" si="0"/>
        <v>16.29436</v>
      </c>
      <c r="D6" s="14" cm="1">
        <f t="array" ref="D6">SUM(_xlfn.BYROW(负载工作模式!$X$3:$X$421,_xlfn.LAMBDA(_xlpm.row,_xlfn.LET(_xlpm.rowNum,ROW(_xlpm.row),_xlpm.gCheck,INDEX(负载工作模式!G:G,_xlpm.rowNum),IF(_xlpm.gCheck=270,_xlfn.LET(_xlpm.aVal,INDEX(负载工作模式!A:A,_xlpm.rowNum),_xlpm.hVal,INDEX(负载工作模式!K:K,_xlpm.rowNum),_xlpm.iVal,INDEX(负载工作模式!O:O,_xlpm.rowNum),_xlpm.gVal,INDEX(负载工作模式!I:I,_xlpm.rowNum),_xlpm.maxVal,_xlfn.MAXIFS(负载工作模式!K:K,负载工作模式!A:A,_xlpm.aVal),_xlpm.baseVal,IF(AND(_xlpm.hVal=_xlpm.maxVal,_xlpm.iVal&lt;&gt;0),_xlpm.hVal,0),_xlpm.multiplier,IF(_xlpm.gVal="连续负载",1,IF(_xlpm.gVal="脉冲负载",$B6,0)),_xlpm.baseVal*_xlpm.multiplier),0)))))</f>
        <v>6.3842</v>
      </c>
      <c r="E6" s="14" cm="1">
        <f t="array" ref="E6">SUM(_xlfn.BYROW(负载工作模式!$X$3:$X$421,_xlfn.LAMBDA(_xlpm.row,_xlfn.LET(_xlpm.rowNum,ROW(_xlpm.row),_xlpm.gCheck,INDEX(负载工作模式!G:G,_xlpm.rowNum),IF(_xlpm.gCheck=28,_xlfn.LET(_xlpm.aVal,INDEX(负载工作模式!A:A,_xlpm.rowNum),_xlpm.hVal,INDEX(负载工作模式!K:K,_xlpm.rowNum),_xlpm.iVal,INDEX(负载工作模式!O:O,_xlpm.rowNum),_xlpm.gVal,INDEX(负载工作模式!I:I,_xlpm.rowNum),_xlpm.maxVal,_xlfn.MAXIFS(负载工作模式!K:K,负载工作模式!A:A,_xlpm.aVal),_xlpm.baseVal,IF(AND(_xlpm.hVal=_xlpm.maxVal,_xlpm.iVal&lt;&gt;0),_xlpm.hVal,0),_xlpm.multiplier,IF(_xlpm.gVal="连续负载",1,IF(_xlpm.gVal="脉冲负载",$B6,0)),_xlpm.baseVal*_xlpm.multiplier),0)))))</f>
        <v>9.91016</v>
      </c>
      <c r="F6" s="14" t="s">
        <v>1740</v>
      </c>
      <c r="G6" s="14">
        <v>0.14</v>
      </c>
      <c r="H6" s="14">
        <f t="shared" si="1"/>
        <v>9.83996</v>
      </c>
      <c r="I6" s="14" cm="1">
        <f t="array" ref="I6">SUM(_xlfn.BYROW(负载工作模式!U$3:U$422,_xlfn.LAMBDA(_xlpm.row,_xlfn.LET(_xlpm.rowNum,ROW(_xlpm.row),_xlpm.gCheck,INDEX(负载工作模式!G:G,_xlpm.rowNum),_xlpm.hCheck,INDEX(负载工作模式!H:H,_xlpm.rowNum),IF(AND(_xlpm.gCheck=270,_xlpm.hCheck="否"),_xlfn.LET(_xlpm.aVal,INDEX(负载工作模式!A:A,_xlpm.rowNum),_xlpm.kVal,INDEX(负载工作模式!K:K,_xlpm.rowNum),_xlpm.lVal,INDEX(负载工作模式!O:O,_xlpm.rowNum),_xlpm.iVal,INDEX(负载工作模式!I:I,_xlpm.rowNum),_xlpm.maxVal,_xlfn.MAXIFS(负载工作模式!K:K,负载工作模式!A:A,_xlpm.aVal),_xlpm.baseVal,IF(AND(_xlpm.kVal=_xlpm.maxVal,_xlpm.lVal&lt;&gt;0),_xlpm.kVal,0),_xlpm.multiplier,IF(_xlpm.iVal="连续负载",1,IF(_xlpm.iVal="脉冲负载",B6,0)),_xlpm.baseVal*_xlpm.multiplier),0)))))</f>
        <v>2.3842</v>
      </c>
      <c r="J6" s="14" cm="1">
        <f t="array" ref="J6">SUM(_xlfn.BYROW(负载工作模式!U$3:U$422,_xlfn.LAMBDA(_xlpm.row,_xlfn.LET(_xlpm.rowNum,ROW(_xlpm.row),_xlpm.gCheck,INDEX(负载工作模式!G:G,_xlpm.rowNum),_xlpm.hCheck,INDEX(负载工作模式!H:H,_xlpm.rowNum),IF(AND(_xlpm.gCheck=28,_xlpm.hCheck="否"),_xlfn.LET(_xlpm.aVal,INDEX(负载工作模式!A:A,_xlpm.rowNum),_xlpm.kVal,INDEX(负载工作模式!K:K,_xlpm.rowNum),_xlpm.lVal,INDEX(负载工作模式!O:O,_xlpm.rowNum),_xlpm.iVal,INDEX(负载工作模式!I:I,_xlpm.rowNum),_xlpm.maxVal,_xlfn.MAXIFS(负载工作模式!K:K,负载工作模式!A:A,_xlpm.aVal),_xlpm.baseVal,IF(AND(_xlpm.kVal=_xlpm.maxVal,_xlpm.lVal&lt;&gt;0),_xlpm.kVal,0),_xlpm.multiplier,IF(_xlpm.iVal="连续负载",1,IF(_xlpm.iVal="脉冲负载",B6,0)),_xlpm.baseVal*_xlpm.multiplier),0)))))</f>
        <v>7.45576</v>
      </c>
      <c r="K6" s="15">
        <f>负载统计飞行阶段定义!D7</f>
        <v>3</v>
      </c>
      <c r="L6" s="15">
        <f>SUM(负载工作模式!AG:AG)</f>
        <v>0.729357999999998</v>
      </c>
    </row>
    <row r="7" spans="1:12">
      <c r="A7" s="13" t="s">
        <v>1741</v>
      </c>
      <c r="B7" s="14">
        <v>0.32</v>
      </c>
      <c r="C7" s="14">
        <f t="shared" si="0"/>
        <v>21.89416</v>
      </c>
      <c r="D7" s="16" cm="1">
        <f t="array" ref="D7">SUM(_xlfn.BYROW(负载工作模式!$Y$3:$Y$421,_xlfn.LAMBDA(_xlpm.row,_xlfn.LET(_xlpm.rowNum,ROW(_xlpm.row),_xlpm.gCheck,INDEX(负载工作模式!G:G,_xlpm.rowNum),IF(_xlpm.gCheck=270,_xlfn.LET(_xlpm.aVal,INDEX(负载工作模式!A:A,_xlpm.rowNum),_xlpm.hVal,INDEX(负载工作模式!K:K,_xlpm.rowNum),_xlpm.iVal,INDEX(负载工作模式!P:P,_xlpm.rowNum),_xlpm.gVal,INDEX(负载工作模式!I:I,_xlpm.rowNum),_xlpm.maxVal,_xlfn.MAXIFS(负载工作模式!K:K,负载工作模式!A:A,_xlpm.aVal),_xlpm.baseVal,IF(AND(_xlpm.hVal=_xlpm.maxVal,_xlpm.iVal&lt;&gt;0),_xlpm.hVal,0),_xlpm.multiplier,IF(_xlpm.gVal="连续负载",1,IF(_xlpm.gVal="脉冲负载",$B7,0)),_xlpm.baseVal*_xlpm.multiplier),0)))))</f>
        <v>9.024</v>
      </c>
      <c r="E7" s="14" cm="1">
        <f t="array" ref="E7">SUM(_xlfn.BYROW(负载工作模式!$Y$3:$Y$421,_xlfn.LAMBDA(_xlpm.row,_xlfn.LET(_xlpm.rowNum,ROW(_xlpm.row),_xlpm.gCheck,INDEX(负载工作模式!G:G,_xlpm.rowNum),IF(_xlpm.gCheck=28,_xlfn.LET(_xlpm.aVal,INDEX(负载工作模式!A:A,_xlpm.rowNum),_xlpm.hVal,INDEX(负载工作模式!K:K,_xlpm.rowNum),_xlpm.iVal,INDEX(负载工作模式!P:P,_xlpm.rowNum),_xlpm.gVal,INDEX(负载工作模式!I:I,_xlpm.rowNum),_xlpm.maxVal,_xlfn.MAXIFS(负载工作模式!K:K,负载工作模式!A:A,_xlpm.aVal),_xlpm.baseVal,IF(AND(_xlpm.hVal=_xlpm.maxVal,_xlpm.iVal&lt;&gt;0),_xlpm.hVal,0),_xlpm.multiplier,IF(_xlpm.gVal="连续负载",1,IF(_xlpm.gVal="脉冲负载",$B7,0)),_xlpm.baseVal*_xlpm.multiplier),0)))))</f>
        <v>12.87016</v>
      </c>
      <c r="F7" s="14" t="s">
        <v>1742</v>
      </c>
      <c r="G7" s="14">
        <v>0.32</v>
      </c>
      <c r="H7" s="14">
        <f t="shared" si="1"/>
        <v>13.36976</v>
      </c>
      <c r="I7" s="14" cm="1">
        <f t="array" ref="I7">SUM(_xlfn.BYROW(负载工作模式!U$3:U$422,_xlfn.LAMBDA(_xlpm.row,_xlfn.LET(_xlpm.rowNum,ROW(_xlpm.row),_xlpm.gCheck,INDEX(负载工作模式!G:G,_xlpm.rowNum),_xlpm.hCheck,INDEX(负载工作模式!H:H,_xlpm.rowNum),IF(AND(_xlpm.gCheck=270,_xlpm.hCheck="否"),_xlfn.LET(_xlpm.aVal,INDEX(负载工作模式!A:A,_xlpm.rowNum),_xlpm.kVal,INDEX(负载工作模式!K:K,_xlpm.rowNum),_xlpm.lVal,INDEX(负载工作模式!P:P,_xlpm.rowNum),_xlpm.iVal,INDEX(负载工作模式!I:I,_xlpm.rowNum),_xlpm.maxVal,_xlfn.MAXIFS(负载工作模式!K:K,负载工作模式!A:A,_xlpm.aVal),_xlpm.baseVal,IF(AND(_xlpm.kVal=_xlpm.maxVal,_xlpm.lVal&lt;&gt;0),_xlpm.kVal,0),_xlpm.multiplier,IF(_xlpm.iVal="连续负载",1,IF(_xlpm.iVal="脉冲负载",B7,0)),_xlpm.baseVal*_xlpm.multiplier),0)))))</f>
        <v>5.024</v>
      </c>
      <c r="J7" s="14" cm="1">
        <f t="array" ref="J7">SUM(_xlfn.BYROW(负载工作模式!U$3:U$422,_xlfn.LAMBDA(_xlpm.row,_xlfn.LET(_xlpm.rowNum,ROW(_xlpm.row),_xlpm.gCheck,INDEX(负载工作模式!G:G,_xlpm.rowNum),_xlpm.hCheck,INDEX(负载工作模式!H:H,_xlpm.rowNum),IF(AND(_xlpm.gCheck=28,_xlpm.hCheck="否"),_xlfn.LET(_xlpm.aVal,INDEX(负载工作模式!A:A,_xlpm.rowNum),_xlpm.kVal,INDEX(负载工作模式!K:K,_xlpm.rowNum),_xlpm.lVal,INDEX(负载工作模式!P:P,_xlpm.rowNum),_xlpm.iVal,INDEX(负载工作模式!I:I,_xlpm.rowNum),_xlpm.maxVal,_xlfn.MAXIFS(负载工作模式!K:K,负载工作模式!A:A,_xlpm.aVal),_xlpm.baseVal,IF(AND(_xlpm.kVal=_xlpm.maxVal,_xlpm.lVal&lt;&gt;0),_xlpm.kVal,0),_xlpm.multiplier,IF(_xlpm.iVal="连续负载",1,IF(_xlpm.iVal="脉冲负载",B7,0)),_xlpm.baseVal*_xlpm.multiplier),0)))))</f>
        <v>8.34576</v>
      </c>
      <c r="K7" s="15">
        <f>负载统计飞行阶段定义!D8</f>
        <v>6.77</v>
      </c>
      <c r="L7" s="15">
        <f>SUM(负载工作模式!AH:AH)</f>
        <v>2.28810880333334</v>
      </c>
    </row>
    <row r="8" spans="1:12">
      <c r="A8" s="13" t="s">
        <v>1743</v>
      </c>
      <c r="B8" s="14">
        <v>0.08</v>
      </c>
      <c r="C8" s="14">
        <f t="shared" si="0"/>
        <v>16.36216</v>
      </c>
      <c r="D8" s="14" cm="1">
        <f t="array" ref="D8">SUM(_xlfn.BYROW(负载工作模式!$Z$3:$Z$421,_xlfn.LAMBDA(_xlpm.row,_xlfn.LET(_xlpm.rowNum,ROW(_xlpm.row),_xlpm.gCheck,INDEX(负载工作模式!G:G,_xlpm.rowNum),IF(_xlpm.gCheck=270,_xlfn.LET(_xlpm.aVal,INDEX(负载工作模式!A:A,_xlpm.rowNum),_xlpm.hVal,INDEX(负载工作模式!K:K,_xlpm.rowNum),_xlpm.iVal,INDEX(负载工作模式!Q:Q,_xlpm.rowNum),_xlpm.gVal,INDEX(负载工作模式!I:I,_xlpm.rowNum),_xlpm.maxVal,_xlfn.MAXIFS(负载工作模式!K:K,负载工作模式!A:A,_xlpm.aVal),_xlpm.baseVal,IF(AND(_xlpm.hVal=_xlpm.maxVal,_xlpm.iVal&lt;&gt;0),_xlpm.hVal,0),_xlpm.multiplier,IF(_xlpm.gVal="连续负载",1,IF(_xlpm.gVal="脉冲负载",$B8,0)),_xlpm.baseVal*_xlpm.multiplier),0)))))</f>
        <v>4.932</v>
      </c>
      <c r="E8" s="14" cm="1">
        <f t="array" ref="E8">SUM(_xlfn.BYROW(负载工作模式!$Z$3:$Z$421,_xlfn.LAMBDA(_xlpm.row,_xlfn.LET(_xlpm.rowNum,ROW(_xlpm.row),_xlpm.gCheck,INDEX(负载工作模式!G:G,_xlpm.rowNum),IF(_xlpm.gCheck=28,_xlfn.LET(_xlpm.aVal,INDEX(负载工作模式!A:A,_xlpm.rowNum),_xlpm.hVal,INDEX(负载工作模式!K:K,_xlpm.rowNum),_xlpm.iVal,INDEX(负载工作模式!Q:Q,_xlpm.rowNum),_xlpm.gVal,INDEX(负载工作模式!I:I,_xlpm.rowNum),_xlpm.maxVal,_xlfn.MAXIFS(负载工作模式!K:K,负载工作模式!A:A,_xlpm.aVal),_xlpm.baseVal,IF(AND(_xlpm.hVal=_xlpm.maxVal,_xlpm.iVal&lt;&gt;0),_xlpm.hVal,0),_xlpm.multiplier,IF(_xlpm.gVal="连续负载",1,IF(_xlpm.gVal="脉冲负载",$B8,0)),_xlpm.baseVal*_xlpm.multiplier),0)))))</f>
        <v>11.43016</v>
      </c>
      <c r="F8" s="14" t="s">
        <v>1744</v>
      </c>
      <c r="G8" s="14">
        <v>0.08</v>
      </c>
      <c r="H8" s="14">
        <f t="shared" si="1"/>
        <v>8.47776</v>
      </c>
      <c r="I8" s="14" cm="1">
        <f t="array" ref="I8">SUM(_xlfn.BYROW(负载工作模式!U$3:U$422,_xlfn.LAMBDA(_xlpm.row,_xlfn.LET(_xlpm.rowNum,ROW(_xlpm.row),_xlpm.gCheck,INDEX(负载工作模式!G:G,_xlpm.rowNum),_xlpm.hCheck,INDEX(负载工作模式!H:H,_xlpm.rowNum),IF(AND(_xlpm.gCheck=270,_xlpm.hCheck="否"),_xlfn.LET(_xlpm.aVal,INDEX(负载工作模式!A:A,_xlpm.rowNum),_xlpm.kVal,INDEX(负载工作模式!K:K,_xlpm.rowNum),_xlpm.lVal,INDEX(负载工作模式!Q:Q,_xlpm.rowNum),_xlpm.iVal,INDEX(负载工作模式!I:I,_xlpm.rowNum),_xlpm.maxVal,_xlfn.MAXIFS(负载工作模式!K:K,负载工作模式!A:A,_xlpm.aVal),_xlpm.baseVal,IF(AND(_xlpm.kVal=_xlpm.maxVal,_xlpm.lVal&lt;&gt;0),_xlpm.kVal,0),_xlpm.multiplier,IF(_xlpm.iVal="连续负载",1,IF(_xlpm.iVal="脉冲负载",B8,0)),_xlpm.baseVal*_xlpm.multiplier),0)))))</f>
        <v>0.932</v>
      </c>
      <c r="J8" s="14" cm="1">
        <f t="array" ref="J8">SUM(_xlfn.BYROW(负载工作模式!U$3:U$422,_xlfn.LAMBDA(_xlpm.row,_xlfn.LET(_xlpm.rowNum,ROW(_xlpm.row),_xlpm.gCheck,INDEX(负载工作模式!G:G,_xlpm.rowNum),_xlpm.hCheck,INDEX(负载工作模式!H:H,_xlpm.rowNum),IF(AND(_xlpm.gCheck=28,_xlpm.hCheck="否"),_xlfn.LET(_xlpm.aVal,INDEX(负载工作模式!A:A,_xlpm.rowNum),_xlpm.kVal,INDEX(负载工作模式!K:K,_xlpm.rowNum),_xlpm.lVal,INDEX(负载工作模式!Q:Q,_xlpm.rowNum),_xlpm.iVal,INDEX(负载工作模式!I:I,_xlpm.rowNum),_xlpm.maxVal,_xlfn.MAXIFS(负载工作模式!K:K,负载工作模式!A:A,_xlpm.aVal),_xlpm.baseVal,IF(AND(_xlpm.kVal=_xlpm.maxVal,_xlpm.lVal&lt;&gt;0),_xlpm.kVal,0),_xlpm.multiplier,IF(_xlpm.iVal="连续负载",1,IF(_xlpm.iVal="脉冲负载",B8,0)),_xlpm.baseVal*_xlpm.multiplier),0)))))</f>
        <v>7.54576</v>
      </c>
      <c r="K8" s="15">
        <f>负载统计飞行阶段定义!D11</f>
        <v>43.6</v>
      </c>
      <c r="L8" s="15">
        <f>SUM(负载工作模式!AI:AI)</f>
        <v>12.2962609333333</v>
      </c>
    </row>
    <row r="9" spans="1:12">
      <c r="A9" s="13" t="s">
        <v>1745</v>
      </c>
      <c r="B9" s="14">
        <v>0.28</v>
      </c>
      <c r="C9" s="14">
        <f t="shared" si="0"/>
        <v>20.20616</v>
      </c>
      <c r="D9" s="14" cm="1">
        <f t="array" ref="D9">SUM(_xlfn.BYROW(负载工作模式!$AA$3:$AA$421,_xlfn.LAMBDA(_xlpm.row,_xlfn.LET(_xlpm.rowNum,ROW(_xlpm.row),_xlpm.gCheck,INDEX(负载工作模式!G:G,_xlpm.rowNum),IF(_xlpm.gCheck=270,_xlfn.LET(_xlpm.aVal,INDEX(负载工作模式!A:A,_xlpm.rowNum),_xlpm.hVal,INDEX(负载工作模式!K:K,_xlpm.rowNum),_xlpm.iVal,INDEX(负载工作模式!R:R,_xlpm.rowNum),_xlpm.gVal,INDEX(负载工作模式!I:I,_xlpm.rowNum),_xlpm.maxVal,_xlfn.MAXIFS(负载工作模式!K:K,负载工作模式!A:A,_xlpm.aVal),_xlpm.baseVal,IF(AND(_xlpm.hVal=_xlpm.maxVal,_xlpm.iVal&lt;&gt;0),_xlpm.hVal,0),_xlpm.multiplier,IF(_xlpm.gVal="连续负载",1,IF(_xlpm.gVal="脉冲负载",$B9,0)),_xlpm.baseVal*_xlpm.multiplier),0)))))</f>
        <v>8.396</v>
      </c>
      <c r="E9" s="14" cm="1">
        <f t="array" ref="E9">SUM(_xlfn.BYROW(负载工作模式!$AA$3:$AA$421,_xlfn.LAMBDA(_xlpm.row,_xlfn.LET(_xlpm.rowNum,ROW(_xlpm.row),_xlpm.gCheck,INDEX(负载工作模式!G:G,_xlpm.rowNum),IF(_xlpm.gCheck=28,_xlfn.LET(_xlpm.aVal,INDEX(负载工作模式!A:A,_xlpm.rowNum),_xlpm.hVal,INDEX(负载工作模式!K:K,_xlpm.rowNum),_xlpm.iVal,INDEX(负载工作模式!R:R,_xlpm.rowNum),_xlpm.gVal,INDEX(负载工作模式!I:I,_xlpm.rowNum),_xlpm.maxVal,_xlfn.MAXIFS(负载工作模式!K:K,负载工作模式!A:A,_xlpm.aVal),_xlpm.baseVal,IF(AND(_xlpm.hVal=_xlpm.maxVal,_xlpm.iVal&lt;&gt;0),_xlpm.hVal,0),_xlpm.multiplier,IF(_xlpm.gVal="连续负载",1,IF(_xlpm.gVal="脉冲负载",$B9,0)),_xlpm.baseVal*_xlpm.multiplier),0)))))</f>
        <v>11.81016</v>
      </c>
      <c r="F9" s="14" t="s">
        <v>1746</v>
      </c>
      <c r="G9" s="14">
        <v>0.28</v>
      </c>
      <c r="H9" s="14">
        <f t="shared" si="1"/>
        <v>11.94176</v>
      </c>
      <c r="I9" s="14" cm="1">
        <f t="array" ref="I9">SUM(_xlfn.BYROW(负载工作模式!U$3:U$422,_xlfn.LAMBDA(_xlpm.row,_xlfn.LET(_xlpm.rowNum,ROW(_xlpm.row),_xlpm.gCheck,INDEX(负载工作模式!G:G,_xlpm.rowNum),_xlpm.hCheck,INDEX(负载工作模式!H:H,_xlpm.rowNum),IF(AND(_xlpm.gCheck=270,_xlpm.hCheck="否"),_xlfn.LET(_xlpm.aVal,INDEX(负载工作模式!A:A,_xlpm.rowNum),_xlpm.kVal,INDEX(负载工作模式!K:K,_xlpm.rowNum),_xlpm.lVal,INDEX(负载工作模式!R:R,_xlpm.rowNum),_xlpm.iVal,INDEX(负载工作模式!I:I,_xlpm.rowNum),_xlpm.maxVal,_xlfn.MAXIFS(负载工作模式!K:K,负载工作模式!A:A,_xlpm.aVal),_xlpm.baseVal,IF(AND(_xlpm.kVal=_xlpm.maxVal,_xlpm.lVal&lt;&gt;0),_xlpm.kVal,0),_xlpm.multiplier,IF(_xlpm.iVal="连续负载",1,IF(_xlpm.iVal="脉冲负载",B9,0)),_xlpm.baseVal*_xlpm.multiplier),0)))))</f>
        <v>4.396</v>
      </c>
      <c r="J9" s="14" cm="1">
        <f t="array" ref="J9">SUM(_xlfn.BYROW(负载工作模式!U$3:U$422,_xlfn.LAMBDA(_xlpm.row,_xlfn.LET(_xlpm.rowNum,ROW(_xlpm.row),_xlpm.gCheck,INDEX(负载工作模式!G:G,_xlpm.rowNum),_xlpm.hCheck,INDEX(负载工作模式!H:H,_xlpm.rowNum),IF(AND(_xlpm.gCheck=28,_xlpm.hCheck="否"),_xlfn.LET(_xlpm.aVal,INDEX(负载工作模式!A:A,_xlpm.rowNum),_xlpm.kVal,INDEX(负载工作模式!K:K,_xlpm.rowNum),_xlpm.lVal,INDEX(负载工作模式!R:R,_xlpm.rowNum),_xlpm.iVal,INDEX(负载工作模式!I:I,_xlpm.rowNum),_xlpm.maxVal,_xlfn.MAXIFS(负载工作模式!K:K,负载工作模式!A:A,_xlpm.aVal),_xlpm.baseVal,IF(AND(_xlpm.kVal=_xlpm.maxVal,_xlpm.lVal&lt;&gt;0),_xlpm.kVal,0),_xlpm.multiplier,IF(_xlpm.iVal="连续负载",1,IF(_xlpm.iVal="脉冲负载",B9,0)),_xlpm.baseVal*_xlpm.multiplier),0)))))</f>
        <v>7.54576</v>
      </c>
      <c r="K9" s="15">
        <f>负载统计飞行阶段定义!D12</f>
        <v>13.85</v>
      </c>
      <c r="L9" s="15">
        <f>SUM(负载工作模式!AJ:AJ)</f>
        <v>4.32864668333333</v>
      </c>
    </row>
    <row r="10" spans="1:12">
      <c r="A10" s="13" t="s">
        <v>1747</v>
      </c>
      <c r="B10" s="14">
        <v>0.24</v>
      </c>
      <c r="C10" s="14">
        <f t="shared" si="0"/>
        <v>20.01816</v>
      </c>
      <c r="D10" s="14" cm="1">
        <f t="array" ref="D10">SUM(_xlfn.BYROW(负载工作模式!$AB$3:$AB$421,_xlfn.LAMBDA(_xlpm.row,_xlfn.LET(_xlpm.rowNum,ROW(_xlpm.row),_xlpm.gCheck,INDEX(负载工作模式!G:G,_xlpm.rowNum),IF(_xlpm.gCheck=270,_xlfn.LET(_xlpm.aVal,INDEX(负载工作模式!A:A,_xlpm.rowNum),_xlpm.hVal,INDEX(负载工作模式!K:K,_xlpm.rowNum),_xlpm.iVal,INDEX(负载工作模式!S:S,_xlpm.rowNum),_xlpm.gVal,INDEX(负载工作模式!I:I,_xlpm.rowNum),_xlpm.maxVal,_xlfn.MAXIFS(负载工作模式!K:K,负载工作模式!A:A,_xlpm.aVal),_xlpm.baseVal,IF(AND(_xlpm.hVal=_xlpm.maxVal,_xlpm.iVal&lt;&gt;0),_xlpm.hVal,0),_xlpm.multiplier,IF(_xlpm.gVal="连续负载",1,IF(_xlpm.gVal="脉冲负载",$B10,0)),_xlpm.baseVal*_xlpm.multiplier),0)))))</f>
        <v>7.948</v>
      </c>
      <c r="E10" s="14" cm="1">
        <f t="array" ref="E10">SUM(_xlfn.BYROW(负载工作模式!$AB$3:$AB$421,_xlfn.LAMBDA(_xlpm.row,_xlfn.LET(_xlpm.rowNum,ROW(_xlpm.row),_xlpm.gCheck,INDEX(负载工作模式!G:G,_xlpm.rowNum),IF(_xlpm.gCheck=28,_xlfn.LET(_xlpm.aVal,INDEX(负载工作模式!A:A,_xlpm.rowNum),_xlpm.hVal,INDEX(负载工作模式!K:K,_xlpm.rowNum),_xlpm.iVal,INDEX(负载工作模式!S:S,_xlpm.rowNum),_xlpm.gVal,INDEX(负载工作模式!I:I,_xlpm.rowNum),_xlpm.maxVal,_xlfn.MAXIFS(负载工作模式!K:K,负载工作模式!A:A,_xlpm.aVal),_xlpm.baseVal,IF(AND(_xlpm.hVal=_xlpm.maxVal,_xlpm.iVal&lt;&gt;0),_xlpm.hVal,0),_xlpm.multiplier,IF(_xlpm.gVal="连续负载",1,IF(_xlpm.gVal="脉冲负载",$B10,0)),_xlpm.baseVal*_xlpm.multiplier),0)))))</f>
        <v>12.07016</v>
      </c>
      <c r="F10" s="14" t="s">
        <v>1748</v>
      </c>
      <c r="G10" s="14">
        <v>0.24</v>
      </c>
      <c r="H10" s="14">
        <f t="shared" si="1"/>
        <v>11.77376</v>
      </c>
      <c r="I10" s="14" cm="1">
        <f t="array" ref="I10">SUM(_xlfn.BYROW(负载工作模式!U$3:U$422,_xlfn.LAMBDA(_xlpm.row,_xlfn.LET(_xlpm.rowNum,ROW(_xlpm.row),_xlpm.gCheck,INDEX(负载工作模式!G:G,_xlpm.rowNum),_xlpm.hCheck,INDEX(负载工作模式!H:H,_xlpm.rowNum),IF(AND(_xlpm.gCheck=270,_xlpm.hCheck="否"),_xlfn.LET(_xlpm.aVal,INDEX(负载工作模式!A:A,_xlpm.rowNum),_xlpm.kVal,INDEX(负载工作模式!K:K,_xlpm.rowNum),_xlpm.lVal,INDEX(负载工作模式!S:S,_xlpm.rowNum),_xlpm.iVal,INDEX(负载工作模式!I:I,_xlpm.rowNum),_xlpm.maxVal,_xlfn.MAXIFS(负载工作模式!K:K,负载工作模式!A:A,_xlpm.aVal),_xlpm.baseVal,IF(AND(_xlpm.kVal=_xlpm.maxVal,_xlpm.lVal&lt;&gt;0),_xlpm.kVal,0),_xlpm.multiplier,IF(_xlpm.iVal="连续负载",1,IF(_xlpm.iVal="脉冲负载",B10,0)),_xlpm.baseVal*_xlpm.multiplier),0)))))</f>
        <v>3.948</v>
      </c>
      <c r="J10" s="14" cm="1">
        <f t="array" ref="J10">SUM(_xlfn.BYROW(负载工作模式!U$3:U$422,_xlfn.LAMBDA(_xlpm.row,_xlfn.LET(_xlpm.rowNum,ROW(_xlpm.row),_xlpm.gCheck,INDEX(负载工作模式!G:G,_xlpm.rowNum),_xlpm.hCheck,INDEX(负载工作模式!H:H,_xlpm.rowNum),IF(AND(_xlpm.gCheck=28,_xlpm.hCheck="否"),_xlfn.LET(_xlpm.aVal,INDEX(负载工作模式!A:A,_xlpm.rowNum),_xlpm.kVal,INDEX(负载工作模式!K:K,_xlpm.rowNum),_xlpm.lVal,INDEX(负载工作模式!S:S,_xlpm.rowNum),_xlpm.iVal,INDEX(负载工作模式!I:I,_xlpm.rowNum),_xlpm.maxVal,_xlfn.MAXIFS(负载工作模式!K:K,负载工作模式!A:A,_xlpm.aVal),_xlpm.baseVal,IF(AND(_xlpm.kVal=_xlpm.maxVal,_xlpm.lVal&lt;&gt;0),_xlpm.kVal,0),_xlpm.multiplier,IF(_xlpm.iVal="连续负载",1,IF(_xlpm.iVal="脉冲负载",B10,0)),_xlpm.baseVal*_xlpm.multiplier),0)))))</f>
        <v>7.82576</v>
      </c>
      <c r="K10" s="15">
        <f>负载统计飞行阶段定义!D15</f>
        <v>0.5</v>
      </c>
      <c r="L10" s="15">
        <f>SUM(负载工作模式!AK:AK)</f>
        <v>0.168976333333333</v>
      </c>
    </row>
    <row r="11" spans="1:12">
      <c r="A11" s="13" t="s">
        <v>1749</v>
      </c>
      <c r="B11" s="14">
        <v>0.15</v>
      </c>
      <c r="C11" s="14">
        <f t="shared" si="0"/>
        <v>15.33516</v>
      </c>
      <c r="D11" s="14" cm="1">
        <f t="array" ref="D11">SUM(_xlfn.BYROW(负载工作模式!$AC$3:$AC$421,_xlfn.LAMBDA(_xlpm.row,_xlfn.LET(_xlpm.rowNum,ROW(_xlpm.row),_xlpm.gCheck,INDEX(负载工作模式!G:G,_xlpm.rowNum),IF(_xlpm.gCheck=270,_xlfn.LET(_xlpm.aVal,INDEX(负载工作模式!A:A,_xlpm.rowNum),_xlpm.hVal,INDEX(负载工作模式!K:K,_xlpm.rowNum),_xlpm.iVal,INDEX(负载工作模式!R:R,_xlpm.rowNum),_xlpm.gVal,INDEX(负载工作模式!I:I,_xlpm.rowNum),_xlpm.maxVal,_xlfn.MAXIFS(负载工作模式!K:K,负载工作模式!A:A,_xlpm.aVal),_xlpm.baseVal,IF(AND(_xlpm.hVal=_xlpm.maxVal,_xlpm.iVal&lt;&gt;0),_xlpm.hVal,0),_xlpm.multiplier,IF(_xlpm.gVal="连续负载",1,IF(_xlpm.gVal="脉冲负载",$B11,0)),_xlpm.baseVal*_xlpm.multiplier),0)))))</f>
        <v>6.355</v>
      </c>
      <c r="E11" s="14" cm="1">
        <f t="array" ref="E11">SUM(_xlfn.BYROW(负载工作模式!$AC$3:$AC$421,_xlfn.LAMBDA(_xlpm.row,_xlfn.LET(_xlpm.rowNum,ROW(_xlpm.row),_xlpm.gCheck,INDEX(负载工作模式!G:G,_xlpm.rowNum),IF(_xlpm.gCheck=28,_xlfn.LET(_xlpm.aVal,INDEX(负载工作模式!A:A,_xlpm.rowNum),_xlpm.hVal,INDEX(负载工作模式!K:K,_xlpm.rowNum),_xlpm.iVal,INDEX(负载工作模式!T:T,_xlpm.rowNum),_xlpm.gVal,INDEX(负载工作模式!I:I,_xlpm.rowNum),_xlpm.maxVal,_xlfn.MAXIFS(负载工作模式!K:K,负载工作模式!A:A,_xlpm.aVal),_xlpm.baseVal,IF(AND(_xlpm.hVal=_xlpm.maxVal,_xlpm.iVal&lt;&gt;0),_xlpm.hVal,0),_xlpm.multiplier,IF(_xlpm.gVal="连续负载",1,IF(_xlpm.gVal="脉冲负载",$B11,0)),_xlpm.baseVal*_xlpm.multiplier),0)))))</f>
        <v>8.98015999999999</v>
      </c>
      <c r="F11" s="14" t="s">
        <v>1738</v>
      </c>
      <c r="G11" s="14">
        <v>0.15</v>
      </c>
      <c r="H11" s="14">
        <f t="shared" si="1"/>
        <v>9.53026</v>
      </c>
      <c r="I11" s="14" cm="1">
        <f t="array" ref="I11">SUM(_xlfn.BYROW(负载工作模式!U$3:U$422,_xlfn.LAMBDA(_xlpm.row,_xlfn.LET(_xlpm.rowNum,ROW(_xlpm.row),_xlpm.gCheck,INDEX(负载工作模式!G:G,_xlpm.rowNum),_xlpm.hCheck,INDEX(负载工作模式!H:H,_xlpm.rowNum),IF(AND(_xlpm.gCheck=270,_xlpm.hCheck="否"),_xlfn.LET(_xlpm.aVal,INDEX(负载工作模式!A:A,_xlpm.rowNum),_xlpm.kVal,INDEX(负载工作模式!K:K,_xlpm.rowNum),_xlpm.lVal,INDEX(负载工作模式!T:T,_xlpm.rowNum),_xlpm.iVal,INDEX(负载工作模式!I:I,_xlpm.rowNum),_xlpm.maxVal,_xlfn.MAXIFS(负载工作模式!K:K,负载工作模式!A:A,_xlpm.aVal),_xlpm.baseVal,IF(AND(_xlpm.kVal=_xlpm.maxVal,_xlpm.lVal&lt;&gt;0),_xlpm.kVal,0),_xlpm.multiplier,IF(_xlpm.iVal="连续负载",1,IF(_xlpm.iVal="脉冲负载",B11,0)),_xlpm.baseVal*_xlpm.multiplier),0)))))</f>
        <v>2.5545</v>
      </c>
      <c r="J11" s="14" cm="1">
        <f t="array" ref="J11">SUM(_xlfn.BYROW(负载工作模式!U$3:U$422,_xlfn.LAMBDA(_xlpm.row,_xlfn.LET(_xlpm.rowNum,ROW(_xlpm.row),_xlpm.gCheck,INDEX(负载工作模式!G:G,_xlpm.rowNum),_xlpm.hCheck,INDEX(负载工作模式!H:H,_xlpm.rowNum),IF(AND(_xlpm.gCheck=28,_xlpm.hCheck="否"),_xlfn.LET(_xlpm.aVal,INDEX(负载工作模式!A:A,_xlpm.rowNum),_xlpm.kVal,INDEX(负载工作模式!K:K,_xlpm.rowNum),_xlpm.lVal,INDEX(负载工作模式!T:T,_xlpm.rowNum),_xlpm.iVal,INDEX(负载工作模式!I:I,_xlpm.rowNum),_xlpm.maxVal,_xlfn.MAXIFS(负载工作模式!K:K,负载工作模式!A:A,_xlpm.aVal),_xlpm.baseVal,IF(AND(_xlpm.kVal=_xlpm.maxVal,_xlpm.lVal&lt;&gt;0),_xlpm.kVal,0),_xlpm.multiplier,IF(_xlpm.iVal="连续负载",1,IF(_xlpm.iVal="脉冲负载",B11,0)),_xlpm.baseVal*_xlpm.multiplier),0)))))</f>
        <v>6.97576</v>
      </c>
      <c r="K11" s="15">
        <f>负载统计飞行阶段定义!D16</f>
        <v>4</v>
      </c>
      <c r="L11" s="15">
        <f>SUM(负载工作模式!AL:AL)</f>
        <v>0.751744</v>
      </c>
    </row>
    <row r="12" spans="1:12">
      <c r="A12" s="14" t="s">
        <v>1750</v>
      </c>
      <c r="B12" s="14"/>
      <c r="C12" s="14">
        <f>MAX(C3:C11)</f>
        <v>21.89416</v>
      </c>
      <c r="D12" s="14">
        <f>MAX(D3:D11)</f>
        <v>9.024</v>
      </c>
      <c r="E12" s="14">
        <f>MAX(E3:E11)</f>
        <v>12.87016</v>
      </c>
      <c r="F12" s="14"/>
      <c r="G12" s="14"/>
      <c r="H12" s="14">
        <f>MAX(H3:H11)</f>
        <v>13.36976</v>
      </c>
      <c r="I12" s="14">
        <f>MAX(I3:I11)</f>
        <v>5.024</v>
      </c>
      <c r="J12" s="14">
        <f>MAX(J3:J11)</f>
        <v>8.34576</v>
      </c>
      <c r="K12" s="15">
        <f>SUM(K3:K11)</f>
        <v>72.72</v>
      </c>
      <c r="L12" s="15">
        <f>SUM(L3:L11)</f>
        <v>20.70535242</v>
      </c>
    </row>
  </sheetData>
  <mergeCells count="3">
    <mergeCell ref="A1:F1"/>
    <mergeCell ref="G1:J1"/>
    <mergeCell ref="K1:L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zoomScale="85" zoomScaleNormal="85" workbookViewId="0">
      <selection activeCell="D2" sqref="D2"/>
    </sheetView>
  </sheetViews>
  <sheetFormatPr defaultColWidth="8.72727272727273" defaultRowHeight="14" outlineLevelRow="3" outlineLevelCol="3"/>
  <cols>
    <col min="2" max="2" width="110.263636363636" customWidth="1"/>
    <col min="3" max="3" width="38.5" customWidth="1"/>
    <col min="4" max="4" width="73.6818181818182" customWidth="1"/>
  </cols>
  <sheetData>
    <row r="1" spans="1:4">
      <c r="A1" s="1" t="s">
        <v>47</v>
      </c>
      <c r="B1" s="1" t="s">
        <v>1751</v>
      </c>
      <c r="C1" s="1" t="s">
        <v>1752</v>
      </c>
      <c r="D1" s="1" t="s">
        <v>1753</v>
      </c>
    </row>
    <row r="2" ht="70" spans="1:4">
      <c r="A2" s="1">
        <v>1</v>
      </c>
      <c r="B2" s="2" t="s">
        <v>1754</v>
      </c>
      <c r="C2" s="3" t="s">
        <v>1755</v>
      </c>
      <c r="D2" s="4" t="s">
        <v>1756</v>
      </c>
    </row>
    <row r="3" ht="28" spans="1:4">
      <c r="A3" s="1">
        <v>2</v>
      </c>
      <c r="B3" s="2" t="s">
        <v>1757</v>
      </c>
      <c r="C3" s="3" t="s">
        <v>1758</v>
      </c>
      <c r="D3" s="5" t="s">
        <v>1759</v>
      </c>
    </row>
    <row r="4" spans="1:4">
      <c r="A4" s="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系统</vt:lpstr>
      <vt:lpstr>1、2号机设备清单</vt:lpstr>
      <vt:lpstr>负载电气特性</vt:lpstr>
      <vt:lpstr>负载统计飞行阶段定义</vt:lpstr>
      <vt:lpstr>负载工作模式</vt:lpstr>
      <vt:lpstr>负载统计</vt:lpstr>
      <vt:lpstr>总体减重建议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Yang L</cp:lastModifiedBy>
  <dcterms:created xsi:type="dcterms:W3CDTF">2026-03-29T06:21:00Z</dcterms:created>
  <dcterms:modified xsi:type="dcterms:W3CDTF">2026-04-14T13:44:41Z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0EF956F250054481BB3F46D126B39CD3_13</vt:lpwstr>
  </property>
  <property fmtid="{D5CDD505-2E9C-101B-9397-08002B2CF9AE}" pid="3" name="KSOProductBuildVer">
    <vt:lpwstr>2052-12.1.0.25225</vt:lpwstr>
  </property>
  <property fmtid="{D5CDD505-2E9C-101B-9397-08002B2CF9AE}" pid="4" name="CalculationRule">
    <vt:i4>0</vt:i4>
  </property>
  <property fmtid="{D5CDD505-2E9C-101B-9397-08002B2CF9AE}" pid="5" name="KSOReadingLayout">
    <vt:bool>true</vt:bool>
  </property>
</Properties>
</file>